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eyk\Downloads\"/>
    </mc:Choice>
  </mc:AlternateContent>
  <xr:revisionPtr revIDLastSave="0" documentId="13_ncr:1_{BF6B13C8-0583-44CE-9006-1D361DBD7136}" xr6:coauthVersionLast="47" xr6:coauthVersionMax="47" xr10:uidLastSave="{00000000-0000-0000-0000-000000000000}"/>
  <bookViews>
    <workbookView xWindow="-120" yWindow="-120" windowWidth="20730" windowHeight="11040" activeTab="1" xr2:uid="{70D06A67-D917-4AB0-A494-0EDD1FBBD245}"/>
  </bookViews>
  <sheets>
    <sheet name="Dataset" sheetId="1" r:id="rId1"/>
    <sheet name="Basic level answers" sheetId="2" r:id="rId2"/>
    <sheet name="Medium level answers" sheetId="6" r:id="rId3"/>
    <sheet name="Dashboard" sheetId="11" r:id="rId4"/>
  </sheets>
  <definedNames>
    <definedName name="_xlnm._FilterDatabase" localSheetId="0" hidden="1">Dataset!$AL$1:$AO$1471</definedName>
    <definedName name="_xlchart.v2.0" hidden="1">'Basic level answers'!$J$4:$L$4</definedName>
    <definedName name="_xlchart.v2.1" hidden="1">'Basic level answers'!$J$5:$L$5</definedName>
    <definedName name="_xlchart.v2.2" hidden="1">'Basic level answers'!$J$4:$L$4</definedName>
    <definedName name="_xlchart.v2.3" hidden="1">'Basic level answers'!$J$5:$L$5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" i="1" l="1" a="1"/>
  <c r="AW2" i="1" s="1"/>
  <c r="AD14" i="11"/>
  <c r="AD13" i="11"/>
  <c r="AS14" i="1"/>
  <c r="AS11" i="1"/>
  <c r="AS7" i="1" a="1"/>
  <c r="AS7" i="1" s="1"/>
  <c r="AS3" i="1"/>
  <c r="AK1465" i="1"/>
  <c r="AO1465" i="1" s="1"/>
  <c r="AK1466" i="1"/>
  <c r="AO1466" i="1" s="1"/>
  <c r="AK1467" i="1"/>
  <c r="AO1467" i="1" s="1"/>
  <c r="AK1468" i="1"/>
  <c r="AO1468" i="1" s="1"/>
  <c r="AK1469" i="1"/>
  <c r="AK1470" i="1"/>
  <c r="AK1471" i="1"/>
  <c r="AO1471" i="1" s="1"/>
  <c r="AK1464" i="1"/>
  <c r="AN1470" i="1"/>
  <c r="AM1470" i="1"/>
  <c r="C176" i="2"/>
  <c r="B155" i="2"/>
  <c r="B156" i="2"/>
  <c r="AK1463" i="1"/>
  <c r="AK1462" i="1"/>
  <c r="AK1461" i="1"/>
  <c r="AK1460" i="1"/>
  <c r="AK1459" i="1"/>
  <c r="AK1458" i="1"/>
  <c r="AK1457" i="1"/>
  <c r="AK1456" i="1"/>
  <c r="AK1455" i="1"/>
  <c r="AK1454" i="1"/>
  <c r="AK1453" i="1"/>
  <c r="AK1452" i="1"/>
  <c r="AK1451" i="1"/>
  <c r="AK1450" i="1"/>
  <c r="AK1449" i="1"/>
  <c r="AK1448" i="1"/>
  <c r="AK1447" i="1"/>
  <c r="AK1446" i="1"/>
  <c r="AK1445" i="1"/>
  <c r="AK1444" i="1"/>
  <c r="AK1443" i="1"/>
  <c r="AK1442" i="1"/>
  <c r="AK1441" i="1"/>
  <c r="AK1440" i="1"/>
  <c r="AK1439" i="1"/>
  <c r="AK1438" i="1"/>
  <c r="AK1437" i="1"/>
  <c r="AK1436" i="1"/>
  <c r="AK1435" i="1"/>
  <c r="AK1434" i="1"/>
  <c r="AK1433" i="1"/>
  <c r="AK1432" i="1"/>
  <c r="AK1431" i="1"/>
  <c r="AK1430" i="1"/>
  <c r="AK1429" i="1"/>
  <c r="AK1428" i="1"/>
  <c r="AK1427" i="1"/>
  <c r="AK1426" i="1"/>
  <c r="AK1425" i="1"/>
  <c r="AK1424" i="1"/>
  <c r="AK1423" i="1"/>
  <c r="AK1422" i="1"/>
  <c r="AK1421" i="1"/>
  <c r="AK1420" i="1"/>
  <c r="AK1419" i="1"/>
  <c r="AK1418" i="1"/>
  <c r="AK1417" i="1"/>
  <c r="AK1416" i="1"/>
  <c r="AK1415" i="1"/>
  <c r="AK1414" i="1"/>
  <c r="AK1413" i="1"/>
  <c r="AK1412" i="1"/>
  <c r="AK1411" i="1"/>
  <c r="AK1410" i="1"/>
  <c r="AK1409" i="1"/>
  <c r="AK1408" i="1"/>
  <c r="AK1407" i="1"/>
  <c r="AK1406" i="1"/>
  <c r="AK1405" i="1"/>
  <c r="AK1404" i="1"/>
  <c r="AK1403" i="1"/>
  <c r="AK1402" i="1"/>
  <c r="AK1401" i="1"/>
  <c r="AK1400" i="1"/>
  <c r="AK1399" i="1"/>
  <c r="AK1398" i="1"/>
  <c r="AK1397" i="1"/>
  <c r="AK1396" i="1"/>
  <c r="AK1395" i="1"/>
  <c r="AK1394" i="1"/>
  <c r="AK1393" i="1"/>
  <c r="AK1392" i="1"/>
  <c r="AK1391" i="1"/>
  <c r="AK1390" i="1"/>
  <c r="AK1389" i="1"/>
  <c r="AK1388" i="1"/>
  <c r="AK1387" i="1"/>
  <c r="AK1386" i="1"/>
  <c r="AK1385" i="1"/>
  <c r="AK1384" i="1"/>
  <c r="AK1383" i="1"/>
  <c r="AK1382" i="1"/>
  <c r="AK1381" i="1"/>
  <c r="AK1380" i="1"/>
  <c r="AK1379" i="1"/>
  <c r="AK1378" i="1"/>
  <c r="AK1377" i="1"/>
  <c r="AK1376" i="1"/>
  <c r="AK1375" i="1"/>
  <c r="AK1374" i="1"/>
  <c r="AK1373" i="1"/>
  <c r="AK1372" i="1"/>
  <c r="AK1371" i="1"/>
  <c r="AK1370" i="1"/>
  <c r="AK1369" i="1"/>
  <c r="AK1368" i="1"/>
  <c r="AK1367" i="1"/>
  <c r="AK1366" i="1"/>
  <c r="AK1365" i="1"/>
  <c r="AK1364" i="1"/>
  <c r="AK1363" i="1"/>
  <c r="AK1362" i="1"/>
  <c r="AK1361" i="1"/>
  <c r="AK1360" i="1"/>
  <c r="AK1359" i="1"/>
  <c r="AK1358" i="1"/>
  <c r="AK1357" i="1"/>
  <c r="AK1356" i="1"/>
  <c r="AK1355" i="1"/>
  <c r="AK1354" i="1"/>
  <c r="AK1353" i="1"/>
  <c r="AK1352" i="1"/>
  <c r="AK1351" i="1"/>
  <c r="AK1350" i="1"/>
  <c r="AK1349" i="1"/>
  <c r="AK1348" i="1"/>
  <c r="AK1347" i="1"/>
  <c r="AK1346" i="1"/>
  <c r="AK1345" i="1"/>
  <c r="AK1344" i="1"/>
  <c r="AK1343" i="1"/>
  <c r="AK1342" i="1"/>
  <c r="AK1341" i="1"/>
  <c r="AK1340" i="1"/>
  <c r="AK1339" i="1"/>
  <c r="AK1338" i="1"/>
  <c r="AK1337" i="1"/>
  <c r="AK1336" i="1"/>
  <c r="AK1335" i="1"/>
  <c r="AK1334" i="1"/>
  <c r="AK1333" i="1"/>
  <c r="AK1332" i="1"/>
  <c r="AK1331" i="1"/>
  <c r="AK1330" i="1"/>
  <c r="AK1329" i="1"/>
  <c r="AK1328" i="1"/>
  <c r="AK1327" i="1"/>
  <c r="AK1326" i="1"/>
  <c r="AK1325" i="1"/>
  <c r="AK1324" i="1"/>
  <c r="AK1323" i="1"/>
  <c r="AK1322" i="1"/>
  <c r="AK1321" i="1"/>
  <c r="AK1320" i="1"/>
  <c r="AK1319" i="1"/>
  <c r="AK1318" i="1"/>
  <c r="AK1317" i="1"/>
  <c r="AK1316" i="1"/>
  <c r="AK1315" i="1"/>
  <c r="AK1314" i="1"/>
  <c r="AK1313" i="1"/>
  <c r="AK1312" i="1"/>
  <c r="AK1311" i="1"/>
  <c r="AK1310" i="1"/>
  <c r="AK1309" i="1"/>
  <c r="AK1308" i="1"/>
  <c r="AK1307" i="1"/>
  <c r="AK1306" i="1"/>
  <c r="AK1305" i="1"/>
  <c r="AK1304" i="1"/>
  <c r="AK1303" i="1"/>
  <c r="AK1302" i="1"/>
  <c r="AK1301" i="1"/>
  <c r="AK1300" i="1"/>
  <c r="AK1299" i="1"/>
  <c r="AK1298" i="1"/>
  <c r="AK1297" i="1"/>
  <c r="AK1296" i="1"/>
  <c r="AK1295" i="1"/>
  <c r="AK1294" i="1"/>
  <c r="AK1293" i="1"/>
  <c r="AK1292" i="1"/>
  <c r="AK1291" i="1"/>
  <c r="AK1290" i="1"/>
  <c r="AK1289" i="1"/>
  <c r="AK1288" i="1"/>
  <c r="AK1287" i="1"/>
  <c r="AK1286" i="1"/>
  <c r="AK1285" i="1"/>
  <c r="AK1284" i="1"/>
  <c r="AK1283" i="1"/>
  <c r="AK1282" i="1"/>
  <c r="AK1281" i="1"/>
  <c r="AK1280" i="1"/>
  <c r="AK1279" i="1"/>
  <c r="AK1278" i="1"/>
  <c r="AK1277" i="1"/>
  <c r="AK1276" i="1"/>
  <c r="AK1275" i="1"/>
  <c r="AK1274" i="1"/>
  <c r="AK1273" i="1"/>
  <c r="AK1272" i="1"/>
  <c r="AK1271" i="1"/>
  <c r="AK1270" i="1"/>
  <c r="AK1269" i="1"/>
  <c r="AK1268" i="1"/>
  <c r="AK1267" i="1"/>
  <c r="AK1266" i="1"/>
  <c r="AK1265" i="1"/>
  <c r="AK1264" i="1"/>
  <c r="AK1263" i="1"/>
  <c r="AK1262" i="1"/>
  <c r="AK1261" i="1"/>
  <c r="AK1260" i="1"/>
  <c r="AK1259" i="1"/>
  <c r="AK1258" i="1"/>
  <c r="AK1257" i="1"/>
  <c r="AK1256" i="1"/>
  <c r="AK1255" i="1"/>
  <c r="AK1254" i="1"/>
  <c r="AK1253" i="1"/>
  <c r="AK1252" i="1"/>
  <c r="AK1251" i="1"/>
  <c r="AK1250" i="1"/>
  <c r="AK1249" i="1"/>
  <c r="AK1248" i="1"/>
  <c r="AK1247" i="1"/>
  <c r="AK1246" i="1"/>
  <c r="AK1245" i="1"/>
  <c r="AK1244" i="1"/>
  <c r="AK1243" i="1"/>
  <c r="AK1242" i="1"/>
  <c r="AK1241" i="1"/>
  <c r="AK1240" i="1"/>
  <c r="AK1239" i="1"/>
  <c r="AK1238" i="1"/>
  <c r="AK1237" i="1"/>
  <c r="AK1236" i="1"/>
  <c r="AK1235" i="1"/>
  <c r="AK1234" i="1"/>
  <c r="AK1233" i="1"/>
  <c r="AK1232" i="1"/>
  <c r="AK1231" i="1"/>
  <c r="AK1230" i="1"/>
  <c r="AK1229" i="1"/>
  <c r="AK1228" i="1"/>
  <c r="AK1227" i="1"/>
  <c r="AK1226" i="1"/>
  <c r="AK1225" i="1"/>
  <c r="AK1224" i="1"/>
  <c r="AK1223" i="1"/>
  <c r="AK1222" i="1"/>
  <c r="AK1221" i="1"/>
  <c r="AK1220" i="1"/>
  <c r="AK1219" i="1"/>
  <c r="AK1218" i="1"/>
  <c r="AK1217" i="1"/>
  <c r="AK1216" i="1"/>
  <c r="AK1215" i="1"/>
  <c r="AK1214" i="1"/>
  <c r="AK1213" i="1"/>
  <c r="AK1212" i="1"/>
  <c r="AK1211" i="1"/>
  <c r="AK1210" i="1"/>
  <c r="AK1209" i="1"/>
  <c r="AK1208" i="1"/>
  <c r="AK1207" i="1"/>
  <c r="AK1206" i="1"/>
  <c r="AK1205" i="1"/>
  <c r="AK1204" i="1"/>
  <c r="AK1203" i="1"/>
  <c r="AK1202" i="1"/>
  <c r="AK1201" i="1"/>
  <c r="AK1200" i="1"/>
  <c r="AK1199" i="1"/>
  <c r="AK1198" i="1"/>
  <c r="AK1197" i="1"/>
  <c r="AK1196" i="1"/>
  <c r="AK1195" i="1"/>
  <c r="AK1194" i="1"/>
  <c r="AK1193" i="1"/>
  <c r="AK1192" i="1"/>
  <c r="AK1191" i="1"/>
  <c r="AK1190" i="1"/>
  <c r="AK1189" i="1"/>
  <c r="AK1188" i="1"/>
  <c r="AK1187" i="1"/>
  <c r="AK1186" i="1"/>
  <c r="AK1185" i="1"/>
  <c r="AK1184" i="1"/>
  <c r="AK1183" i="1"/>
  <c r="AK1182" i="1"/>
  <c r="AK1181" i="1"/>
  <c r="AK1180" i="1"/>
  <c r="AK1179" i="1"/>
  <c r="AK1178" i="1"/>
  <c r="AK1177" i="1"/>
  <c r="AK1176" i="1"/>
  <c r="AK1175" i="1"/>
  <c r="AK1174" i="1"/>
  <c r="AK1173" i="1"/>
  <c r="AK1172" i="1"/>
  <c r="AK1171" i="1"/>
  <c r="AK1170" i="1"/>
  <c r="AK1169" i="1"/>
  <c r="AK1168" i="1"/>
  <c r="AK1167" i="1"/>
  <c r="AK1166" i="1"/>
  <c r="AK1165" i="1"/>
  <c r="AK1164" i="1"/>
  <c r="AK1163" i="1"/>
  <c r="AK1162" i="1"/>
  <c r="AK1161" i="1"/>
  <c r="AK1160" i="1"/>
  <c r="AK1159" i="1"/>
  <c r="AK1158" i="1"/>
  <c r="AK1157" i="1"/>
  <c r="AK1156" i="1"/>
  <c r="AK1155" i="1"/>
  <c r="AK1154" i="1"/>
  <c r="AK1153" i="1"/>
  <c r="AK1152" i="1"/>
  <c r="AK1151" i="1"/>
  <c r="AK1150" i="1"/>
  <c r="AK1149" i="1"/>
  <c r="AK1148" i="1"/>
  <c r="AK1147" i="1"/>
  <c r="AK1146" i="1"/>
  <c r="AK1145" i="1"/>
  <c r="AK1144" i="1"/>
  <c r="AK1143" i="1"/>
  <c r="AK1142" i="1"/>
  <c r="AK1141" i="1"/>
  <c r="AK1140" i="1"/>
  <c r="AK1139" i="1"/>
  <c r="AK1138" i="1"/>
  <c r="AK1137" i="1"/>
  <c r="AK1136" i="1"/>
  <c r="AK1135" i="1"/>
  <c r="AK1134" i="1"/>
  <c r="AK1133" i="1"/>
  <c r="AK1132" i="1"/>
  <c r="AK1131" i="1"/>
  <c r="AK1130" i="1"/>
  <c r="AK1129" i="1"/>
  <c r="AK1128" i="1"/>
  <c r="AK1127" i="1"/>
  <c r="AK1126" i="1"/>
  <c r="AK1125" i="1"/>
  <c r="AK1124" i="1"/>
  <c r="AK1123" i="1"/>
  <c r="AK1122" i="1"/>
  <c r="AK1121" i="1"/>
  <c r="AK1120" i="1"/>
  <c r="AK1119" i="1"/>
  <c r="AK1118" i="1"/>
  <c r="AK1117" i="1"/>
  <c r="AK1116" i="1"/>
  <c r="AK1115" i="1"/>
  <c r="AK1114" i="1"/>
  <c r="AK1113" i="1"/>
  <c r="AK1112" i="1"/>
  <c r="AK1111" i="1"/>
  <c r="AK1110" i="1"/>
  <c r="AK1109" i="1"/>
  <c r="AK1108" i="1"/>
  <c r="AK1107" i="1"/>
  <c r="AK1106" i="1"/>
  <c r="AK1105" i="1"/>
  <c r="AK1104" i="1"/>
  <c r="AK1103" i="1"/>
  <c r="AK1102" i="1"/>
  <c r="AK1101" i="1"/>
  <c r="AK1100" i="1"/>
  <c r="AK1099" i="1"/>
  <c r="AK1098" i="1"/>
  <c r="AK1097" i="1"/>
  <c r="AK1096" i="1"/>
  <c r="AK1095" i="1"/>
  <c r="AK1094" i="1"/>
  <c r="AK1093" i="1"/>
  <c r="AK1092" i="1"/>
  <c r="AK1091" i="1"/>
  <c r="AK1090" i="1"/>
  <c r="AK1089" i="1"/>
  <c r="AK1088" i="1"/>
  <c r="AK1087" i="1"/>
  <c r="AK1086" i="1"/>
  <c r="AK1085" i="1"/>
  <c r="AK1084" i="1"/>
  <c r="AK1083" i="1"/>
  <c r="AK1082" i="1"/>
  <c r="AK1081" i="1"/>
  <c r="AK1080" i="1"/>
  <c r="AK1079" i="1"/>
  <c r="AK1078" i="1"/>
  <c r="AK1077" i="1"/>
  <c r="AK1076" i="1"/>
  <c r="AK1075" i="1"/>
  <c r="AK1074" i="1"/>
  <c r="AK1073" i="1"/>
  <c r="AK1072" i="1"/>
  <c r="AK1071" i="1"/>
  <c r="AK1070" i="1"/>
  <c r="AK1069" i="1"/>
  <c r="AK1068" i="1"/>
  <c r="AK1067" i="1"/>
  <c r="AK1066" i="1"/>
  <c r="AK1065" i="1"/>
  <c r="AK1064" i="1"/>
  <c r="AK1063" i="1"/>
  <c r="AK1062" i="1"/>
  <c r="AK1061" i="1"/>
  <c r="AK1060" i="1"/>
  <c r="AK1059" i="1"/>
  <c r="AK1058" i="1"/>
  <c r="AK1057" i="1"/>
  <c r="AK1056" i="1"/>
  <c r="AK1055" i="1"/>
  <c r="AK1054" i="1"/>
  <c r="AK1053" i="1"/>
  <c r="AK1052" i="1"/>
  <c r="AK1051" i="1"/>
  <c r="AK1050" i="1"/>
  <c r="AK1049" i="1"/>
  <c r="AK1048" i="1"/>
  <c r="AK1047" i="1"/>
  <c r="AK1046" i="1"/>
  <c r="AK1045" i="1"/>
  <c r="AK1044" i="1"/>
  <c r="AK1043" i="1"/>
  <c r="AK1042" i="1"/>
  <c r="AK1041" i="1"/>
  <c r="AK1040" i="1"/>
  <c r="AK1039" i="1"/>
  <c r="AK1038" i="1"/>
  <c r="AK1037" i="1"/>
  <c r="AK1036" i="1"/>
  <c r="AK1035" i="1"/>
  <c r="AK1034" i="1"/>
  <c r="AK1033" i="1"/>
  <c r="AK1032" i="1"/>
  <c r="AK1031" i="1"/>
  <c r="AK1030" i="1"/>
  <c r="AK1029" i="1"/>
  <c r="AK1028" i="1"/>
  <c r="AK1027" i="1"/>
  <c r="AK1026" i="1"/>
  <c r="AK1025" i="1"/>
  <c r="AK1024" i="1"/>
  <c r="AK1023" i="1"/>
  <c r="AK1022" i="1"/>
  <c r="AK1021" i="1"/>
  <c r="AK1020" i="1"/>
  <c r="AK1019" i="1"/>
  <c r="AK1018" i="1"/>
  <c r="AK1017" i="1"/>
  <c r="AK1016" i="1"/>
  <c r="AK1015" i="1"/>
  <c r="AK1014" i="1"/>
  <c r="AK1013" i="1"/>
  <c r="AK1012" i="1"/>
  <c r="AK1011" i="1"/>
  <c r="AK1010" i="1"/>
  <c r="AK1009" i="1"/>
  <c r="AK1008" i="1"/>
  <c r="AK1007" i="1"/>
  <c r="AK1006" i="1"/>
  <c r="AK1005" i="1"/>
  <c r="AK1004" i="1"/>
  <c r="AK1003" i="1"/>
  <c r="AK1002" i="1"/>
  <c r="AK1001" i="1"/>
  <c r="AK1000" i="1"/>
  <c r="AK999" i="1"/>
  <c r="AK998" i="1"/>
  <c r="AK997" i="1"/>
  <c r="AK996" i="1"/>
  <c r="AK995" i="1"/>
  <c r="AK994" i="1"/>
  <c r="AK993" i="1"/>
  <c r="AK992" i="1"/>
  <c r="AK991" i="1"/>
  <c r="AK990" i="1"/>
  <c r="AK989" i="1"/>
  <c r="AK988" i="1"/>
  <c r="AK987" i="1"/>
  <c r="AK986" i="1"/>
  <c r="AK985" i="1"/>
  <c r="AK984" i="1"/>
  <c r="AK983" i="1"/>
  <c r="AK982" i="1"/>
  <c r="AK981" i="1"/>
  <c r="AK980" i="1"/>
  <c r="AK979" i="1"/>
  <c r="AK978" i="1"/>
  <c r="AK977" i="1"/>
  <c r="AK976" i="1"/>
  <c r="AK975" i="1"/>
  <c r="AK974" i="1"/>
  <c r="AK973" i="1"/>
  <c r="AK972" i="1"/>
  <c r="AK971" i="1"/>
  <c r="AK970" i="1"/>
  <c r="AK969" i="1"/>
  <c r="AK968" i="1"/>
  <c r="AK967" i="1"/>
  <c r="AK966" i="1"/>
  <c r="AK965" i="1"/>
  <c r="AK964" i="1"/>
  <c r="AK963" i="1"/>
  <c r="AK962" i="1"/>
  <c r="AK961" i="1"/>
  <c r="AK960" i="1"/>
  <c r="AK959" i="1"/>
  <c r="AK958" i="1"/>
  <c r="AK957" i="1"/>
  <c r="AK956" i="1"/>
  <c r="AK955" i="1"/>
  <c r="AK954" i="1"/>
  <c r="AK953" i="1"/>
  <c r="AK952" i="1"/>
  <c r="AK951" i="1"/>
  <c r="AK950" i="1"/>
  <c r="AK949" i="1"/>
  <c r="AK948" i="1"/>
  <c r="AK947" i="1"/>
  <c r="AK946" i="1"/>
  <c r="AK945" i="1"/>
  <c r="AK944" i="1"/>
  <c r="AK943" i="1"/>
  <c r="AK942" i="1"/>
  <c r="AK941" i="1"/>
  <c r="AK940" i="1"/>
  <c r="AK939" i="1"/>
  <c r="AK938" i="1"/>
  <c r="AK937" i="1"/>
  <c r="AK936" i="1"/>
  <c r="AK935" i="1"/>
  <c r="AK934" i="1"/>
  <c r="AK933" i="1"/>
  <c r="AK932" i="1"/>
  <c r="AK931" i="1"/>
  <c r="AK930" i="1"/>
  <c r="AK929" i="1"/>
  <c r="AK928" i="1"/>
  <c r="AK927" i="1"/>
  <c r="AK926" i="1"/>
  <c r="AK925" i="1"/>
  <c r="AK924" i="1"/>
  <c r="AK923" i="1"/>
  <c r="AK922" i="1"/>
  <c r="AK921" i="1"/>
  <c r="AK920" i="1"/>
  <c r="AK919" i="1"/>
  <c r="AK918" i="1"/>
  <c r="AK917" i="1"/>
  <c r="AK916" i="1"/>
  <c r="AK915" i="1"/>
  <c r="AK914" i="1"/>
  <c r="AK913" i="1"/>
  <c r="AK912" i="1"/>
  <c r="AK911" i="1"/>
  <c r="AK910" i="1"/>
  <c r="AK909" i="1"/>
  <c r="AK908" i="1"/>
  <c r="AK907" i="1"/>
  <c r="AK906" i="1"/>
  <c r="AK905" i="1"/>
  <c r="AK904" i="1"/>
  <c r="AK903" i="1"/>
  <c r="AK902" i="1"/>
  <c r="AK901" i="1"/>
  <c r="AK900" i="1"/>
  <c r="AK899" i="1"/>
  <c r="AK898" i="1"/>
  <c r="AK897" i="1"/>
  <c r="AK896" i="1"/>
  <c r="AK895" i="1"/>
  <c r="AK894" i="1"/>
  <c r="AK893" i="1"/>
  <c r="AK892" i="1"/>
  <c r="AK891" i="1"/>
  <c r="AK890" i="1"/>
  <c r="AK889" i="1"/>
  <c r="AK888" i="1"/>
  <c r="AK887" i="1"/>
  <c r="AK886" i="1"/>
  <c r="AK885" i="1"/>
  <c r="AK884" i="1"/>
  <c r="AK883" i="1"/>
  <c r="AK882" i="1"/>
  <c r="AK881" i="1"/>
  <c r="AK880" i="1"/>
  <c r="AK879" i="1"/>
  <c r="AK878" i="1"/>
  <c r="AK877" i="1"/>
  <c r="AK876" i="1"/>
  <c r="AK875" i="1"/>
  <c r="AK874" i="1"/>
  <c r="AK873" i="1"/>
  <c r="AK872" i="1"/>
  <c r="AK871" i="1"/>
  <c r="AK870" i="1"/>
  <c r="AK869" i="1"/>
  <c r="AK868" i="1"/>
  <c r="AK867" i="1"/>
  <c r="AK866" i="1"/>
  <c r="AK865" i="1"/>
  <c r="AK864" i="1"/>
  <c r="AK863" i="1"/>
  <c r="AK862" i="1"/>
  <c r="AK861" i="1"/>
  <c r="AK860" i="1"/>
  <c r="AK859" i="1"/>
  <c r="AK858" i="1"/>
  <c r="AK857" i="1"/>
  <c r="AK856" i="1"/>
  <c r="AK855" i="1"/>
  <c r="AK854" i="1"/>
  <c r="AK853" i="1"/>
  <c r="AK852" i="1"/>
  <c r="AK851" i="1"/>
  <c r="AK850" i="1"/>
  <c r="AK849" i="1"/>
  <c r="AK848" i="1"/>
  <c r="AK847" i="1"/>
  <c r="AK846" i="1"/>
  <c r="AK845" i="1"/>
  <c r="AK844" i="1"/>
  <c r="AK843" i="1"/>
  <c r="AK842" i="1"/>
  <c r="AK841" i="1"/>
  <c r="AK840" i="1"/>
  <c r="AK839" i="1"/>
  <c r="AK838" i="1"/>
  <c r="AK837" i="1"/>
  <c r="AK836" i="1"/>
  <c r="AK835" i="1"/>
  <c r="AK834" i="1"/>
  <c r="AK833" i="1"/>
  <c r="AK832" i="1"/>
  <c r="AK831" i="1"/>
  <c r="AK830" i="1"/>
  <c r="AK829" i="1"/>
  <c r="AK828" i="1"/>
  <c r="AK827" i="1"/>
  <c r="AK826" i="1"/>
  <c r="AK825" i="1"/>
  <c r="AK824" i="1"/>
  <c r="AK823" i="1"/>
  <c r="AK822" i="1"/>
  <c r="AK821" i="1"/>
  <c r="AK820" i="1"/>
  <c r="AK819" i="1"/>
  <c r="AK818" i="1"/>
  <c r="AK817" i="1"/>
  <c r="AK816" i="1"/>
  <c r="AK815" i="1"/>
  <c r="AK814" i="1"/>
  <c r="AK813" i="1"/>
  <c r="AK812" i="1"/>
  <c r="AK811" i="1"/>
  <c r="AK810" i="1"/>
  <c r="AK809" i="1"/>
  <c r="AK808" i="1"/>
  <c r="AK807" i="1"/>
  <c r="AK806" i="1"/>
  <c r="AK805" i="1"/>
  <c r="AK804" i="1"/>
  <c r="AK803" i="1"/>
  <c r="AK802" i="1"/>
  <c r="AK801" i="1"/>
  <c r="AK800" i="1"/>
  <c r="AK799" i="1"/>
  <c r="AK798" i="1"/>
  <c r="AK797" i="1"/>
  <c r="AK796" i="1"/>
  <c r="AK795" i="1"/>
  <c r="AK794" i="1"/>
  <c r="AK793" i="1"/>
  <c r="AK792" i="1"/>
  <c r="AK791" i="1"/>
  <c r="AK790" i="1"/>
  <c r="AK789" i="1"/>
  <c r="AK788" i="1"/>
  <c r="AK787" i="1"/>
  <c r="AK786" i="1"/>
  <c r="AK785" i="1"/>
  <c r="AK784" i="1"/>
  <c r="AK783" i="1"/>
  <c r="AK782" i="1"/>
  <c r="AK781" i="1"/>
  <c r="AK780" i="1"/>
  <c r="AK779" i="1"/>
  <c r="AK778" i="1"/>
  <c r="AK777" i="1"/>
  <c r="AK776" i="1"/>
  <c r="AK775" i="1"/>
  <c r="AK774" i="1"/>
  <c r="AK773" i="1"/>
  <c r="AK772" i="1"/>
  <c r="AK771" i="1"/>
  <c r="AK770" i="1"/>
  <c r="AK769" i="1"/>
  <c r="AK768" i="1"/>
  <c r="AK767" i="1"/>
  <c r="AK766" i="1"/>
  <c r="AK765" i="1"/>
  <c r="AK764" i="1"/>
  <c r="AK763" i="1"/>
  <c r="AK762" i="1"/>
  <c r="AK761" i="1"/>
  <c r="AK760" i="1"/>
  <c r="AK759" i="1"/>
  <c r="AK758" i="1"/>
  <c r="AK757" i="1"/>
  <c r="AK756" i="1"/>
  <c r="AK755" i="1"/>
  <c r="AK754" i="1"/>
  <c r="AK753" i="1"/>
  <c r="AK752" i="1"/>
  <c r="AK751" i="1"/>
  <c r="AK750" i="1"/>
  <c r="AK749" i="1"/>
  <c r="AK748" i="1"/>
  <c r="AK747" i="1"/>
  <c r="AK746" i="1"/>
  <c r="AK745" i="1"/>
  <c r="AK744" i="1"/>
  <c r="AK743" i="1"/>
  <c r="AK742" i="1"/>
  <c r="AK741" i="1"/>
  <c r="AK740" i="1"/>
  <c r="AK739" i="1"/>
  <c r="AK738" i="1"/>
  <c r="AK737" i="1"/>
  <c r="AK736" i="1"/>
  <c r="AK735" i="1"/>
  <c r="AK734" i="1"/>
  <c r="AK733" i="1"/>
  <c r="AK732" i="1"/>
  <c r="AK731" i="1"/>
  <c r="AK730" i="1"/>
  <c r="AK729" i="1"/>
  <c r="AK728" i="1"/>
  <c r="AK727" i="1"/>
  <c r="AK726" i="1"/>
  <c r="AK725" i="1"/>
  <c r="AK724" i="1"/>
  <c r="AK723" i="1"/>
  <c r="AK722" i="1"/>
  <c r="AK721" i="1"/>
  <c r="AK720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C105" i="2"/>
  <c r="B93" i="2"/>
  <c r="B94" i="2"/>
  <c r="B48" i="2"/>
  <c r="D23" i="2"/>
  <c r="C23" i="2"/>
  <c r="B23" i="2"/>
  <c r="D22" i="2"/>
  <c r="C22" i="2"/>
  <c r="B22" i="2"/>
  <c r="J5" i="2"/>
  <c r="K5" i="2"/>
  <c r="L5" i="2"/>
  <c r="F97" i="6"/>
  <c r="F98" i="6"/>
  <c r="G13" i="6"/>
  <c r="G16" i="6"/>
  <c r="F99" i="6"/>
  <c r="F100" i="6"/>
  <c r="F60" i="6"/>
  <c r="G45" i="6"/>
  <c r="G15" i="6"/>
  <c r="F58" i="6"/>
  <c r="F61" i="6"/>
  <c r="F101" i="6"/>
  <c r="F55" i="6"/>
  <c r="G46" i="6"/>
  <c r="F56" i="6"/>
  <c r="G47" i="6"/>
  <c r="F59" i="6"/>
  <c r="G14" i="6"/>
  <c r="F62" i="6"/>
  <c r="F57" i="6"/>
  <c r="AN1464" i="1" l="1"/>
  <c r="AL1319" i="1"/>
  <c r="AL889" i="1"/>
  <c r="AL937" i="1"/>
  <c r="AL977" i="1"/>
  <c r="AL1017" i="1"/>
  <c r="AL1065" i="1"/>
  <c r="AL1105" i="1"/>
  <c r="AL1145" i="1"/>
  <c r="AL1177" i="1"/>
  <c r="AL1209" i="1"/>
  <c r="AL1233" i="1"/>
  <c r="AL1298" i="1"/>
  <c r="AL1330" i="1"/>
  <c r="AL1277" i="1"/>
  <c r="AL1325" i="1"/>
  <c r="AL1389" i="1"/>
  <c r="AM1469" i="1"/>
  <c r="AN1469" i="1"/>
  <c r="AL897" i="1"/>
  <c r="AL929" i="1"/>
  <c r="AL969" i="1"/>
  <c r="AL1009" i="1"/>
  <c r="AL1057" i="1"/>
  <c r="AL1097" i="1"/>
  <c r="AL1137" i="1"/>
  <c r="AL1169" i="1"/>
  <c r="AL1201" i="1"/>
  <c r="AL1241" i="1"/>
  <c r="AL1438" i="1"/>
  <c r="AL1453" i="1"/>
  <c r="AM1468" i="1"/>
  <c r="AN1468" i="1"/>
  <c r="AL1023" i="1"/>
  <c r="AL1031" i="1"/>
  <c r="AL1039" i="1"/>
  <c r="AL1087" i="1"/>
  <c r="AL1095" i="1"/>
  <c r="AL1103" i="1"/>
  <c r="AL1151" i="1"/>
  <c r="AL1159" i="1"/>
  <c r="AL1167" i="1"/>
  <c r="AL1215" i="1"/>
  <c r="AL1223" i="1"/>
  <c r="AL1231" i="1"/>
  <c r="AL1271" i="1"/>
  <c r="AL1303" i="1"/>
  <c r="AL1343" i="1"/>
  <c r="AL1367" i="1"/>
  <c r="AL1407" i="1"/>
  <c r="AL1423" i="1"/>
  <c r="AL1439" i="1"/>
  <c r="AL1463" i="1"/>
  <c r="AM1467" i="1"/>
  <c r="AN1467" i="1"/>
  <c r="AM1466" i="1"/>
  <c r="AN1466" i="1"/>
  <c r="AL905" i="1"/>
  <c r="AL945" i="1"/>
  <c r="AL985" i="1"/>
  <c r="AL1033" i="1"/>
  <c r="AL1049" i="1"/>
  <c r="AL1081" i="1"/>
  <c r="AL1121" i="1"/>
  <c r="AL1161" i="1"/>
  <c r="AL1193" i="1"/>
  <c r="AL1225" i="1"/>
  <c r="AL1257" i="1"/>
  <c r="AL1273" i="1"/>
  <c r="AL1289" i="1"/>
  <c r="AL1297" i="1"/>
  <c r="AL1313" i="1"/>
  <c r="AL1321" i="1"/>
  <c r="AL1329" i="1"/>
  <c r="AM1337" i="1"/>
  <c r="AL1345" i="1"/>
  <c r="AL1353" i="1"/>
  <c r="AL1361" i="1"/>
  <c r="AL1369" i="1"/>
  <c r="AL1377" i="1"/>
  <c r="AL1385" i="1"/>
  <c r="AL1393" i="1"/>
  <c r="AL1401" i="1"/>
  <c r="AL1409" i="1"/>
  <c r="AM1465" i="1"/>
  <c r="AN1465" i="1"/>
  <c r="AL857" i="1"/>
  <c r="AL921" i="1"/>
  <c r="AL961" i="1"/>
  <c r="AL1001" i="1"/>
  <c r="AL1073" i="1"/>
  <c r="AL1113" i="1"/>
  <c r="AL1153" i="1"/>
  <c r="AL1185" i="1"/>
  <c r="AL1217" i="1"/>
  <c r="AL1249" i="1"/>
  <c r="AL1265" i="1"/>
  <c r="AL1281" i="1"/>
  <c r="AL1305" i="1"/>
  <c r="AL2" i="1"/>
  <c r="AM1464" i="1"/>
  <c r="AL913" i="1"/>
  <c r="AL953" i="1"/>
  <c r="AL993" i="1"/>
  <c r="AL1025" i="1"/>
  <c r="AL1041" i="1"/>
  <c r="AM1089" i="1"/>
  <c r="AL1129" i="1"/>
  <c r="AL1314" i="1"/>
  <c r="AL1322" i="1"/>
  <c r="AL1338" i="1"/>
  <c r="AL1346" i="1"/>
  <c r="AL1354" i="1"/>
  <c r="AL1378" i="1"/>
  <c r="AL1386" i="1"/>
  <c r="AL1394" i="1"/>
  <c r="AL1402" i="1"/>
  <c r="AL1410" i="1"/>
  <c r="AL1418" i="1"/>
  <c r="AL1426" i="1"/>
  <c r="AL1434" i="1"/>
  <c r="AL1442" i="1"/>
  <c r="AL1450" i="1"/>
  <c r="AM1471" i="1"/>
  <c r="AN1471" i="1"/>
  <c r="AL1464" i="1"/>
  <c r="AL1471" i="1"/>
  <c r="AO10" i="1"/>
  <c r="AN10" i="1"/>
  <c r="AM10" i="1"/>
  <c r="AL10" i="1"/>
  <c r="AO34" i="1"/>
  <c r="AN34" i="1"/>
  <c r="AM34" i="1"/>
  <c r="AL34" i="1"/>
  <c r="AO50" i="1"/>
  <c r="AN50" i="1"/>
  <c r="AM50" i="1"/>
  <c r="AL50" i="1"/>
  <c r="AO66" i="1"/>
  <c r="AN66" i="1"/>
  <c r="AM66" i="1"/>
  <c r="AL66" i="1"/>
  <c r="AO90" i="1"/>
  <c r="AN90" i="1"/>
  <c r="AM90" i="1"/>
  <c r="AL90" i="1"/>
  <c r="AL722" i="1"/>
  <c r="AL746" i="1"/>
  <c r="AL794" i="1"/>
  <c r="AL810" i="1"/>
  <c r="AL850" i="1"/>
  <c r="AO4" i="1"/>
  <c r="AN4" i="1"/>
  <c r="AM4" i="1"/>
  <c r="AL4" i="1"/>
  <c r="AO12" i="1"/>
  <c r="AN12" i="1"/>
  <c r="AM12" i="1"/>
  <c r="AL12" i="1"/>
  <c r="AO20" i="1"/>
  <c r="AN20" i="1"/>
  <c r="AM20" i="1"/>
  <c r="AL20" i="1"/>
  <c r="AO28" i="1"/>
  <c r="AN28" i="1"/>
  <c r="AM28" i="1"/>
  <c r="AL28" i="1"/>
  <c r="AO36" i="1"/>
  <c r="AN36" i="1"/>
  <c r="AM36" i="1"/>
  <c r="AL36" i="1"/>
  <c r="AO44" i="1"/>
  <c r="AN44" i="1"/>
  <c r="AM44" i="1"/>
  <c r="AL44" i="1"/>
  <c r="AO52" i="1"/>
  <c r="AN52" i="1"/>
  <c r="AM52" i="1"/>
  <c r="AL52" i="1"/>
  <c r="AO60" i="1"/>
  <c r="AN60" i="1"/>
  <c r="AM60" i="1"/>
  <c r="AL60" i="1"/>
  <c r="AO68" i="1"/>
  <c r="AN68" i="1"/>
  <c r="AM68" i="1"/>
  <c r="AL68" i="1"/>
  <c r="AO76" i="1"/>
  <c r="AN76" i="1"/>
  <c r="AM76" i="1"/>
  <c r="AL76" i="1"/>
  <c r="AN84" i="1"/>
  <c r="AO84" i="1"/>
  <c r="AM84" i="1"/>
  <c r="AL84" i="1"/>
  <c r="AO92" i="1"/>
  <c r="AN92" i="1"/>
  <c r="AM92" i="1"/>
  <c r="AL92" i="1"/>
  <c r="AN100" i="1"/>
  <c r="AO100" i="1"/>
  <c r="AM100" i="1"/>
  <c r="AL100" i="1"/>
  <c r="AO108" i="1"/>
  <c r="AN108" i="1"/>
  <c r="AM108" i="1"/>
  <c r="AL108" i="1"/>
  <c r="AN116" i="1"/>
  <c r="AO116" i="1"/>
  <c r="AM116" i="1"/>
  <c r="AL116" i="1"/>
  <c r="AO124" i="1"/>
  <c r="AN124" i="1"/>
  <c r="AM124" i="1"/>
  <c r="AL124" i="1"/>
  <c r="AO132" i="1"/>
  <c r="AN132" i="1"/>
  <c r="AM132" i="1"/>
  <c r="AL132" i="1"/>
  <c r="AO140" i="1"/>
  <c r="AN140" i="1"/>
  <c r="AM140" i="1"/>
  <c r="AL140" i="1"/>
  <c r="AN148" i="1"/>
  <c r="AO148" i="1"/>
  <c r="AM148" i="1"/>
  <c r="AL148" i="1"/>
  <c r="AO156" i="1"/>
  <c r="AN156" i="1"/>
  <c r="AM156" i="1"/>
  <c r="AL156" i="1"/>
  <c r="AN164" i="1"/>
  <c r="AO164" i="1"/>
  <c r="AM164" i="1"/>
  <c r="AL164" i="1"/>
  <c r="AO172" i="1"/>
  <c r="AN172" i="1"/>
  <c r="AM172" i="1"/>
  <c r="AL172" i="1"/>
  <c r="AO180" i="1"/>
  <c r="AN180" i="1"/>
  <c r="AM180" i="1"/>
  <c r="AL180" i="1"/>
  <c r="AN188" i="1"/>
  <c r="AO188" i="1"/>
  <c r="AM188" i="1"/>
  <c r="AL188" i="1"/>
  <c r="AO196" i="1"/>
  <c r="AN196" i="1"/>
  <c r="AM196" i="1"/>
  <c r="AL196" i="1"/>
  <c r="AN204" i="1"/>
  <c r="AO204" i="1"/>
  <c r="AM204" i="1"/>
  <c r="AL204" i="1"/>
  <c r="AO212" i="1"/>
  <c r="AN212" i="1"/>
  <c r="AM212" i="1"/>
  <c r="AL212" i="1"/>
  <c r="AO220" i="1"/>
  <c r="AN220" i="1"/>
  <c r="AM220" i="1"/>
  <c r="AL220" i="1"/>
  <c r="AN228" i="1"/>
  <c r="AO228" i="1"/>
  <c r="AM228" i="1"/>
  <c r="AL228" i="1"/>
  <c r="AO236" i="1"/>
  <c r="AN236" i="1"/>
  <c r="AM236" i="1"/>
  <c r="AL236" i="1"/>
  <c r="AO244" i="1"/>
  <c r="AN244" i="1"/>
  <c r="AM244" i="1"/>
  <c r="AL244" i="1"/>
  <c r="AO252" i="1"/>
  <c r="AN252" i="1"/>
  <c r="AM252" i="1"/>
  <c r="AL252" i="1"/>
  <c r="AO260" i="1"/>
  <c r="AN260" i="1"/>
  <c r="AM260" i="1"/>
  <c r="AL260" i="1"/>
  <c r="AN268" i="1"/>
  <c r="AO268" i="1"/>
  <c r="AM268" i="1"/>
  <c r="AL268" i="1"/>
  <c r="AO276" i="1"/>
  <c r="AN276" i="1"/>
  <c r="AM276" i="1"/>
  <c r="AL276" i="1"/>
  <c r="AO284" i="1"/>
  <c r="AN284" i="1"/>
  <c r="AM284" i="1"/>
  <c r="AL284" i="1"/>
  <c r="AO292" i="1"/>
  <c r="AN292" i="1"/>
  <c r="AM292" i="1"/>
  <c r="AL292" i="1"/>
  <c r="AO300" i="1"/>
  <c r="AN300" i="1"/>
  <c r="AM300" i="1"/>
  <c r="AL300" i="1"/>
  <c r="AO308" i="1"/>
  <c r="AN308" i="1"/>
  <c r="AM308" i="1"/>
  <c r="AL308" i="1"/>
  <c r="AO316" i="1"/>
  <c r="AN316" i="1"/>
  <c r="AM316" i="1"/>
  <c r="AL316" i="1"/>
  <c r="AO18" i="1"/>
  <c r="AN18" i="1"/>
  <c r="AM18" i="1"/>
  <c r="AL18" i="1"/>
  <c r="AL706" i="1"/>
  <c r="AL738" i="1"/>
  <c r="AL786" i="1"/>
  <c r="AL834" i="1"/>
  <c r="AO5" i="1"/>
  <c r="AN5" i="1"/>
  <c r="AM5" i="1"/>
  <c r="AL5" i="1"/>
  <c r="AO13" i="1"/>
  <c r="AN13" i="1"/>
  <c r="AM13" i="1"/>
  <c r="AL13" i="1"/>
  <c r="AO21" i="1"/>
  <c r="AN21" i="1"/>
  <c r="AM21" i="1"/>
  <c r="AL21" i="1"/>
  <c r="AO29" i="1"/>
  <c r="AN29" i="1"/>
  <c r="AM29" i="1"/>
  <c r="AL29" i="1"/>
  <c r="AO37" i="1"/>
  <c r="AN37" i="1"/>
  <c r="AM37" i="1"/>
  <c r="AL37" i="1"/>
  <c r="AO45" i="1"/>
  <c r="AN45" i="1"/>
  <c r="AM45" i="1"/>
  <c r="AL45" i="1"/>
  <c r="AO53" i="1"/>
  <c r="AN53" i="1"/>
  <c r="AM53" i="1"/>
  <c r="AL53" i="1"/>
  <c r="AO61" i="1"/>
  <c r="AN61" i="1"/>
  <c r="AM61" i="1"/>
  <c r="AL61" i="1"/>
  <c r="AO69" i="1"/>
  <c r="AN69" i="1"/>
  <c r="AM69" i="1"/>
  <c r="AL69" i="1"/>
  <c r="AO77" i="1"/>
  <c r="AN77" i="1"/>
  <c r="AM77" i="1"/>
  <c r="AL77" i="1"/>
  <c r="AO85" i="1"/>
  <c r="AN85" i="1"/>
  <c r="AM85" i="1"/>
  <c r="AL85" i="1"/>
  <c r="AO93" i="1"/>
  <c r="AN93" i="1"/>
  <c r="AM93" i="1"/>
  <c r="AL93" i="1"/>
  <c r="AO101" i="1"/>
  <c r="AN101" i="1"/>
  <c r="AM101" i="1"/>
  <c r="AL101" i="1"/>
  <c r="AO109" i="1"/>
  <c r="AN109" i="1"/>
  <c r="AM109" i="1"/>
  <c r="AL109" i="1"/>
  <c r="AO117" i="1"/>
  <c r="AN117" i="1"/>
  <c r="AM117" i="1"/>
  <c r="AL117" i="1"/>
  <c r="AO125" i="1"/>
  <c r="AN125" i="1"/>
  <c r="AM125" i="1"/>
  <c r="AL125" i="1"/>
  <c r="AO133" i="1"/>
  <c r="AN133" i="1"/>
  <c r="AM133" i="1"/>
  <c r="AL133" i="1"/>
  <c r="AO141" i="1"/>
  <c r="AN141" i="1"/>
  <c r="AM141" i="1"/>
  <c r="AL141" i="1"/>
  <c r="AO149" i="1"/>
  <c r="AN149" i="1"/>
  <c r="AM149" i="1"/>
  <c r="AL149" i="1"/>
  <c r="AO157" i="1"/>
  <c r="AN157" i="1"/>
  <c r="AM157" i="1"/>
  <c r="AL157" i="1"/>
  <c r="AO165" i="1"/>
  <c r="AN165" i="1"/>
  <c r="AM165" i="1"/>
  <c r="AL165" i="1"/>
  <c r="AO173" i="1"/>
  <c r="AN173" i="1"/>
  <c r="AM173" i="1"/>
  <c r="AL173" i="1"/>
  <c r="AO181" i="1"/>
  <c r="AN181" i="1"/>
  <c r="AM181" i="1"/>
  <c r="AL181" i="1"/>
  <c r="AO189" i="1"/>
  <c r="AN189" i="1"/>
  <c r="AM189" i="1"/>
  <c r="AL189" i="1"/>
  <c r="AO197" i="1"/>
  <c r="AN197" i="1"/>
  <c r="AM197" i="1"/>
  <c r="AL197" i="1"/>
  <c r="AO205" i="1"/>
  <c r="AN205" i="1"/>
  <c r="AM205" i="1"/>
  <c r="AL205" i="1"/>
  <c r="AO213" i="1"/>
  <c r="AN213" i="1"/>
  <c r="AM213" i="1"/>
  <c r="AL213" i="1"/>
  <c r="AO221" i="1"/>
  <c r="AN221" i="1"/>
  <c r="AM221" i="1"/>
  <c r="AL221" i="1"/>
  <c r="AO229" i="1"/>
  <c r="AN229" i="1"/>
  <c r="AM229" i="1"/>
  <c r="AL229" i="1"/>
  <c r="AO237" i="1"/>
  <c r="AN237" i="1"/>
  <c r="AM237" i="1"/>
  <c r="AL237" i="1"/>
  <c r="AO245" i="1"/>
  <c r="AN245" i="1"/>
  <c r="AM245" i="1"/>
  <c r="AL245" i="1"/>
  <c r="AO253" i="1"/>
  <c r="AN253" i="1"/>
  <c r="AM253" i="1"/>
  <c r="AL253" i="1"/>
  <c r="AO261" i="1"/>
  <c r="AN261" i="1"/>
  <c r="AM261" i="1"/>
  <c r="AL261" i="1"/>
  <c r="AO269" i="1"/>
  <c r="AN269" i="1"/>
  <c r="AM269" i="1"/>
  <c r="AL269" i="1"/>
  <c r="AO277" i="1"/>
  <c r="AN277" i="1"/>
  <c r="AM277" i="1"/>
  <c r="AL277" i="1"/>
  <c r="AO285" i="1"/>
  <c r="AN285" i="1"/>
  <c r="AM285" i="1"/>
  <c r="AL285" i="1"/>
  <c r="AO293" i="1"/>
  <c r="AN293" i="1"/>
  <c r="AM293" i="1"/>
  <c r="AL293" i="1"/>
  <c r="AO301" i="1"/>
  <c r="AN301" i="1"/>
  <c r="AM301" i="1"/>
  <c r="AL301" i="1"/>
  <c r="AO309" i="1"/>
  <c r="AN309" i="1"/>
  <c r="AM309" i="1"/>
  <c r="AL309" i="1"/>
  <c r="AO317" i="1"/>
  <c r="AN317" i="1"/>
  <c r="AM317" i="1"/>
  <c r="AL317" i="1"/>
  <c r="AO325" i="1"/>
  <c r="AN325" i="1"/>
  <c r="AM325" i="1"/>
  <c r="AL325" i="1"/>
  <c r="AO333" i="1"/>
  <c r="AN333" i="1"/>
  <c r="AM333" i="1"/>
  <c r="AL333" i="1"/>
  <c r="AO341" i="1"/>
  <c r="AN341" i="1"/>
  <c r="AM341" i="1"/>
  <c r="AL341" i="1"/>
  <c r="AO349" i="1"/>
  <c r="AN349" i="1"/>
  <c r="AM349" i="1"/>
  <c r="AL349" i="1"/>
  <c r="AO357" i="1"/>
  <c r="AN357" i="1"/>
  <c r="AM357" i="1"/>
  <c r="AL357" i="1"/>
  <c r="AO365" i="1"/>
  <c r="AN365" i="1"/>
  <c r="AM365" i="1"/>
  <c r="AL365" i="1"/>
  <c r="AO373" i="1"/>
  <c r="AN373" i="1"/>
  <c r="AM373" i="1"/>
  <c r="AL373" i="1"/>
  <c r="AO381" i="1"/>
  <c r="AN381" i="1"/>
  <c r="AM381" i="1"/>
  <c r="AL381" i="1"/>
  <c r="AO389" i="1"/>
  <c r="AN389" i="1"/>
  <c r="AM389" i="1"/>
  <c r="AL389" i="1"/>
  <c r="AO397" i="1"/>
  <c r="AN397" i="1"/>
  <c r="AM397" i="1"/>
  <c r="AL397" i="1"/>
  <c r="AO405" i="1"/>
  <c r="AN405" i="1"/>
  <c r="AM405" i="1"/>
  <c r="AL405" i="1"/>
  <c r="AO413" i="1"/>
  <c r="AN413" i="1"/>
  <c r="AM413" i="1"/>
  <c r="AL413" i="1"/>
  <c r="AO421" i="1"/>
  <c r="AN421" i="1"/>
  <c r="AM421" i="1"/>
  <c r="AL421" i="1"/>
  <c r="AO429" i="1"/>
  <c r="AN429" i="1"/>
  <c r="AM429" i="1"/>
  <c r="AL429" i="1"/>
  <c r="AO437" i="1"/>
  <c r="AN437" i="1"/>
  <c r="AM437" i="1"/>
  <c r="AL437" i="1"/>
  <c r="AO445" i="1"/>
  <c r="AN445" i="1"/>
  <c r="AM445" i="1"/>
  <c r="AL445" i="1"/>
  <c r="AO453" i="1"/>
  <c r="AN453" i="1"/>
  <c r="AM453" i="1"/>
  <c r="AL453" i="1"/>
  <c r="AO461" i="1"/>
  <c r="AN461" i="1"/>
  <c r="AM461" i="1"/>
  <c r="AL461" i="1"/>
  <c r="AO469" i="1"/>
  <c r="AN469" i="1"/>
  <c r="AM469" i="1"/>
  <c r="AL469" i="1"/>
  <c r="AO477" i="1"/>
  <c r="AN477" i="1"/>
  <c r="AM477" i="1"/>
  <c r="AL477" i="1"/>
  <c r="AO485" i="1"/>
  <c r="AN485" i="1"/>
  <c r="AM485" i="1"/>
  <c r="AL485" i="1"/>
  <c r="AO493" i="1"/>
  <c r="AN493" i="1"/>
  <c r="AM493" i="1"/>
  <c r="AL493" i="1"/>
  <c r="AO501" i="1"/>
  <c r="AN501" i="1"/>
  <c r="AM501" i="1"/>
  <c r="AL501" i="1"/>
  <c r="AO509" i="1"/>
  <c r="AN509" i="1"/>
  <c r="AM509" i="1"/>
  <c r="AL509" i="1"/>
  <c r="AO517" i="1"/>
  <c r="AN517" i="1"/>
  <c r="AM517" i="1"/>
  <c r="AL517" i="1"/>
  <c r="AO525" i="1"/>
  <c r="AN525" i="1"/>
  <c r="AM525" i="1"/>
  <c r="AL525" i="1"/>
  <c r="AO533" i="1"/>
  <c r="AN533" i="1"/>
  <c r="AM533" i="1"/>
  <c r="AL533" i="1"/>
  <c r="AO541" i="1"/>
  <c r="AN541" i="1"/>
  <c r="AM541" i="1"/>
  <c r="AL541" i="1"/>
  <c r="AO549" i="1"/>
  <c r="AN549" i="1"/>
  <c r="AM549" i="1"/>
  <c r="AL549" i="1"/>
  <c r="AO557" i="1"/>
  <c r="AN557" i="1"/>
  <c r="AM557" i="1"/>
  <c r="AL557" i="1"/>
  <c r="AO565" i="1"/>
  <c r="AN565" i="1"/>
  <c r="AM565" i="1"/>
  <c r="AL565" i="1"/>
  <c r="AO573" i="1"/>
  <c r="AN573" i="1"/>
  <c r="AM573" i="1"/>
  <c r="AL573" i="1"/>
  <c r="AO581" i="1"/>
  <c r="AN581" i="1"/>
  <c r="AM581" i="1"/>
  <c r="AL581" i="1"/>
  <c r="AO589" i="1"/>
  <c r="AN589" i="1"/>
  <c r="AM589" i="1"/>
  <c r="AL589" i="1"/>
  <c r="AO597" i="1"/>
  <c r="AN597" i="1"/>
  <c r="AM597" i="1"/>
  <c r="AL597" i="1"/>
  <c r="AO605" i="1"/>
  <c r="AN605" i="1"/>
  <c r="AM605" i="1"/>
  <c r="AL605" i="1"/>
  <c r="AO613" i="1"/>
  <c r="AN613" i="1"/>
  <c r="AM613" i="1"/>
  <c r="AL613" i="1"/>
  <c r="AO621" i="1"/>
  <c r="AN621" i="1"/>
  <c r="AM621" i="1"/>
  <c r="AL621" i="1"/>
  <c r="AO629" i="1"/>
  <c r="AN629" i="1"/>
  <c r="AM629" i="1"/>
  <c r="AL629" i="1"/>
  <c r="AO637" i="1"/>
  <c r="AN637" i="1"/>
  <c r="AM637" i="1"/>
  <c r="AL637" i="1"/>
  <c r="AO645" i="1"/>
  <c r="AN645" i="1"/>
  <c r="AM645" i="1"/>
  <c r="AL645" i="1"/>
  <c r="AO653" i="1"/>
  <c r="AN653" i="1"/>
  <c r="AM653" i="1"/>
  <c r="AL653" i="1"/>
  <c r="AO661" i="1"/>
  <c r="AN661" i="1"/>
  <c r="AM661" i="1"/>
  <c r="AL661" i="1"/>
  <c r="AO669" i="1"/>
  <c r="AN669" i="1"/>
  <c r="AM669" i="1"/>
  <c r="AL669" i="1"/>
  <c r="AO677" i="1"/>
  <c r="AN677" i="1"/>
  <c r="AM677" i="1"/>
  <c r="AL677" i="1"/>
  <c r="AO685" i="1"/>
  <c r="AN685" i="1"/>
  <c r="AM685" i="1"/>
  <c r="AL685" i="1"/>
  <c r="AO693" i="1"/>
  <c r="AN693" i="1"/>
  <c r="AM693" i="1"/>
  <c r="AL693" i="1"/>
  <c r="AO701" i="1"/>
  <c r="AN701" i="1"/>
  <c r="AM701" i="1"/>
  <c r="AL701" i="1"/>
  <c r="AO709" i="1"/>
  <c r="AN709" i="1"/>
  <c r="AM709" i="1"/>
  <c r="AL709" i="1"/>
  <c r="AO717" i="1"/>
  <c r="AN717" i="1"/>
  <c r="AM717" i="1"/>
  <c r="AL717" i="1"/>
  <c r="AO725" i="1"/>
  <c r="AN725" i="1"/>
  <c r="AM725" i="1"/>
  <c r="AL725" i="1"/>
  <c r="AO733" i="1"/>
  <c r="AN733" i="1"/>
  <c r="AM733" i="1"/>
  <c r="AL733" i="1"/>
  <c r="AO741" i="1"/>
  <c r="AN741" i="1"/>
  <c r="AM741" i="1"/>
  <c r="AL741" i="1"/>
  <c r="AO749" i="1"/>
  <c r="AN749" i="1"/>
  <c r="AM749" i="1"/>
  <c r="AL749" i="1"/>
  <c r="AO757" i="1"/>
  <c r="AN757" i="1"/>
  <c r="AM757" i="1"/>
  <c r="AL757" i="1"/>
  <c r="AO765" i="1"/>
  <c r="AN765" i="1"/>
  <c r="AM765" i="1"/>
  <c r="AL765" i="1"/>
  <c r="AO773" i="1"/>
  <c r="AN773" i="1"/>
  <c r="AM773" i="1"/>
  <c r="AL773" i="1"/>
  <c r="AO781" i="1"/>
  <c r="AN781" i="1"/>
  <c r="AM781" i="1"/>
  <c r="AL781" i="1"/>
  <c r="AO789" i="1"/>
  <c r="AN789" i="1"/>
  <c r="AM789" i="1"/>
  <c r="AL789" i="1"/>
  <c r="AO797" i="1"/>
  <c r="AN797" i="1"/>
  <c r="AM797" i="1"/>
  <c r="AL797" i="1"/>
  <c r="AO805" i="1"/>
  <c r="AN805" i="1"/>
  <c r="AM805" i="1"/>
  <c r="AL805" i="1"/>
  <c r="AO813" i="1"/>
  <c r="AN813" i="1"/>
  <c r="AM813" i="1"/>
  <c r="AL813" i="1"/>
  <c r="AO821" i="1"/>
  <c r="AN821" i="1"/>
  <c r="AM821" i="1"/>
  <c r="AL821" i="1"/>
  <c r="AO829" i="1"/>
  <c r="AN829" i="1"/>
  <c r="AM829" i="1"/>
  <c r="AL829" i="1"/>
  <c r="AO837" i="1"/>
  <c r="AN837" i="1"/>
  <c r="AM837" i="1"/>
  <c r="AL837" i="1"/>
  <c r="AO845" i="1"/>
  <c r="AN845" i="1"/>
  <c r="AM845" i="1"/>
  <c r="AL845" i="1"/>
  <c r="AO853" i="1"/>
  <c r="AN853" i="1"/>
  <c r="AM853" i="1"/>
  <c r="AL853" i="1"/>
  <c r="AO861" i="1"/>
  <c r="AN861" i="1"/>
  <c r="AM861" i="1"/>
  <c r="AL861" i="1"/>
  <c r="AO869" i="1"/>
  <c r="AN869" i="1"/>
  <c r="AM869" i="1"/>
  <c r="AL869" i="1"/>
  <c r="AO877" i="1"/>
  <c r="AN877" i="1"/>
  <c r="AM877" i="1"/>
  <c r="AL877" i="1"/>
  <c r="AO885" i="1"/>
  <c r="AN885" i="1"/>
  <c r="AM885" i="1"/>
  <c r="AL885" i="1"/>
  <c r="AO893" i="1"/>
  <c r="AN893" i="1"/>
  <c r="AM893" i="1"/>
  <c r="AL893" i="1"/>
  <c r="AO901" i="1"/>
  <c r="AN901" i="1"/>
  <c r="AM901" i="1"/>
  <c r="AL901" i="1"/>
  <c r="AO909" i="1"/>
  <c r="AN909" i="1"/>
  <c r="AM909" i="1"/>
  <c r="AL909" i="1"/>
  <c r="AO917" i="1"/>
  <c r="AN917" i="1"/>
  <c r="AM917" i="1"/>
  <c r="AL917" i="1"/>
  <c r="AO925" i="1"/>
  <c r="AN925" i="1"/>
  <c r="AM925" i="1"/>
  <c r="AL925" i="1"/>
  <c r="AO933" i="1"/>
  <c r="AN933" i="1"/>
  <c r="AM933" i="1"/>
  <c r="AL933" i="1"/>
  <c r="AO941" i="1"/>
  <c r="AN941" i="1"/>
  <c r="AM941" i="1"/>
  <c r="AL941" i="1"/>
  <c r="AO949" i="1"/>
  <c r="AN949" i="1"/>
  <c r="AM949" i="1"/>
  <c r="AL949" i="1"/>
  <c r="AO957" i="1"/>
  <c r="AN957" i="1"/>
  <c r="AM957" i="1"/>
  <c r="AL957" i="1"/>
  <c r="AO965" i="1"/>
  <c r="AN965" i="1"/>
  <c r="AM965" i="1"/>
  <c r="AL965" i="1"/>
  <c r="AO973" i="1"/>
  <c r="AN973" i="1"/>
  <c r="AM973" i="1"/>
  <c r="AL973" i="1"/>
  <c r="AO981" i="1"/>
  <c r="AN981" i="1"/>
  <c r="AM981" i="1"/>
  <c r="AL981" i="1"/>
  <c r="AO989" i="1"/>
  <c r="AN989" i="1"/>
  <c r="AM989" i="1"/>
  <c r="AL989" i="1"/>
  <c r="AO997" i="1"/>
  <c r="AN997" i="1"/>
  <c r="AM997" i="1"/>
  <c r="AL997" i="1"/>
  <c r="AO1005" i="1"/>
  <c r="AN1005" i="1"/>
  <c r="AM1005" i="1"/>
  <c r="AL1005" i="1"/>
  <c r="AO1013" i="1"/>
  <c r="AN1013" i="1"/>
  <c r="AM1013" i="1"/>
  <c r="AL1013" i="1"/>
  <c r="AO1021" i="1"/>
  <c r="AN1021" i="1"/>
  <c r="AM1021" i="1"/>
  <c r="AL1021" i="1"/>
  <c r="AO1029" i="1"/>
  <c r="AN1029" i="1"/>
  <c r="AM1029" i="1"/>
  <c r="AL1029" i="1"/>
  <c r="AO1037" i="1"/>
  <c r="AN1037" i="1"/>
  <c r="AM1037" i="1"/>
  <c r="AL1037" i="1"/>
  <c r="AO1045" i="1"/>
  <c r="AN1045" i="1"/>
  <c r="AM1045" i="1"/>
  <c r="AL1045" i="1"/>
  <c r="AO1053" i="1"/>
  <c r="AN1053" i="1"/>
  <c r="AM1053" i="1"/>
  <c r="AL1053" i="1"/>
  <c r="AO1061" i="1"/>
  <c r="AN1061" i="1"/>
  <c r="AM1061" i="1"/>
  <c r="AL1061" i="1"/>
  <c r="AO1069" i="1"/>
  <c r="AN1069" i="1"/>
  <c r="AM1069" i="1"/>
  <c r="AL1069" i="1"/>
  <c r="AO1077" i="1"/>
  <c r="AN1077" i="1"/>
  <c r="AM1077" i="1"/>
  <c r="AL1077" i="1"/>
  <c r="AO1085" i="1"/>
  <c r="AN1085" i="1"/>
  <c r="AM1085" i="1"/>
  <c r="AL1085" i="1"/>
  <c r="AO1093" i="1"/>
  <c r="AN1093" i="1"/>
  <c r="AM1093" i="1"/>
  <c r="AL1093" i="1"/>
  <c r="AO1101" i="1"/>
  <c r="AN1101" i="1"/>
  <c r="AM1101" i="1"/>
  <c r="AL1101" i="1"/>
  <c r="AO1109" i="1"/>
  <c r="AN1109" i="1"/>
  <c r="AM1109" i="1"/>
  <c r="AL1109" i="1"/>
  <c r="AO1117" i="1"/>
  <c r="AN1117" i="1"/>
  <c r="AL1117" i="1"/>
  <c r="AM1117" i="1"/>
  <c r="AO1125" i="1"/>
  <c r="AN1125" i="1"/>
  <c r="AM1125" i="1"/>
  <c r="AL1125" i="1"/>
  <c r="AO1133" i="1"/>
  <c r="AN1133" i="1"/>
  <c r="AM1133" i="1"/>
  <c r="AL1133" i="1"/>
  <c r="AO1141" i="1"/>
  <c r="AN1141" i="1"/>
  <c r="AM1141" i="1"/>
  <c r="AL1141" i="1"/>
  <c r="AO1149" i="1"/>
  <c r="AN1149" i="1"/>
  <c r="AM1149" i="1"/>
  <c r="AL1149" i="1"/>
  <c r="AO1157" i="1"/>
  <c r="AN1157" i="1"/>
  <c r="AM1157" i="1"/>
  <c r="AL1157" i="1"/>
  <c r="AO1165" i="1"/>
  <c r="AN1165" i="1"/>
  <c r="AM1165" i="1"/>
  <c r="AL1165" i="1"/>
  <c r="AO1173" i="1"/>
  <c r="AN1173" i="1"/>
  <c r="AM1173" i="1"/>
  <c r="AL1173" i="1"/>
  <c r="AO1181" i="1"/>
  <c r="AN1181" i="1"/>
  <c r="AL1181" i="1"/>
  <c r="AM1181" i="1"/>
  <c r="AO1189" i="1"/>
  <c r="AN1189" i="1"/>
  <c r="AM1189" i="1"/>
  <c r="AL1189" i="1"/>
  <c r="AO1197" i="1"/>
  <c r="AN1197" i="1"/>
  <c r="AM1197" i="1"/>
  <c r="AL1197" i="1"/>
  <c r="AO1205" i="1"/>
  <c r="AN1205" i="1"/>
  <c r="AM1205" i="1"/>
  <c r="AL1205" i="1"/>
  <c r="AO1213" i="1"/>
  <c r="AN1213" i="1"/>
  <c r="AM1213" i="1"/>
  <c r="AL1213" i="1"/>
  <c r="AO1221" i="1"/>
  <c r="AN1221" i="1"/>
  <c r="AM1221" i="1"/>
  <c r="AL1221" i="1"/>
  <c r="AO1229" i="1"/>
  <c r="AN1229" i="1"/>
  <c r="AM1229" i="1"/>
  <c r="AL1229" i="1"/>
  <c r="AO1237" i="1"/>
  <c r="AN1237" i="1"/>
  <c r="AM1237" i="1"/>
  <c r="AL1237" i="1"/>
  <c r="AO1245" i="1"/>
  <c r="AN1245" i="1"/>
  <c r="AL1245" i="1"/>
  <c r="AM1245" i="1"/>
  <c r="AO1253" i="1"/>
  <c r="AN1253" i="1"/>
  <c r="AM1253" i="1"/>
  <c r="AL1253" i="1"/>
  <c r="AO1261" i="1"/>
  <c r="AN1261" i="1"/>
  <c r="AM1261" i="1"/>
  <c r="AO1269" i="1"/>
  <c r="AN1269" i="1"/>
  <c r="AM1269" i="1"/>
  <c r="AO1277" i="1"/>
  <c r="AN1277" i="1"/>
  <c r="AM1277" i="1"/>
  <c r="AO1285" i="1"/>
  <c r="AN1285" i="1"/>
  <c r="AM1285" i="1"/>
  <c r="AO1293" i="1"/>
  <c r="AN1293" i="1"/>
  <c r="AM1293" i="1"/>
  <c r="AO1301" i="1"/>
  <c r="AN1301" i="1"/>
  <c r="AM1301" i="1"/>
  <c r="AO1309" i="1"/>
  <c r="AN1309" i="1"/>
  <c r="AM1309" i="1"/>
  <c r="AO1317" i="1"/>
  <c r="AN1317" i="1"/>
  <c r="AM1317" i="1"/>
  <c r="AO1325" i="1"/>
  <c r="AN1325" i="1"/>
  <c r="AM1325" i="1"/>
  <c r="AO1333" i="1"/>
  <c r="AN1333" i="1"/>
  <c r="AM1333" i="1"/>
  <c r="AO1341" i="1"/>
  <c r="AN1341" i="1"/>
  <c r="AM1341" i="1"/>
  <c r="AO1349" i="1"/>
  <c r="AN1349" i="1"/>
  <c r="AM1349" i="1"/>
  <c r="AO1357" i="1"/>
  <c r="AN1357" i="1"/>
  <c r="AM1357" i="1"/>
  <c r="AO1365" i="1"/>
  <c r="AN1365" i="1"/>
  <c r="AM1365" i="1"/>
  <c r="AO1373" i="1"/>
  <c r="AN1373" i="1"/>
  <c r="AM1373" i="1"/>
  <c r="AO1381" i="1"/>
  <c r="AN1381" i="1"/>
  <c r="AM1381" i="1"/>
  <c r="AO1389" i="1"/>
  <c r="AN1389" i="1"/>
  <c r="AM1389" i="1"/>
  <c r="AO1397" i="1"/>
  <c r="AN1397" i="1"/>
  <c r="AM1397" i="1"/>
  <c r="AO1405" i="1"/>
  <c r="AN1405" i="1"/>
  <c r="AM1405" i="1"/>
  <c r="AO1413" i="1"/>
  <c r="AN1413" i="1"/>
  <c r="AM1413" i="1"/>
  <c r="AO1421" i="1"/>
  <c r="AN1421" i="1"/>
  <c r="AM1421" i="1"/>
  <c r="AO1429" i="1"/>
  <c r="AN1429" i="1"/>
  <c r="AM1429" i="1"/>
  <c r="AO1437" i="1"/>
  <c r="AN1437" i="1"/>
  <c r="AM1437" i="1"/>
  <c r="AO1445" i="1"/>
  <c r="AN1445" i="1"/>
  <c r="AM1445" i="1"/>
  <c r="AO1453" i="1"/>
  <c r="AN1453" i="1"/>
  <c r="AM1453" i="1"/>
  <c r="AO1461" i="1"/>
  <c r="AN1461" i="1"/>
  <c r="AM1461" i="1"/>
  <c r="AL1365" i="1"/>
  <c r="AL1301" i="1"/>
  <c r="AO25" i="1"/>
  <c r="AN25" i="1"/>
  <c r="AM25" i="1"/>
  <c r="AL25" i="1"/>
  <c r="AO49" i="1"/>
  <c r="AN49" i="1"/>
  <c r="AM49" i="1"/>
  <c r="AL49" i="1"/>
  <c r="AO81" i="1"/>
  <c r="AN81" i="1"/>
  <c r="AM81" i="1"/>
  <c r="AL81" i="1"/>
  <c r="AO105" i="1"/>
  <c r="AN105" i="1"/>
  <c r="AL105" i="1"/>
  <c r="AM105" i="1"/>
  <c r="AO129" i="1"/>
  <c r="AN129" i="1"/>
  <c r="AM129" i="1"/>
  <c r="AL129" i="1"/>
  <c r="AO153" i="1"/>
  <c r="AN153" i="1"/>
  <c r="AM153" i="1"/>
  <c r="AL153" i="1"/>
  <c r="AO177" i="1"/>
  <c r="AN177" i="1"/>
  <c r="AM177" i="1"/>
  <c r="AL177" i="1"/>
  <c r="AO193" i="1"/>
  <c r="AN193" i="1"/>
  <c r="AM193" i="1"/>
  <c r="AL193" i="1"/>
  <c r="AO217" i="1"/>
  <c r="AN217" i="1"/>
  <c r="AM217" i="1"/>
  <c r="AL217" i="1"/>
  <c r="AO241" i="1"/>
  <c r="AN241" i="1"/>
  <c r="AM241" i="1"/>
  <c r="AL241" i="1"/>
  <c r="AO265" i="1"/>
  <c r="AN265" i="1"/>
  <c r="AM265" i="1"/>
  <c r="AL265" i="1"/>
  <c r="AO289" i="1"/>
  <c r="AN289" i="1"/>
  <c r="AM289" i="1"/>
  <c r="AL289" i="1"/>
  <c r="AO313" i="1"/>
  <c r="AN313" i="1"/>
  <c r="AM313" i="1"/>
  <c r="AL313" i="1"/>
  <c r="AO337" i="1"/>
  <c r="AN337" i="1"/>
  <c r="AM337" i="1"/>
  <c r="AL337" i="1"/>
  <c r="AO361" i="1"/>
  <c r="AN361" i="1"/>
  <c r="AM361" i="1"/>
  <c r="AL361" i="1"/>
  <c r="AO385" i="1"/>
  <c r="AN385" i="1"/>
  <c r="AM385" i="1"/>
  <c r="AL385" i="1"/>
  <c r="AO425" i="1"/>
  <c r="AN425" i="1"/>
  <c r="AM425" i="1"/>
  <c r="AL425" i="1"/>
  <c r="AO529" i="1"/>
  <c r="AN529" i="1"/>
  <c r="AM529" i="1"/>
  <c r="AL529" i="1"/>
  <c r="AO14" i="1"/>
  <c r="AN14" i="1"/>
  <c r="AM14" i="1"/>
  <c r="AL14" i="1"/>
  <c r="AO30" i="1"/>
  <c r="AN30" i="1"/>
  <c r="AM30" i="1"/>
  <c r="AL30" i="1"/>
  <c r="AO46" i="1"/>
  <c r="AN46" i="1"/>
  <c r="AM46" i="1"/>
  <c r="AL46" i="1"/>
  <c r="AO62" i="1"/>
  <c r="AN62" i="1"/>
  <c r="AM62" i="1"/>
  <c r="AL62" i="1"/>
  <c r="AO78" i="1"/>
  <c r="AN78" i="1"/>
  <c r="AM78" i="1"/>
  <c r="AL78" i="1"/>
  <c r="AO94" i="1"/>
  <c r="AN94" i="1"/>
  <c r="AM94" i="1"/>
  <c r="AL94" i="1"/>
  <c r="AO110" i="1"/>
  <c r="AN110" i="1"/>
  <c r="AM110" i="1"/>
  <c r="AL110" i="1"/>
  <c r="AO126" i="1"/>
  <c r="AN126" i="1"/>
  <c r="AM126" i="1"/>
  <c r="AL126" i="1"/>
  <c r="AO142" i="1"/>
  <c r="AN142" i="1"/>
  <c r="AM142" i="1"/>
  <c r="AL142" i="1"/>
  <c r="AO158" i="1"/>
  <c r="AN158" i="1"/>
  <c r="AM158" i="1"/>
  <c r="AL158" i="1"/>
  <c r="AO174" i="1"/>
  <c r="AN174" i="1"/>
  <c r="AM174" i="1"/>
  <c r="AL174" i="1"/>
  <c r="AO190" i="1"/>
  <c r="AN190" i="1"/>
  <c r="AM190" i="1"/>
  <c r="AL190" i="1"/>
  <c r="AO206" i="1"/>
  <c r="AN206" i="1"/>
  <c r="AM206" i="1"/>
  <c r="AL206" i="1"/>
  <c r="AO230" i="1"/>
  <c r="AN230" i="1"/>
  <c r="AM230" i="1"/>
  <c r="AL230" i="1"/>
  <c r="AO238" i="1"/>
  <c r="AN238" i="1"/>
  <c r="AM238" i="1"/>
  <c r="AL238" i="1"/>
  <c r="AO254" i="1"/>
  <c r="AN254" i="1"/>
  <c r="AM254" i="1"/>
  <c r="AL254" i="1"/>
  <c r="AO270" i="1"/>
  <c r="AN270" i="1"/>
  <c r="AM270" i="1"/>
  <c r="AL270" i="1"/>
  <c r="AO278" i="1"/>
  <c r="AN278" i="1"/>
  <c r="AM278" i="1"/>
  <c r="AL278" i="1"/>
  <c r="AO294" i="1"/>
  <c r="AN294" i="1"/>
  <c r="AM294" i="1"/>
  <c r="AL294" i="1"/>
  <c r="AO310" i="1"/>
  <c r="AN310" i="1"/>
  <c r="AM310" i="1"/>
  <c r="AL310" i="1"/>
  <c r="AO326" i="1"/>
  <c r="AN326" i="1"/>
  <c r="AM326" i="1"/>
  <c r="AL326" i="1"/>
  <c r="AO342" i="1"/>
  <c r="AN342" i="1"/>
  <c r="AM342" i="1"/>
  <c r="AL342" i="1"/>
  <c r="AO358" i="1"/>
  <c r="AN358" i="1"/>
  <c r="AM358" i="1"/>
  <c r="AL358" i="1"/>
  <c r="AO374" i="1"/>
  <c r="AN374" i="1"/>
  <c r="AM374" i="1"/>
  <c r="AL374" i="1"/>
  <c r="AO390" i="1"/>
  <c r="AN390" i="1"/>
  <c r="AM390" i="1"/>
  <c r="AL390" i="1"/>
  <c r="AO406" i="1"/>
  <c r="AN406" i="1"/>
  <c r="AM406" i="1"/>
  <c r="AL406" i="1"/>
  <c r="AO422" i="1"/>
  <c r="AN422" i="1"/>
  <c r="AM422" i="1"/>
  <c r="AL422" i="1"/>
  <c r="AO438" i="1"/>
  <c r="AN438" i="1"/>
  <c r="AM438" i="1"/>
  <c r="AL438" i="1"/>
  <c r="AO454" i="1"/>
  <c r="AN454" i="1"/>
  <c r="AM454" i="1"/>
  <c r="AL454" i="1"/>
  <c r="AO470" i="1"/>
  <c r="AN470" i="1"/>
  <c r="AM470" i="1"/>
  <c r="AL470" i="1"/>
  <c r="AO486" i="1"/>
  <c r="AN486" i="1"/>
  <c r="AM486" i="1"/>
  <c r="AL486" i="1"/>
  <c r="AO502" i="1"/>
  <c r="AN502" i="1"/>
  <c r="AM502" i="1"/>
  <c r="AL502" i="1"/>
  <c r="AO518" i="1"/>
  <c r="AN518" i="1"/>
  <c r="AM518" i="1"/>
  <c r="AL518" i="1"/>
  <c r="AO534" i="1"/>
  <c r="AN534" i="1"/>
  <c r="AM534" i="1"/>
  <c r="AL534" i="1"/>
  <c r="AO550" i="1"/>
  <c r="AN550" i="1"/>
  <c r="AM550" i="1"/>
  <c r="AL550" i="1"/>
  <c r="AO566" i="1"/>
  <c r="AN566" i="1"/>
  <c r="AM566" i="1"/>
  <c r="AL566" i="1"/>
  <c r="AO582" i="1"/>
  <c r="AN582" i="1"/>
  <c r="AM582" i="1"/>
  <c r="AL582" i="1"/>
  <c r="AN598" i="1"/>
  <c r="AO598" i="1"/>
  <c r="AM598" i="1"/>
  <c r="AL598" i="1"/>
  <c r="AO614" i="1"/>
  <c r="AN614" i="1"/>
  <c r="AM614" i="1"/>
  <c r="AL614" i="1"/>
  <c r="AO638" i="1"/>
  <c r="AN638" i="1"/>
  <c r="AM638" i="1"/>
  <c r="AL638" i="1"/>
  <c r="AO654" i="1"/>
  <c r="AN654" i="1"/>
  <c r="AM654" i="1"/>
  <c r="AL654" i="1"/>
  <c r="AO670" i="1"/>
  <c r="AN670" i="1"/>
  <c r="AM670" i="1"/>
  <c r="AL670" i="1"/>
  <c r="AN694" i="1"/>
  <c r="AO694" i="1"/>
  <c r="AM694" i="1"/>
  <c r="AL694" i="1"/>
  <c r="AO710" i="1"/>
  <c r="AN710" i="1"/>
  <c r="AM710" i="1"/>
  <c r="AL710" i="1"/>
  <c r="AO726" i="1"/>
  <c r="AN726" i="1"/>
  <c r="AM726" i="1"/>
  <c r="AL726" i="1"/>
  <c r="AO742" i="1"/>
  <c r="AN742" i="1"/>
  <c r="AM742" i="1"/>
  <c r="AL742" i="1"/>
  <c r="AO758" i="1"/>
  <c r="AN758" i="1"/>
  <c r="AM758" i="1"/>
  <c r="AL758" i="1"/>
  <c r="AO774" i="1"/>
  <c r="AN774" i="1"/>
  <c r="AM774" i="1"/>
  <c r="AL774" i="1"/>
  <c r="AO790" i="1"/>
  <c r="AN790" i="1"/>
  <c r="AM790" i="1"/>
  <c r="AL790" i="1"/>
  <c r="AO806" i="1"/>
  <c r="AN806" i="1"/>
  <c r="AM806" i="1"/>
  <c r="AL806" i="1"/>
  <c r="AO822" i="1"/>
  <c r="AN822" i="1"/>
  <c r="AM822" i="1"/>
  <c r="AL822" i="1"/>
  <c r="AO838" i="1"/>
  <c r="AN838" i="1"/>
  <c r="AM838" i="1"/>
  <c r="AL838" i="1"/>
  <c r="AO854" i="1"/>
  <c r="AN854" i="1"/>
  <c r="AM854" i="1"/>
  <c r="AL854" i="1"/>
  <c r="AO870" i="1"/>
  <c r="AN870" i="1"/>
  <c r="AM870" i="1"/>
  <c r="AL870" i="1"/>
  <c r="AO886" i="1"/>
  <c r="AN886" i="1"/>
  <c r="AM886" i="1"/>
  <c r="AL886" i="1"/>
  <c r="AO902" i="1"/>
  <c r="AN902" i="1"/>
  <c r="AM902" i="1"/>
  <c r="AL902" i="1"/>
  <c r="AO926" i="1"/>
  <c r="AN926" i="1"/>
  <c r="AM926" i="1"/>
  <c r="AL926" i="1"/>
  <c r="AO942" i="1"/>
  <c r="AN942" i="1"/>
  <c r="AM942" i="1"/>
  <c r="AL942" i="1"/>
  <c r="AO958" i="1"/>
  <c r="AN958" i="1"/>
  <c r="AM958" i="1"/>
  <c r="AL958" i="1"/>
  <c r="AO974" i="1"/>
  <c r="AN974" i="1"/>
  <c r="AM974" i="1"/>
  <c r="AL974" i="1"/>
  <c r="AO990" i="1"/>
  <c r="AN990" i="1"/>
  <c r="AM990" i="1"/>
  <c r="AL990" i="1"/>
  <c r="AO1006" i="1"/>
  <c r="AN1006" i="1"/>
  <c r="AM1006" i="1"/>
  <c r="AL1006" i="1"/>
  <c r="AO1022" i="1"/>
  <c r="AN1022" i="1"/>
  <c r="AM1022" i="1"/>
  <c r="AL1022" i="1"/>
  <c r="AO1030" i="1"/>
  <c r="AN1030" i="1"/>
  <c r="AM1030" i="1"/>
  <c r="AL1030" i="1"/>
  <c r="AO1038" i="1"/>
  <c r="AN1038" i="1"/>
  <c r="AM1038" i="1"/>
  <c r="AL1038" i="1"/>
  <c r="AO1046" i="1"/>
  <c r="AN1046" i="1"/>
  <c r="AM1046" i="1"/>
  <c r="AL1046" i="1"/>
  <c r="AO1054" i="1"/>
  <c r="AN1054" i="1"/>
  <c r="AM1054" i="1"/>
  <c r="AL1054" i="1"/>
  <c r="AO1062" i="1"/>
  <c r="AN1062" i="1"/>
  <c r="AM1062" i="1"/>
  <c r="AL1062" i="1"/>
  <c r="AO1070" i="1"/>
  <c r="AN1070" i="1"/>
  <c r="AM1070" i="1"/>
  <c r="AL1070" i="1"/>
  <c r="AO1078" i="1"/>
  <c r="AN1078" i="1"/>
  <c r="AM1078" i="1"/>
  <c r="AL1078" i="1"/>
  <c r="AO1086" i="1"/>
  <c r="AN1086" i="1"/>
  <c r="AM1086" i="1"/>
  <c r="AL1086" i="1"/>
  <c r="AO1094" i="1"/>
  <c r="AN1094" i="1"/>
  <c r="AM1094" i="1"/>
  <c r="AL1094" i="1"/>
  <c r="AO1102" i="1"/>
  <c r="AN1102" i="1"/>
  <c r="AM1102" i="1"/>
  <c r="AL1102" i="1"/>
  <c r="AO1118" i="1"/>
  <c r="AN1118" i="1"/>
  <c r="AM1118" i="1"/>
  <c r="AL1118" i="1"/>
  <c r="AO1126" i="1"/>
  <c r="AN1126" i="1"/>
  <c r="AM1126" i="1"/>
  <c r="AL1126" i="1"/>
  <c r="AO1134" i="1"/>
  <c r="AN1134" i="1"/>
  <c r="AM1134" i="1"/>
  <c r="AL1134" i="1"/>
  <c r="AO1142" i="1"/>
  <c r="AN1142" i="1"/>
  <c r="AM1142" i="1"/>
  <c r="AL1142" i="1"/>
  <c r="AO1150" i="1"/>
  <c r="AN1150" i="1"/>
  <c r="AM1150" i="1"/>
  <c r="AL1150" i="1"/>
  <c r="AO1158" i="1"/>
  <c r="AN1158" i="1"/>
  <c r="AM1158" i="1"/>
  <c r="AL1158" i="1"/>
  <c r="AO1166" i="1"/>
  <c r="AN1166" i="1"/>
  <c r="AM1166" i="1"/>
  <c r="AL1166" i="1"/>
  <c r="AO1174" i="1"/>
  <c r="AN1174" i="1"/>
  <c r="AM1174" i="1"/>
  <c r="AL1174" i="1"/>
  <c r="AO1182" i="1"/>
  <c r="AN1182" i="1"/>
  <c r="AM1182" i="1"/>
  <c r="AL1182" i="1"/>
  <c r="AO1190" i="1"/>
  <c r="AN1190" i="1"/>
  <c r="AL1190" i="1"/>
  <c r="AM1190" i="1"/>
  <c r="AO1198" i="1"/>
  <c r="AN1198" i="1"/>
  <c r="AM1198" i="1"/>
  <c r="AL1198" i="1"/>
  <c r="AO1206" i="1"/>
  <c r="AN1206" i="1"/>
  <c r="AM1206" i="1"/>
  <c r="AL1206" i="1"/>
  <c r="AO1214" i="1"/>
  <c r="AN1214" i="1"/>
  <c r="AM1214" i="1"/>
  <c r="AL1214" i="1"/>
  <c r="AO1222" i="1"/>
  <c r="AN1222" i="1"/>
  <c r="AM1222" i="1"/>
  <c r="AL1222" i="1"/>
  <c r="AO1230" i="1"/>
  <c r="AN1230" i="1"/>
  <c r="AM1230" i="1"/>
  <c r="AL1230" i="1"/>
  <c r="AO1238" i="1"/>
  <c r="AN1238" i="1"/>
  <c r="AM1238" i="1"/>
  <c r="AL1238" i="1"/>
  <c r="AO1246" i="1"/>
  <c r="AN1246" i="1"/>
  <c r="AM1246" i="1"/>
  <c r="AL1246" i="1"/>
  <c r="AO1254" i="1"/>
  <c r="AN1254" i="1"/>
  <c r="AL1254" i="1"/>
  <c r="AM1254" i="1"/>
  <c r="AO1262" i="1"/>
  <c r="AN1262" i="1"/>
  <c r="AM1262" i="1"/>
  <c r="AL1262" i="1"/>
  <c r="AO1270" i="1"/>
  <c r="AN1270" i="1"/>
  <c r="AM1270" i="1"/>
  <c r="AL1270" i="1"/>
  <c r="AO1278" i="1"/>
  <c r="AN1278" i="1"/>
  <c r="AM1278" i="1"/>
  <c r="AL1278" i="1"/>
  <c r="AO1286" i="1"/>
  <c r="AN1286" i="1"/>
  <c r="AM1286" i="1"/>
  <c r="AL1286" i="1"/>
  <c r="AO1294" i="1"/>
  <c r="AN1294" i="1"/>
  <c r="AM1294" i="1"/>
  <c r="AL1294" i="1"/>
  <c r="AO1302" i="1"/>
  <c r="AN1302" i="1"/>
  <c r="AM1302" i="1"/>
  <c r="AL1302" i="1"/>
  <c r="AO1310" i="1"/>
  <c r="AN1310" i="1"/>
  <c r="AM1310" i="1"/>
  <c r="AL1310" i="1"/>
  <c r="AO1318" i="1"/>
  <c r="AN1318" i="1"/>
  <c r="AL1318" i="1"/>
  <c r="AM1318" i="1"/>
  <c r="AO1326" i="1"/>
  <c r="AN1326" i="1"/>
  <c r="AM1326" i="1"/>
  <c r="AL1326" i="1"/>
  <c r="AO1334" i="1"/>
  <c r="AN1334" i="1"/>
  <c r="AM1334" i="1"/>
  <c r="AL1334" i="1"/>
  <c r="AO1342" i="1"/>
  <c r="AN1342" i="1"/>
  <c r="AM1342" i="1"/>
  <c r="AL1342" i="1"/>
  <c r="AO1350" i="1"/>
  <c r="AN1350" i="1"/>
  <c r="AM1350" i="1"/>
  <c r="AL1350" i="1"/>
  <c r="AO1358" i="1"/>
  <c r="AN1358" i="1"/>
  <c r="AM1358" i="1"/>
  <c r="AL1358" i="1"/>
  <c r="AO1366" i="1"/>
  <c r="AN1366" i="1"/>
  <c r="AM1366" i="1"/>
  <c r="AL1366" i="1"/>
  <c r="AO1374" i="1"/>
  <c r="AN1374" i="1"/>
  <c r="AM1374" i="1"/>
  <c r="AL1374" i="1"/>
  <c r="AO1382" i="1"/>
  <c r="AN1382" i="1"/>
  <c r="AM1382" i="1"/>
  <c r="AL1382" i="1"/>
  <c r="AO1390" i="1"/>
  <c r="AN1390" i="1"/>
  <c r="AM1390" i="1"/>
  <c r="AL1390" i="1"/>
  <c r="AO1398" i="1"/>
  <c r="AN1398" i="1"/>
  <c r="AM1398" i="1"/>
  <c r="AL1398" i="1"/>
  <c r="AO1406" i="1"/>
  <c r="AN1406" i="1"/>
  <c r="AM1406" i="1"/>
  <c r="AL1406" i="1"/>
  <c r="AO1414" i="1"/>
  <c r="AN1414" i="1"/>
  <c r="AM1414" i="1"/>
  <c r="AO1422" i="1"/>
  <c r="AN1422" i="1"/>
  <c r="AM1422" i="1"/>
  <c r="AO1430" i="1"/>
  <c r="AN1430" i="1"/>
  <c r="AM1430" i="1"/>
  <c r="AO1438" i="1"/>
  <c r="AM1438" i="1"/>
  <c r="AN1438" i="1"/>
  <c r="AO1446" i="1"/>
  <c r="AN1446" i="1"/>
  <c r="AM1446" i="1"/>
  <c r="AO1454" i="1"/>
  <c r="AN1454" i="1"/>
  <c r="AM1454" i="1"/>
  <c r="AO1462" i="1"/>
  <c r="AN1462" i="1"/>
  <c r="AM1462" i="1"/>
  <c r="AL1462" i="1"/>
  <c r="AL1448" i="1"/>
  <c r="AL1437" i="1"/>
  <c r="AL1422" i="1"/>
  <c r="AL1405" i="1"/>
  <c r="AL1383" i="1"/>
  <c r="AL1362" i="1"/>
  <c r="AL1341" i="1"/>
  <c r="AL1269" i="1"/>
  <c r="AO17" i="1"/>
  <c r="AN17" i="1"/>
  <c r="AM17" i="1"/>
  <c r="AL17" i="1"/>
  <c r="AO41" i="1"/>
  <c r="AN41" i="1"/>
  <c r="AL41" i="1"/>
  <c r="AM41" i="1"/>
  <c r="AO73" i="1"/>
  <c r="AN73" i="1"/>
  <c r="AL73" i="1"/>
  <c r="AM73" i="1"/>
  <c r="AO97" i="1"/>
  <c r="AN97" i="1"/>
  <c r="AM97" i="1"/>
  <c r="AL97" i="1"/>
  <c r="AN121" i="1"/>
  <c r="AO121" i="1"/>
  <c r="AM121" i="1"/>
  <c r="AL121" i="1"/>
  <c r="AO145" i="1"/>
  <c r="AN145" i="1"/>
  <c r="AM145" i="1"/>
  <c r="AL145" i="1"/>
  <c r="AO169" i="1"/>
  <c r="AN169" i="1"/>
  <c r="AM169" i="1"/>
  <c r="AL169" i="1"/>
  <c r="AO185" i="1"/>
  <c r="AN185" i="1"/>
  <c r="AM185" i="1"/>
  <c r="AL185" i="1"/>
  <c r="AN209" i="1"/>
  <c r="AO209" i="1"/>
  <c r="AM209" i="1"/>
  <c r="AL209" i="1"/>
  <c r="AO225" i="1"/>
  <c r="AN225" i="1"/>
  <c r="AM225" i="1"/>
  <c r="AL225" i="1"/>
  <c r="AO249" i="1"/>
  <c r="AN249" i="1"/>
  <c r="AM249" i="1"/>
  <c r="AL249" i="1"/>
  <c r="AO273" i="1"/>
  <c r="AN273" i="1"/>
  <c r="AM273" i="1"/>
  <c r="AL273" i="1"/>
  <c r="AO297" i="1"/>
  <c r="AN297" i="1"/>
  <c r="AM297" i="1"/>
  <c r="AL297" i="1"/>
  <c r="AO329" i="1"/>
  <c r="AN329" i="1"/>
  <c r="AM329" i="1"/>
  <c r="AL329" i="1"/>
  <c r="AO353" i="1"/>
  <c r="AN353" i="1"/>
  <c r="AM353" i="1"/>
  <c r="AL353" i="1"/>
  <c r="AO377" i="1"/>
  <c r="AN377" i="1"/>
  <c r="AM377" i="1"/>
  <c r="AL377" i="1"/>
  <c r="AO401" i="1"/>
  <c r="AN401" i="1"/>
  <c r="AM401" i="1"/>
  <c r="AL401" i="1"/>
  <c r="AO417" i="1"/>
  <c r="AN417" i="1"/>
  <c r="AM417" i="1"/>
  <c r="AL417" i="1"/>
  <c r="AO441" i="1"/>
  <c r="AN441" i="1"/>
  <c r="AM441" i="1"/>
  <c r="AL441" i="1"/>
  <c r="AO457" i="1"/>
  <c r="AN457" i="1"/>
  <c r="AM457" i="1"/>
  <c r="AL457" i="1"/>
  <c r="AO473" i="1"/>
  <c r="AN473" i="1"/>
  <c r="AM473" i="1"/>
  <c r="AL473" i="1"/>
  <c r="AO489" i="1"/>
  <c r="AN489" i="1"/>
  <c r="AM489" i="1"/>
  <c r="AL489" i="1"/>
  <c r="AO505" i="1"/>
  <c r="AN505" i="1"/>
  <c r="AM505" i="1"/>
  <c r="AL505" i="1"/>
  <c r="AO521" i="1"/>
  <c r="AN521" i="1"/>
  <c r="AM521" i="1"/>
  <c r="AL521" i="1"/>
  <c r="AO545" i="1"/>
  <c r="AN545" i="1"/>
  <c r="AM545" i="1"/>
  <c r="AL545" i="1"/>
  <c r="AO561" i="1"/>
  <c r="AN561" i="1"/>
  <c r="AM561" i="1"/>
  <c r="AL561" i="1"/>
  <c r="AO577" i="1"/>
  <c r="AN577" i="1"/>
  <c r="AM577" i="1"/>
  <c r="AL577" i="1"/>
  <c r="AO593" i="1"/>
  <c r="AN593" i="1"/>
  <c r="AM593" i="1"/>
  <c r="AL593" i="1"/>
  <c r="AO609" i="1"/>
  <c r="AN609" i="1"/>
  <c r="AM609" i="1"/>
  <c r="AL609" i="1"/>
  <c r="AO625" i="1"/>
  <c r="AN625" i="1"/>
  <c r="AM625" i="1"/>
  <c r="AL625" i="1"/>
  <c r="AO633" i="1"/>
  <c r="AN633" i="1"/>
  <c r="AM633" i="1"/>
  <c r="AL633" i="1"/>
  <c r="AO649" i="1"/>
  <c r="AN649" i="1"/>
  <c r="AM649" i="1"/>
  <c r="AL649" i="1"/>
  <c r="AO665" i="1"/>
  <c r="AN665" i="1"/>
  <c r="AM665" i="1"/>
  <c r="AL665" i="1"/>
  <c r="AO681" i="1"/>
  <c r="AN681" i="1"/>
  <c r="AM681" i="1"/>
  <c r="AL681" i="1"/>
  <c r="AO697" i="1"/>
  <c r="AN697" i="1"/>
  <c r="AM697" i="1"/>
  <c r="AL697" i="1"/>
  <c r="AO713" i="1"/>
  <c r="AN713" i="1"/>
  <c r="AM713" i="1"/>
  <c r="AL713" i="1"/>
  <c r="AO729" i="1"/>
  <c r="AN729" i="1"/>
  <c r="AM729" i="1"/>
  <c r="AL729" i="1"/>
  <c r="AO737" i="1"/>
  <c r="AN737" i="1"/>
  <c r="AM737" i="1"/>
  <c r="AL737" i="1"/>
  <c r="AO745" i="1"/>
  <c r="AN745" i="1"/>
  <c r="AM745" i="1"/>
  <c r="AL745" i="1"/>
  <c r="AO761" i="1"/>
  <c r="AN761" i="1"/>
  <c r="AM761" i="1"/>
  <c r="AL761" i="1"/>
  <c r="AO769" i="1"/>
  <c r="AN769" i="1"/>
  <c r="AM769" i="1"/>
  <c r="AL769" i="1"/>
  <c r="AO777" i="1"/>
  <c r="AN777" i="1"/>
  <c r="AM777" i="1"/>
  <c r="AL777" i="1"/>
  <c r="AO785" i="1"/>
  <c r="AN785" i="1"/>
  <c r="AM785" i="1"/>
  <c r="AL785" i="1"/>
  <c r="AO793" i="1"/>
  <c r="AN793" i="1"/>
  <c r="AM793" i="1"/>
  <c r="AL793" i="1"/>
  <c r="AO801" i="1"/>
  <c r="AN801" i="1"/>
  <c r="AM801" i="1"/>
  <c r="AL801" i="1"/>
  <c r="AO809" i="1"/>
  <c r="AN809" i="1"/>
  <c r="AM809" i="1"/>
  <c r="AL809" i="1"/>
  <c r="AO817" i="1"/>
  <c r="AN817" i="1"/>
  <c r="AM817" i="1"/>
  <c r="AL817" i="1"/>
  <c r="AO825" i="1"/>
  <c r="AN825" i="1"/>
  <c r="AM825" i="1"/>
  <c r="AL825" i="1"/>
  <c r="AO833" i="1"/>
  <c r="AN833" i="1"/>
  <c r="AM833" i="1"/>
  <c r="AL833" i="1"/>
  <c r="AO841" i="1"/>
  <c r="AN841" i="1"/>
  <c r="AM841" i="1"/>
  <c r="AL841" i="1"/>
  <c r="AO849" i="1"/>
  <c r="AN849" i="1"/>
  <c r="AM849" i="1"/>
  <c r="AL849" i="1"/>
  <c r="AO6" i="1"/>
  <c r="AN6" i="1"/>
  <c r="AM6" i="1"/>
  <c r="AL6" i="1"/>
  <c r="AO22" i="1"/>
  <c r="AN22" i="1"/>
  <c r="AM22" i="1"/>
  <c r="AL22" i="1"/>
  <c r="AO38" i="1"/>
  <c r="AN38" i="1"/>
  <c r="AM38" i="1"/>
  <c r="AL38" i="1"/>
  <c r="AO54" i="1"/>
  <c r="AN54" i="1"/>
  <c r="AM54" i="1"/>
  <c r="AL54" i="1"/>
  <c r="AO70" i="1"/>
  <c r="AN70" i="1"/>
  <c r="AM70" i="1"/>
  <c r="AL70" i="1"/>
  <c r="AO86" i="1"/>
  <c r="AN86" i="1"/>
  <c r="AM86" i="1"/>
  <c r="AL86" i="1"/>
  <c r="AO102" i="1"/>
  <c r="AN102" i="1"/>
  <c r="AM102" i="1"/>
  <c r="AL102" i="1"/>
  <c r="AO118" i="1"/>
  <c r="AN118" i="1"/>
  <c r="AM118" i="1"/>
  <c r="AL118" i="1"/>
  <c r="AO134" i="1"/>
  <c r="AN134" i="1"/>
  <c r="AM134" i="1"/>
  <c r="AL134" i="1"/>
  <c r="AO150" i="1"/>
  <c r="AN150" i="1"/>
  <c r="AM150" i="1"/>
  <c r="AL150" i="1"/>
  <c r="AO166" i="1"/>
  <c r="AN166" i="1"/>
  <c r="AM166" i="1"/>
  <c r="AL166" i="1"/>
  <c r="AO182" i="1"/>
  <c r="AN182" i="1"/>
  <c r="AM182" i="1"/>
  <c r="AL182" i="1"/>
  <c r="AO198" i="1"/>
  <c r="AN198" i="1"/>
  <c r="AM198" i="1"/>
  <c r="AL198" i="1"/>
  <c r="AO214" i="1"/>
  <c r="AN214" i="1"/>
  <c r="AM214" i="1"/>
  <c r="AL214" i="1"/>
  <c r="AO222" i="1"/>
  <c r="AN222" i="1"/>
  <c r="AM222" i="1"/>
  <c r="AL222" i="1"/>
  <c r="AO246" i="1"/>
  <c r="AN246" i="1"/>
  <c r="AM246" i="1"/>
  <c r="AL246" i="1"/>
  <c r="AO262" i="1"/>
  <c r="AN262" i="1"/>
  <c r="AM262" i="1"/>
  <c r="AL262" i="1"/>
  <c r="AN286" i="1"/>
  <c r="AO286" i="1"/>
  <c r="AM286" i="1"/>
  <c r="AL286" i="1"/>
  <c r="AO302" i="1"/>
  <c r="AN302" i="1"/>
  <c r="AM302" i="1"/>
  <c r="AL302" i="1"/>
  <c r="AO318" i="1"/>
  <c r="AN318" i="1"/>
  <c r="AM318" i="1"/>
  <c r="AL318" i="1"/>
  <c r="AO334" i="1"/>
  <c r="AN334" i="1"/>
  <c r="AM334" i="1"/>
  <c r="AL334" i="1"/>
  <c r="AN350" i="1"/>
  <c r="AO350" i="1"/>
  <c r="AM350" i="1"/>
  <c r="AL350" i="1"/>
  <c r="AO366" i="1"/>
  <c r="AN366" i="1"/>
  <c r="AM366" i="1"/>
  <c r="AL366" i="1"/>
  <c r="AO382" i="1"/>
  <c r="AN382" i="1"/>
  <c r="AM382" i="1"/>
  <c r="AL382" i="1"/>
  <c r="AO398" i="1"/>
  <c r="AN398" i="1"/>
  <c r="AM398" i="1"/>
  <c r="AL398" i="1"/>
  <c r="AO414" i="1"/>
  <c r="AN414" i="1"/>
  <c r="AM414" i="1"/>
  <c r="AL414" i="1"/>
  <c r="AO430" i="1"/>
  <c r="AN430" i="1"/>
  <c r="AM430" i="1"/>
  <c r="AL430" i="1"/>
  <c r="AO446" i="1"/>
  <c r="AN446" i="1"/>
  <c r="AM446" i="1"/>
  <c r="AL446" i="1"/>
  <c r="AO462" i="1"/>
  <c r="AN462" i="1"/>
  <c r="AM462" i="1"/>
  <c r="AL462" i="1"/>
  <c r="AO478" i="1"/>
  <c r="AN478" i="1"/>
  <c r="AM478" i="1"/>
  <c r="AL478" i="1"/>
  <c r="AN494" i="1"/>
  <c r="AO494" i="1"/>
  <c r="AM494" i="1"/>
  <c r="AL494" i="1"/>
  <c r="AO510" i="1"/>
  <c r="AN510" i="1"/>
  <c r="AM510" i="1"/>
  <c r="AL510" i="1"/>
  <c r="AN526" i="1"/>
  <c r="AO526" i="1"/>
  <c r="AM526" i="1"/>
  <c r="AL526" i="1"/>
  <c r="AO542" i="1"/>
  <c r="AN542" i="1"/>
  <c r="AM542" i="1"/>
  <c r="AL542" i="1"/>
  <c r="AN558" i="1"/>
  <c r="AO558" i="1"/>
  <c r="AM558" i="1"/>
  <c r="AL558" i="1"/>
  <c r="AO574" i="1"/>
  <c r="AN574" i="1"/>
  <c r="AM574" i="1"/>
  <c r="AL574" i="1"/>
  <c r="AO590" i="1"/>
  <c r="AN590" i="1"/>
  <c r="AM590" i="1"/>
  <c r="AL590" i="1"/>
  <c r="AO606" i="1"/>
  <c r="AN606" i="1"/>
  <c r="AM606" i="1"/>
  <c r="AL606" i="1"/>
  <c r="AN622" i="1"/>
  <c r="AO622" i="1"/>
  <c r="AM622" i="1"/>
  <c r="AL622" i="1"/>
  <c r="AN630" i="1"/>
  <c r="AO630" i="1"/>
  <c r="AM630" i="1"/>
  <c r="AL630" i="1"/>
  <c r="AO646" i="1"/>
  <c r="AN646" i="1"/>
  <c r="AM646" i="1"/>
  <c r="AL646" i="1"/>
  <c r="AN662" i="1"/>
  <c r="AO662" i="1"/>
  <c r="AM662" i="1"/>
  <c r="AL662" i="1"/>
  <c r="AO678" i="1"/>
  <c r="AN678" i="1"/>
  <c r="AM678" i="1"/>
  <c r="AL678" i="1"/>
  <c r="AO686" i="1"/>
  <c r="AN686" i="1"/>
  <c r="AM686" i="1"/>
  <c r="AL686" i="1"/>
  <c r="AO702" i="1"/>
  <c r="AN702" i="1"/>
  <c r="AM702" i="1"/>
  <c r="AL702" i="1"/>
  <c r="AO718" i="1"/>
  <c r="AN718" i="1"/>
  <c r="AM718" i="1"/>
  <c r="AL718" i="1"/>
  <c r="AO734" i="1"/>
  <c r="AN734" i="1"/>
  <c r="AM734" i="1"/>
  <c r="AL734" i="1"/>
  <c r="AO750" i="1"/>
  <c r="AN750" i="1"/>
  <c r="AM750" i="1"/>
  <c r="AL750" i="1"/>
  <c r="AO766" i="1"/>
  <c r="AN766" i="1"/>
  <c r="AM766" i="1"/>
  <c r="AL766" i="1"/>
  <c r="AO782" i="1"/>
  <c r="AN782" i="1"/>
  <c r="AM782" i="1"/>
  <c r="AL782" i="1"/>
  <c r="AO798" i="1"/>
  <c r="AN798" i="1"/>
  <c r="AM798" i="1"/>
  <c r="AL798" i="1"/>
  <c r="AO814" i="1"/>
  <c r="AN814" i="1"/>
  <c r="AM814" i="1"/>
  <c r="AL814" i="1"/>
  <c r="AO830" i="1"/>
  <c r="AN830" i="1"/>
  <c r="AM830" i="1"/>
  <c r="AL830" i="1"/>
  <c r="AO846" i="1"/>
  <c r="AN846" i="1"/>
  <c r="AM846" i="1"/>
  <c r="AL846" i="1"/>
  <c r="AO862" i="1"/>
  <c r="AN862" i="1"/>
  <c r="AM862" i="1"/>
  <c r="AL862" i="1"/>
  <c r="AO878" i="1"/>
  <c r="AN878" i="1"/>
  <c r="AM878" i="1"/>
  <c r="AL878" i="1"/>
  <c r="AO894" i="1"/>
  <c r="AN894" i="1"/>
  <c r="AM894" i="1"/>
  <c r="AL894" i="1"/>
  <c r="AO910" i="1"/>
  <c r="AN910" i="1"/>
  <c r="AM910" i="1"/>
  <c r="AL910" i="1"/>
  <c r="AO918" i="1"/>
  <c r="AN918" i="1"/>
  <c r="AM918" i="1"/>
  <c r="AL918" i="1"/>
  <c r="AO934" i="1"/>
  <c r="AN934" i="1"/>
  <c r="AM934" i="1"/>
  <c r="AL934" i="1"/>
  <c r="AO950" i="1"/>
  <c r="AN950" i="1"/>
  <c r="AM950" i="1"/>
  <c r="AL950" i="1"/>
  <c r="AO966" i="1"/>
  <c r="AN966" i="1"/>
  <c r="AM966" i="1"/>
  <c r="AL966" i="1"/>
  <c r="AO982" i="1"/>
  <c r="AN982" i="1"/>
  <c r="AM982" i="1"/>
  <c r="AL982" i="1"/>
  <c r="AO998" i="1"/>
  <c r="AN998" i="1"/>
  <c r="AM998" i="1"/>
  <c r="AL998" i="1"/>
  <c r="AO1014" i="1"/>
  <c r="AM1014" i="1"/>
  <c r="AN1014" i="1"/>
  <c r="AL1014" i="1"/>
  <c r="AO1110" i="1"/>
  <c r="AN1110" i="1"/>
  <c r="AM1110" i="1"/>
  <c r="AL1110" i="1"/>
  <c r="AO7" i="1"/>
  <c r="AN7" i="1"/>
  <c r="AM7" i="1"/>
  <c r="AL7" i="1"/>
  <c r="AO15" i="1"/>
  <c r="AN15" i="1"/>
  <c r="AM15" i="1"/>
  <c r="AL15" i="1"/>
  <c r="AO23" i="1"/>
  <c r="AN23" i="1"/>
  <c r="AM23" i="1"/>
  <c r="AL23" i="1"/>
  <c r="AO31" i="1"/>
  <c r="AN31" i="1"/>
  <c r="AM31" i="1"/>
  <c r="AL31" i="1"/>
  <c r="AO39" i="1"/>
  <c r="AN39" i="1"/>
  <c r="AM39" i="1"/>
  <c r="AL39" i="1"/>
  <c r="AO47" i="1"/>
  <c r="AN47" i="1"/>
  <c r="AM47" i="1"/>
  <c r="AL47" i="1"/>
  <c r="AO55" i="1"/>
  <c r="AN55" i="1"/>
  <c r="AM55" i="1"/>
  <c r="AL55" i="1"/>
  <c r="AO63" i="1"/>
  <c r="AN63" i="1"/>
  <c r="AM63" i="1"/>
  <c r="AL63" i="1"/>
  <c r="AO71" i="1"/>
  <c r="AN71" i="1"/>
  <c r="AM71" i="1"/>
  <c r="AL71" i="1"/>
  <c r="AO79" i="1"/>
  <c r="AN79" i="1"/>
  <c r="AM79" i="1"/>
  <c r="AL79" i="1"/>
  <c r="AO87" i="1"/>
  <c r="AN87" i="1"/>
  <c r="AM87" i="1"/>
  <c r="AL87" i="1"/>
  <c r="AO95" i="1"/>
  <c r="AN95" i="1"/>
  <c r="AM95" i="1"/>
  <c r="AL95" i="1"/>
  <c r="AO103" i="1"/>
  <c r="AN103" i="1"/>
  <c r="AM103" i="1"/>
  <c r="AL103" i="1"/>
  <c r="AO111" i="1"/>
  <c r="AN111" i="1"/>
  <c r="AM111" i="1"/>
  <c r="AL111" i="1"/>
  <c r="AO119" i="1"/>
  <c r="AN119" i="1"/>
  <c r="AM119" i="1"/>
  <c r="AL119" i="1"/>
  <c r="AO127" i="1"/>
  <c r="AN127" i="1"/>
  <c r="AM127" i="1"/>
  <c r="AL127" i="1"/>
  <c r="AO135" i="1"/>
  <c r="AN135" i="1"/>
  <c r="AM135" i="1"/>
  <c r="AL135" i="1"/>
  <c r="AO143" i="1"/>
  <c r="AN143" i="1"/>
  <c r="AM143" i="1"/>
  <c r="AL143" i="1"/>
  <c r="AO151" i="1"/>
  <c r="AN151" i="1"/>
  <c r="AM151" i="1"/>
  <c r="AL151" i="1"/>
  <c r="AO159" i="1"/>
  <c r="AN159" i="1"/>
  <c r="AM159" i="1"/>
  <c r="AL159" i="1"/>
  <c r="AO167" i="1"/>
  <c r="AN167" i="1"/>
  <c r="AM167" i="1"/>
  <c r="AL167" i="1"/>
  <c r="AO175" i="1"/>
  <c r="AN175" i="1"/>
  <c r="AM175" i="1"/>
  <c r="AL175" i="1"/>
  <c r="AO183" i="1"/>
  <c r="AN183" i="1"/>
  <c r="AM183" i="1"/>
  <c r="AL183" i="1"/>
  <c r="AO191" i="1"/>
  <c r="AN191" i="1"/>
  <c r="AM191" i="1"/>
  <c r="AL191" i="1"/>
  <c r="AO199" i="1"/>
  <c r="AN199" i="1"/>
  <c r="AM199" i="1"/>
  <c r="AL199" i="1"/>
  <c r="AO207" i="1"/>
  <c r="AN207" i="1"/>
  <c r="AM207" i="1"/>
  <c r="AL207" i="1"/>
  <c r="AO215" i="1"/>
  <c r="AN215" i="1"/>
  <c r="AM215" i="1"/>
  <c r="AL215" i="1"/>
  <c r="AO223" i="1"/>
  <c r="AN223" i="1"/>
  <c r="AM223" i="1"/>
  <c r="AL223" i="1"/>
  <c r="AO231" i="1"/>
  <c r="AN231" i="1"/>
  <c r="AM231" i="1"/>
  <c r="AL231" i="1"/>
  <c r="AO239" i="1"/>
  <c r="AN239" i="1"/>
  <c r="AM239" i="1"/>
  <c r="AL239" i="1"/>
  <c r="AO247" i="1"/>
  <c r="AN247" i="1"/>
  <c r="AM247" i="1"/>
  <c r="AL247" i="1"/>
  <c r="AO255" i="1"/>
  <c r="AN255" i="1"/>
  <c r="AM255" i="1"/>
  <c r="AL255" i="1"/>
  <c r="AO263" i="1"/>
  <c r="AN263" i="1"/>
  <c r="AM263" i="1"/>
  <c r="AL263" i="1"/>
  <c r="AO271" i="1"/>
  <c r="AN271" i="1"/>
  <c r="AM271" i="1"/>
  <c r="AL271" i="1"/>
  <c r="AO279" i="1"/>
  <c r="AN279" i="1"/>
  <c r="AM279" i="1"/>
  <c r="AL279" i="1"/>
  <c r="AO287" i="1"/>
  <c r="AN287" i="1"/>
  <c r="AM287" i="1"/>
  <c r="AL287" i="1"/>
  <c r="AO295" i="1"/>
  <c r="AN295" i="1"/>
  <c r="AM295" i="1"/>
  <c r="AL295" i="1"/>
  <c r="AO303" i="1"/>
  <c r="AN303" i="1"/>
  <c r="AM303" i="1"/>
  <c r="AL303" i="1"/>
  <c r="AO311" i="1"/>
  <c r="AN311" i="1"/>
  <c r="AM311" i="1"/>
  <c r="AL311" i="1"/>
  <c r="AO319" i="1"/>
  <c r="AN319" i="1"/>
  <c r="AM319" i="1"/>
  <c r="AL319" i="1"/>
  <c r="AO327" i="1"/>
  <c r="AN327" i="1"/>
  <c r="AM327" i="1"/>
  <c r="AL327" i="1"/>
  <c r="AO335" i="1"/>
  <c r="AN335" i="1"/>
  <c r="AM335" i="1"/>
  <c r="AL335" i="1"/>
  <c r="AO343" i="1"/>
  <c r="AN343" i="1"/>
  <c r="AM343" i="1"/>
  <c r="AL343" i="1"/>
  <c r="AO351" i="1"/>
  <c r="AN351" i="1"/>
  <c r="AM351" i="1"/>
  <c r="AL351" i="1"/>
  <c r="AO359" i="1"/>
  <c r="AN359" i="1"/>
  <c r="AM359" i="1"/>
  <c r="AL359" i="1"/>
  <c r="AO367" i="1"/>
  <c r="AN367" i="1"/>
  <c r="AM367" i="1"/>
  <c r="AL367" i="1"/>
  <c r="AO375" i="1"/>
  <c r="AN375" i="1"/>
  <c r="AM375" i="1"/>
  <c r="AL375" i="1"/>
  <c r="AO383" i="1"/>
  <c r="AN383" i="1"/>
  <c r="AM383" i="1"/>
  <c r="AL383" i="1"/>
  <c r="AO391" i="1"/>
  <c r="AN391" i="1"/>
  <c r="AM391" i="1"/>
  <c r="AL391" i="1"/>
  <c r="AO399" i="1"/>
  <c r="AN399" i="1"/>
  <c r="AM399" i="1"/>
  <c r="AL399" i="1"/>
  <c r="AO407" i="1"/>
  <c r="AN407" i="1"/>
  <c r="AM407" i="1"/>
  <c r="AL407" i="1"/>
  <c r="AO415" i="1"/>
  <c r="AN415" i="1"/>
  <c r="AM415" i="1"/>
  <c r="AL415" i="1"/>
  <c r="AO423" i="1"/>
  <c r="AN423" i="1"/>
  <c r="AM423" i="1"/>
  <c r="AL423" i="1"/>
  <c r="AO431" i="1"/>
  <c r="AN431" i="1"/>
  <c r="AM431" i="1"/>
  <c r="AL431" i="1"/>
  <c r="AO439" i="1"/>
  <c r="AN439" i="1"/>
  <c r="AM439" i="1"/>
  <c r="AL439" i="1"/>
  <c r="AO447" i="1"/>
  <c r="AN447" i="1"/>
  <c r="AM447" i="1"/>
  <c r="AL447" i="1"/>
  <c r="AO455" i="1"/>
  <c r="AN455" i="1"/>
  <c r="AM455" i="1"/>
  <c r="AL455" i="1"/>
  <c r="AO463" i="1"/>
  <c r="AN463" i="1"/>
  <c r="AM463" i="1"/>
  <c r="AL463" i="1"/>
  <c r="AO471" i="1"/>
  <c r="AN471" i="1"/>
  <c r="AM471" i="1"/>
  <c r="AL471" i="1"/>
  <c r="AO479" i="1"/>
  <c r="AN479" i="1"/>
  <c r="AM479" i="1"/>
  <c r="AL479" i="1"/>
  <c r="AO487" i="1"/>
  <c r="AN487" i="1"/>
  <c r="AM487" i="1"/>
  <c r="AL487" i="1"/>
  <c r="AO495" i="1"/>
  <c r="AN495" i="1"/>
  <c r="AM495" i="1"/>
  <c r="AL495" i="1"/>
  <c r="AO503" i="1"/>
  <c r="AN503" i="1"/>
  <c r="AM503" i="1"/>
  <c r="AL503" i="1"/>
  <c r="AO511" i="1"/>
  <c r="AN511" i="1"/>
  <c r="AM511" i="1"/>
  <c r="AL511" i="1"/>
  <c r="AO519" i="1"/>
  <c r="AN519" i="1"/>
  <c r="AM519" i="1"/>
  <c r="AL519" i="1"/>
  <c r="AO527" i="1"/>
  <c r="AN527" i="1"/>
  <c r="AM527" i="1"/>
  <c r="AL527" i="1"/>
  <c r="AO535" i="1"/>
  <c r="AN535" i="1"/>
  <c r="AM535" i="1"/>
  <c r="AL535" i="1"/>
  <c r="AO543" i="1"/>
  <c r="AN543" i="1"/>
  <c r="AM543" i="1"/>
  <c r="AL543" i="1"/>
  <c r="AO551" i="1"/>
  <c r="AN551" i="1"/>
  <c r="AM551" i="1"/>
  <c r="AL551" i="1"/>
  <c r="AO559" i="1"/>
  <c r="AN559" i="1"/>
  <c r="AM559" i="1"/>
  <c r="AL559" i="1"/>
  <c r="AO567" i="1"/>
  <c r="AN567" i="1"/>
  <c r="AM567" i="1"/>
  <c r="AL567" i="1"/>
  <c r="AO575" i="1"/>
  <c r="AN575" i="1"/>
  <c r="AM575" i="1"/>
  <c r="AL575" i="1"/>
  <c r="AO583" i="1"/>
  <c r="AN583" i="1"/>
  <c r="AM583" i="1"/>
  <c r="AL583" i="1"/>
  <c r="AO591" i="1"/>
  <c r="AN591" i="1"/>
  <c r="AM591" i="1"/>
  <c r="AL591" i="1"/>
  <c r="AO599" i="1"/>
  <c r="AN599" i="1"/>
  <c r="AM599" i="1"/>
  <c r="AL599" i="1"/>
  <c r="AO607" i="1"/>
  <c r="AN607" i="1"/>
  <c r="AM607" i="1"/>
  <c r="AL607" i="1"/>
  <c r="AO615" i="1"/>
  <c r="AN615" i="1"/>
  <c r="AM615" i="1"/>
  <c r="AL615" i="1"/>
  <c r="AO623" i="1"/>
  <c r="AN623" i="1"/>
  <c r="AM623" i="1"/>
  <c r="AL623" i="1"/>
  <c r="AO631" i="1"/>
  <c r="AN631" i="1"/>
  <c r="AM631" i="1"/>
  <c r="AL631" i="1"/>
  <c r="AO639" i="1"/>
  <c r="AN639" i="1"/>
  <c r="AM639" i="1"/>
  <c r="AL639" i="1"/>
  <c r="AO647" i="1"/>
  <c r="AN647" i="1"/>
  <c r="AM647" i="1"/>
  <c r="AL647" i="1"/>
  <c r="AO655" i="1"/>
  <c r="AN655" i="1"/>
  <c r="AM655" i="1"/>
  <c r="AL655" i="1"/>
  <c r="AO663" i="1"/>
  <c r="AN663" i="1"/>
  <c r="AM663" i="1"/>
  <c r="AL663" i="1"/>
  <c r="AO671" i="1"/>
  <c r="AN671" i="1"/>
  <c r="AM671" i="1"/>
  <c r="AL671" i="1"/>
  <c r="AO679" i="1"/>
  <c r="AN679" i="1"/>
  <c r="AM679" i="1"/>
  <c r="AL679" i="1"/>
  <c r="AO687" i="1"/>
  <c r="AN687" i="1"/>
  <c r="AM687" i="1"/>
  <c r="AL687" i="1"/>
  <c r="AO695" i="1"/>
  <c r="AN695" i="1"/>
  <c r="AM695" i="1"/>
  <c r="AL695" i="1"/>
  <c r="AO703" i="1"/>
  <c r="AN703" i="1"/>
  <c r="AM703" i="1"/>
  <c r="AL703" i="1"/>
  <c r="AO711" i="1"/>
  <c r="AN711" i="1"/>
  <c r="AM711" i="1"/>
  <c r="AL711" i="1"/>
  <c r="AO719" i="1"/>
  <c r="AN719" i="1"/>
  <c r="AM719" i="1"/>
  <c r="AL719" i="1"/>
  <c r="AO727" i="1"/>
  <c r="AN727" i="1"/>
  <c r="AM727" i="1"/>
  <c r="AL727" i="1"/>
  <c r="AO735" i="1"/>
  <c r="AN735" i="1"/>
  <c r="AM735" i="1"/>
  <c r="AL735" i="1"/>
  <c r="AO743" i="1"/>
  <c r="AN743" i="1"/>
  <c r="AM743" i="1"/>
  <c r="AL743" i="1"/>
  <c r="AO751" i="1"/>
  <c r="AN751" i="1"/>
  <c r="AM751" i="1"/>
  <c r="AL751" i="1"/>
  <c r="AO759" i="1"/>
  <c r="AN759" i="1"/>
  <c r="AM759" i="1"/>
  <c r="AL759" i="1"/>
  <c r="AO767" i="1"/>
  <c r="AN767" i="1"/>
  <c r="AM767" i="1"/>
  <c r="AL767" i="1"/>
  <c r="AO775" i="1"/>
  <c r="AN775" i="1"/>
  <c r="AM775" i="1"/>
  <c r="AL775" i="1"/>
  <c r="AO783" i="1"/>
  <c r="AN783" i="1"/>
  <c r="AM783" i="1"/>
  <c r="AL783" i="1"/>
  <c r="AO791" i="1"/>
  <c r="AN791" i="1"/>
  <c r="AM791" i="1"/>
  <c r="AL791" i="1"/>
  <c r="AO799" i="1"/>
  <c r="AN799" i="1"/>
  <c r="AM799" i="1"/>
  <c r="AL799" i="1"/>
  <c r="AO807" i="1"/>
  <c r="AN807" i="1"/>
  <c r="AM807" i="1"/>
  <c r="AL807" i="1"/>
  <c r="AO815" i="1"/>
  <c r="AN815" i="1"/>
  <c r="AM815" i="1"/>
  <c r="AL815" i="1"/>
  <c r="AO823" i="1"/>
  <c r="AN823" i="1"/>
  <c r="AM823" i="1"/>
  <c r="AL823" i="1"/>
  <c r="AO831" i="1"/>
  <c r="AN831" i="1"/>
  <c r="AM831" i="1"/>
  <c r="AL831" i="1"/>
  <c r="AO839" i="1"/>
  <c r="AN839" i="1"/>
  <c r="AM839" i="1"/>
  <c r="AL839" i="1"/>
  <c r="AO847" i="1"/>
  <c r="AN847" i="1"/>
  <c r="AM847" i="1"/>
  <c r="AL847" i="1"/>
  <c r="AO855" i="1"/>
  <c r="AN855" i="1"/>
  <c r="AM855" i="1"/>
  <c r="AL855" i="1"/>
  <c r="AO863" i="1"/>
  <c r="AN863" i="1"/>
  <c r="AM863" i="1"/>
  <c r="AL863" i="1"/>
  <c r="AO871" i="1"/>
  <c r="AN871" i="1"/>
  <c r="AM871" i="1"/>
  <c r="AL871" i="1"/>
  <c r="AO879" i="1"/>
  <c r="AN879" i="1"/>
  <c r="AM879" i="1"/>
  <c r="AL879" i="1"/>
  <c r="AO887" i="1"/>
  <c r="AN887" i="1"/>
  <c r="AM887" i="1"/>
  <c r="AL887" i="1"/>
  <c r="AO895" i="1"/>
  <c r="AN895" i="1"/>
  <c r="AM895" i="1"/>
  <c r="AL895" i="1"/>
  <c r="AO903" i="1"/>
  <c r="AN903" i="1"/>
  <c r="AM903" i="1"/>
  <c r="AL903" i="1"/>
  <c r="AO911" i="1"/>
  <c r="AN911" i="1"/>
  <c r="AM911" i="1"/>
  <c r="AL911" i="1"/>
  <c r="AO919" i="1"/>
  <c r="AN919" i="1"/>
  <c r="AM919" i="1"/>
  <c r="AL919" i="1"/>
  <c r="AO927" i="1"/>
  <c r="AN927" i="1"/>
  <c r="AM927" i="1"/>
  <c r="AL927" i="1"/>
  <c r="AO935" i="1"/>
  <c r="AN935" i="1"/>
  <c r="AM935" i="1"/>
  <c r="AL935" i="1"/>
  <c r="AO943" i="1"/>
  <c r="AN943" i="1"/>
  <c r="AM943" i="1"/>
  <c r="AL943" i="1"/>
  <c r="AO951" i="1"/>
  <c r="AN951" i="1"/>
  <c r="AM951" i="1"/>
  <c r="AL951" i="1"/>
  <c r="AO959" i="1"/>
  <c r="AN959" i="1"/>
  <c r="AM959" i="1"/>
  <c r="AL959" i="1"/>
  <c r="AO967" i="1"/>
  <c r="AM967" i="1"/>
  <c r="AN967" i="1"/>
  <c r="AL967" i="1"/>
  <c r="AO975" i="1"/>
  <c r="AN975" i="1"/>
  <c r="AM975" i="1"/>
  <c r="AL975" i="1"/>
  <c r="AO983" i="1"/>
  <c r="AM983" i="1"/>
  <c r="AN983" i="1"/>
  <c r="AL983" i="1"/>
  <c r="AO991" i="1"/>
  <c r="AN991" i="1"/>
  <c r="AM991" i="1"/>
  <c r="AO999" i="1"/>
  <c r="AN999" i="1"/>
  <c r="AM999" i="1"/>
  <c r="AO1007" i="1"/>
  <c r="AN1007" i="1"/>
  <c r="AM1007" i="1"/>
  <c r="AO1015" i="1"/>
  <c r="AN1015" i="1"/>
  <c r="AM1015" i="1"/>
  <c r="AO1023" i="1"/>
  <c r="AM1023" i="1"/>
  <c r="AN1023" i="1"/>
  <c r="AO1031" i="1"/>
  <c r="AN1031" i="1"/>
  <c r="AM1031" i="1"/>
  <c r="AO1039" i="1"/>
  <c r="AN1039" i="1"/>
  <c r="AM1039" i="1"/>
  <c r="AO1047" i="1"/>
  <c r="AN1047" i="1"/>
  <c r="AM1047" i="1"/>
  <c r="AO1055" i="1"/>
  <c r="AN1055" i="1"/>
  <c r="AM1055" i="1"/>
  <c r="AO1063" i="1"/>
  <c r="AN1063" i="1"/>
  <c r="AM1063" i="1"/>
  <c r="AO1071" i="1"/>
  <c r="AN1071" i="1"/>
  <c r="AM1071" i="1"/>
  <c r="AO1079" i="1"/>
  <c r="AN1079" i="1"/>
  <c r="AM1079" i="1"/>
  <c r="AO1087" i="1"/>
  <c r="AN1087" i="1"/>
  <c r="AM1087" i="1"/>
  <c r="AO1095" i="1"/>
  <c r="AN1095" i="1"/>
  <c r="AM1095" i="1"/>
  <c r="AO1103" i="1"/>
  <c r="AN1103" i="1"/>
  <c r="AM1103" i="1"/>
  <c r="AO1111" i="1"/>
  <c r="AN1111" i="1"/>
  <c r="AM1111" i="1"/>
  <c r="AO1119" i="1"/>
  <c r="AN1119" i="1"/>
  <c r="AM1119" i="1"/>
  <c r="AO1127" i="1"/>
  <c r="AN1127" i="1"/>
  <c r="AM1127" i="1"/>
  <c r="AO1135" i="1"/>
  <c r="AN1135" i="1"/>
  <c r="AM1135" i="1"/>
  <c r="AO1143" i="1"/>
  <c r="AN1143" i="1"/>
  <c r="AM1143" i="1"/>
  <c r="AO1151" i="1"/>
  <c r="AN1151" i="1"/>
  <c r="AM1151" i="1"/>
  <c r="AO1159" i="1"/>
  <c r="AN1159" i="1"/>
  <c r="AM1159" i="1"/>
  <c r="AO1167" i="1"/>
  <c r="AN1167" i="1"/>
  <c r="AM1167" i="1"/>
  <c r="AO1175" i="1"/>
  <c r="AN1175" i="1"/>
  <c r="AM1175" i="1"/>
  <c r="AO1183" i="1"/>
  <c r="AN1183" i="1"/>
  <c r="AM1183" i="1"/>
  <c r="AO1191" i="1"/>
  <c r="AN1191" i="1"/>
  <c r="AM1191" i="1"/>
  <c r="AO1199" i="1"/>
  <c r="AN1199" i="1"/>
  <c r="AM1199" i="1"/>
  <c r="AO1207" i="1"/>
  <c r="AN1207" i="1"/>
  <c r="AM1207" i="1"/>
  <c r="AO1215" i="1"/>
  <c r="AN1215" i="1"/>
  <c r="AM1215" i="1"/>
  <c r="AO1223" i="1"/>
  <c r="AN1223" i="1"/>
  <c r="AM1223" i="1"/>
  <c r="AO1231" i="1"/>
  <c r="AN1231" i="1"/>
  <c r="AM1231" i="1"/>
  <c r="AO1239" i="1"/>
  <c r="AN1239" i="1"/>
  <c r="AM1239" i="1"/>
  <c r="AO1247" i="1"/>
  <c r="AN1247" i="1"/>
  <c r="AM1247" i="1"/>
  <c r="AO1255" i="1"/>
  <c r="AN1255" i="1"/>
  <c r="AM1255" i="1"/>
  <c r="AO1263" i="1"/>
  <c r="AN1263" i="1"/>
  <c r="AM1263" i="1"/>
  <c r="AO1271" i="1"/>
  <c r="AN1271" i="1"/>
  <c r="AM1271" i="1"/>
  <c r="AO1279" i="1"/>
  <c r="AN1279" i="1"/>
  <c r="AM1279" i="1"/>
  <c r="AO1287" i="1"/>
  <c r="AN1287" i="1"/>
  <c r="AM1287" i="1"/>
  <c r="AO1295" i="1"/>
  <c r="AN1295" i="1"/>
  <c r="AM1295" i="1"/>
  <c r="AO1303" i="1"/>
  <c r="AN1303" i="1"/>
  <c r="AM1303" i="1"/>
  <c r="AO1311" i="1"/>
  <c r="AN1311" i="1"/>
  <c r="AM1311" i="1"/>
  <c r="AO1319" i="1"/>
  <c r="AN1319" i="1"/>
  <c r="AM1319" i="1"/>
  <c r="AO1327" i="1"/>
  <c r="AN1327" i="1"/>
  <c r="AM1327" i="1"/>
  <c r="AO1335" i="1"/>
  <c r="AN1335" i="1"/>
  <c r="AM1335" i="1"/>
  <c r="AO1343" i="1"/>
  <c r="AN1343" i="1"/>
  <c r="AM1343" i="1"/>
  <c r="AO1351" i="1"/>
  <c r="AN1351" i="1"/>
  <c r="AM1351" i="1"/>
  <c r="AO1359" i="1"/>
  <c r="AN1359" i="1"/>
  <c r="AM1359" i="1"/>
  <c r="AO1367" i="1"/>
  <c r="AN1367" i="1"/>
  <c r="AM1367" i="1"/>
  <c r="AO1375" i="1"/>
  <c r="AN1375" i="1"/>
  <c r="AM1375" i="1"/>
  <c r="AO1383" i="1"/>
  <c r="AN1383" i="1"/>
  <c r="AM1383" i="1"/>
  <c r="AO1391" i="1"/>
  <c r="AN1391" i="1"/>
  <c r="AM1391" i="1"/>
  <c r="AO1399" i="1"/>
  <c r="AN1399" i="1"/>
  <c r="AM1399" i="1"/>
  <c r="AO1407" i="1"/>
  <c r="AN1407" i="1"/>
  <c r="AM1407" i="1"/>
  <c r="AO1415" i="1"/>
  <c r="AN1415" i="1"/>
  <c r="AM1415" i="1"/>
  <c r="AO1423" i="1"/>
  <c r="AN1423" i="1"/>
  <c r="AM1423" i="1"/>
  <c r="AO1431" i="1"/>
  <c r="AN1431" i="1"/>
  <c r="AM1431" i="1"/>
  <c r="AO1439" i="1"/>
  <c r="AN1439" i="1"/>
  <c r="AM1439" i="1"/>
  <c r="AO1447" i="1"/>
  <c r="AN1447" i="1"/>
  <c r="AM1447" i="1"/>
  <c r="AO1455" i="1"/>
  <c r="AN1455" i="1"/>
  <c r="AM1455" i="1"/>
  <c r="AO1463" i="1"/>
  <c r="AN1463" i="1"/>
  <c r="AM1463" i="1"/>
  <c r="AL1461" i="1"/>
  <c r="AL1447" i="1"/>
  <c r="AL1421" i="1"/>
  <c r="AL1381" i="1"/>
  <c r="AL1359" i="1"/>
  <c r="AL1317" i="1"/>
  <c r="AL1295" i="1"/>
  <c r="AL1263" i="1"/>
  <c r="AL1207" i="1"/>
  <c r="AL1143" i="1"/>
  <c r="AL1079" i="1"/>
  <c r="AL1015" i="1"/>
  <c r="AO9" i="1"/>
  <c r="AN9" i="1"/>
  <c r="AL9" i="1"/>
  <c r="AM9" i="1"/>
  <c r="AO33" i="1"/>
  <c r="AN33" i="1"/>
  <c r="AM33" i="1"/>
  <c r="AL33" i="1"/>
  <c r="AO57" i="1"/>
  <c r="AN57" i="1"/>
  <c r="AM57" i="1"/>
  <c r="AL57" i="1"/>
  <c r="AO65" i="1"/>
  <c r="AN65" i="1"/>
  <c r="AM65" i="1"/>
  <c r="AL65" i="1"/>
  <c r="AO89" i="1"/>
  <c r="AN89" i="1"/>
  <c r="AM89" i="1"/>
  <c r="AL89" i="1"/>
  <c r="AO113" i="1"/>
  <c r="AN113" i="1"/>
  <c r="AM113" i="1"/>
  <c r="AL113" i="1"/>
  <c r="AO137" i="1"/>
  <c r="AN137" i="1"/>
  <c r="AM137" i="1"/>
  <c r="AL137" i="1"/>
  <c r="AO161" i="1"/>
  <c r="AN161" i="1"/>
  <c r="AM161" i="1"/>
  <c r="AL161" i="1"/>
  <c r="AO201" i="1"/>
  <c r="AN201" i="1"/>
  <c r="AL201" i="1"/>
  <c r="AM201" i="1"/>
  <c r="AO233" i="1"/>
  <c r="AN233" i="1"/>
  <c r="AM233" i="1"/>
  <c r="AL233" i="1"/>
  <c r="AO257" i="1"/>
  <c r="AN257" i="1"/>
  <c r="AM257" i="1"/>
  <c r="AL257" i="1"/>
  <c r="AO281" i="1"/>
  <c r="AN281" i="1"/>
  <c r="AM281" i="1"/>
  <c r="AL281" i="1"/>
  <c r="AO305" i="1"/>
  <c r="AN305" i="1"/>
  <c r="AM305" i="1"/>
  <c r="AL305" i="1"/>
  <c r="AO321" i="1"/>
  <c r="AN321" i="1"/>
  <c r="AM321" i="1"/>
  <c r="AL321" i="1"/>
  <c r="AO345" i="1"/>
  <c r="AN345" i="1"/>
  <c r="AM345" i="1"/>
  <c r="AL345" i="1"/>
  <c r="AO369" i="1"/>
  <c r="AN369" i="1"/>
  <c r="AM369" i="1"/>
  <c r="AL369" i="1"/>
  <c r="AO393" i="1"/>
  <c r="AN393" i="1"/>
  <c r="AM393" i="1"/>
  <c r="AL393" i="1"/>
  <c r="AO409" i="1"/>
  <c r="AN409" i="1"/>
  <c r="AM409" i="1"/>
  <c r="AL409" i="1"/>
  <c r="AO433" i="1"/>
  <c r="AN433" i="1"/>
  <c r="AM433" i="1"/>
  <c r="AL433" i="1"/>
  <c r="AO449" i="1"/>
  <c r="AN449" i="1"/>
  <c r="AM449" i="1"/>
  <c r="AL449" i="1"/>
  <c r="AO465" i="1"/>
  <c r="AN465" i="1"/>
  <c r="AM465" i="1"/>
  <c r="AL465" i="1"/>
  <c r="AO481" i="1"/>
  <c r="AN481" i="1"/>
  <c r="AM481" i="1"/>
  <c r="AL481" i="1"/>
  <c r="AO497" i="1"/>
  <c r="AN497" i="1"/>
  <c r="AM497" i="1"/>
  <c r="AL497" i="1"/>
  <c r="AO513" i="1"/>
  <c r="AN513" i="1"/>
  <c r="AM513" i="1"/>
  <c r="AL513" i="1"/>
  <c r="AO537" i="1"/>
  <c r="AN537" i="1"/>
  <c r="AM537" i="1"/>
  <c r="AL537" i="1"/>
  <c r="AO553" i="1"/>
  <c r="AN553" i="1"/>
  <c r="AM553" i="1"/>
  <c r="AL553" i="1"/>
  <c r="AO569" i="1"/>
  <c r="AN569" i="1"/>
  <c r="AM569" i="1"/>
  <c r="AL569" i="1"/>
  <c r="AO585" i="1"/>
  <c r="AN585" i="1"/>
  <c r="AM585" i="1"/>
  <c r="AL585" i="1"/>
  <c r="AO601" i="1"/>
  <c r="AN601" i="1"/>
  <c r="AM601" i="1"/>
  <c r="AL601" i="1"/>
  <c r="AO617" i="1"/>
  <c r="AN617" i="1"/>
  <c r="AM617" i="1"/>
  <c r="AL617" i="1"/>
  <c r="AO641" i="1"/>
  <c r="AN641" i="1"/>
  <c r="AM641" i="1"/>
  <c r="AL641" i="1"/>
  <c r="AO657" i="1"/>
  <c r="AN657" i="1"/>
  <c r="AM657" i="1"/>
  <c r="AL657" i="1"/>
  <c r="AO673" i="1"/>
  <c r="AN673" i="1"/>
  <c r="AM673" i="1"/>
  <c r="AL673" i="1"/>
  <c r="AO689" i="1"/>
  <c r="AN689" i="1"/>
  <c r="AM689" i="1"/>
  <c r="AL689" i="1"/>
  <c r="AO705" i="1"/>
  <c r="AN705" i="1"/>
  <c r="AM705" i="1"/>
  <c r="AL705" i="1"/>
  <c r="AO721" i="1"/>
  <c r="AN721" i="1"/>
  <c r="AM721" i="1"/>
  <c r="AL721" i="1"/>
  <c r="AO753" i="1"/>
  <c r="AN753" i="1"/>
  <c r="AM753" i="1"/>
  <c r="AL753" i="1"/>
  <c r="AO8" i="1"/>
  <c r="AN8" i="1"/>
  <c r="AM8" i="1"/>
  <c r="AL8" i="1"/>
  <c r="AO16" i="1"/>
  <c r="AN16" i="1"/>
  <c r="AM16" i="1"/>
  <c r="AL16" i="1"/>
  <c r="AO24" i="1"/>
  <c r="AN24" i="1"/>
  <c r="AM24" i="1"/>
  <c r="AL24" i="1"/>
  <c r="AO32" i="1"/>
  <c r="AN32" i="1"/>
  <c r="AM32" i="1"/>
  <c r="AL32" i="1"/>
  <c r="AO40" i="1"/>
  <c r="AN40" i="1"/>
  <c r="AM40" i="1"/>
  <c r="AL40" i="1"/>
  <c r="AO48" i="1"/>
  <c r="AN48" i="1"/>
  <c r="AM48" i="1"/>
  <c r="AL48" i="1"/>
  <c r="AO56" i="1"/>
  <c r="AN56" i="1"/>
  <c r="AM56" i="1"/>
  <c r="AL56" i="1"/>
  <c r="AO64" i="1"/>
  <c r="AN64" i="1"/>
  <c r="AM64" i="1"/>
  <c r="AL64" i="1"/>
  <c r="AO72" i="1"/>
  <c r="AN72" i="1"/>
  <c r="AM72" i="1"/>
  <c r="AL72" i="1"/>
  <c r="AO80" i="1"/>
  <c r="AN80" i="1"/>
  <c r="AM80" i="1"/>
  <c r="AL80" i="1"/>
  <c r="AO88" i="1"/>
  <c r="AN88" i="1"/>
  <c r="AM88" i="1"/>
  <c r="AL88" i="1"/>
  <c r="AO96" i="1"/>
  <c r="AN96" i="1"/>
  <c r="AM96" i="1"/>
  <c r="AL96" i="1"/>
  <c r="AO104" i="1"/>
  <c r="AN104" i="1"/>
  <c r="AM104" i="1"/>
  <c r="AL104" i="1"/>
  <c r="AO112" i="1"/>
  <c r="AN112" i="1"/>
  <c r="AM112" i="1"/>
  <c r="AL112" i="1"/>
  <c r="AO120" i="1"/>
  <c r="AN120" i="1"/>
  <c r="AM120" i="1"/>
  <c r="AL120" i="1"/>
  <c r="AO128" i="1"/>
  <c r="AN128" i="1"/>
  <c r="AM128" i="1"/>
  <c r="AL128" i="1"/>
  <c r="AO136" i="1"/>
  <c r="AN136" i="1"/>
  <c r="AM136" i="1"/>
  <c r="AL136" i="1"/>
  <c r="AO144" i="1"/>
  <c r="AN144" i="1"/>
  <c r="AM144" i="1"/>
  <c r="AL144" i="1"/>
  <c r="AO152" i="1"/>
  <c r="AN152" i="1"/>
  <c r="AM152" i="1"/>
  <c r="AL152" i="1"/>
  <c r="AO160" i="1"/>
  <c r="AN160" i="1"/>
  <c r="AM160" i="1"/>
  <c r="AL160" i="1"/>
  <c r="AO168" i="1"/>
  <c r="AN168" i="1"/>
  <c r="AM168" i="1"/>
  <c r="AL168" i="1"/>
  <c r="AO176" i="1"/>
  <c r="AN176" i="1"/>
  <c r="AM176" i="1"/>
  <c r="AL176" i="1"/>
  <c r="AO184" i="1"/>
  <c r="AN184" i="1"/>
  <c r="AM184" i="1"/>
  <c r="AL184" i="1"/>
  <c r="AO192" i="1"/>
  <c r="AN192" i="1"/>
  <c r="AM192" i="1"/>
  <c r="AL192" i="1"/>
  <c r="AO200" i="1"/>
  <c r="AN200" i="1"/>
  <c r="AM200" i="1"/>
  <c r="AL200" i="1"/>
  <c r="AO208" i="1"/>
  <c r="AN208" i="1"/>
  <c r="AM208" i="1"/>
  <c r="AL208" i="1"/>
  <c r="AO216" i="1"/>
  <c r="AN216" i="1"/>
  <c r="AM216" i="1"/>
  <c r="AL216" i="1"/>
  <c r="AO224" i="1"/>
  <c r="AN224" i="1"/>
  <c r="AM224" i="1"/>
  <c r="AL224" i="1"/>
  <c r="AO232" i="1"/>
  <c r="AN232" i="1"/>
  <c r="AM232" i="1"/>
  <c r="AL232" i="1"/>
  <c r="AO240" i="1"/>
  <c r="AN240" i="1"/>
  <c r="AM240" i="1"/>
  <c r="AL240" i="1"/>
  <c r="AO248" i="1"/>
  <c r="AN248" i="1"/>
  <c r="AM248" i="1"/>
  <c r="AL248" i="1"/>
  <c r="AO256" i="1"/>
  <c r="AN256" i="1"/>
  <c r="AM256" i="1"/>
  <c r="AL256" i="1"/>
  <c r="AO264" i="1"/>
  <c r="AN264" i="1"/>
  <c r="AM264" i="1"/>
  <c r="AL264" i="1"/>
  <c r="AO272" i="1"/>
  <c r="AN272" i="1"/>
  <c r="AM272" i="1"/>
  <c r="AL272" i="1"/>
  <c r="AO280" i="1"/>
  <c r="AN280" i="1"/>
  <c r="AM280" i="1"/>
  <c r="AL280" i="1"/>
  <c r="AO288" i="1"/>
  <c r="AN288" i="1"/>
  <c r="AM288" i="1"/>
  <c r="AL288" i="1"/>
  <c r="AO296" i="1"/>
  <c r="AN296" i="1"/>
  <c r="AM296" i="1"/>
  <c r="AL296" i="1"/>
  <c r="AO304" i="1"/>
  <c r="AN304" i="1"/>
  <c r="AM304" i="1"/>
  <c r="AL304" i="1"/>
  <c r="AO312" i="1"/>
  <c r="AN312" i="1"/>
  <c r="AM312" i="1"/>
  <c r="AL312" i="1"/>
  <c r="AO320" i="1"/>
  <c r="AN320" i="1"/>
  <c r="AM320" i="1"/>
  <c r="AL320" i="1"/>
  <c r="AO328" i="1"/>
  <c r="AN328" i="1"/>
  <c r="AM328" i="1"/>
  <c r="AL328" i="1"/>
  <c r="AO336" i="1"/>
  <c r="AN336" i="1"/>
  <c r="AM336" i="1"/>
  <c r="AL336" i="1"/>
  <c r="AO344" i="1"/>
  <c r="AN344" i="1"/>
  <c r="AM344" i="1"/>
  <c r="AL344" i="1"/>
  <c r="AO352" i="1"/>
  <c r="AN352" i="1"/>
  <c r="AM352" i="1"/>
  <c r="AL352" i="1"/>
  <c r="AO360" i="1"/>
  <c r="AN360" i="1"/>
  <c r="AM360" i="1"/>
  <c r="AL360" i="1"/>
  <c r="AO368" i="1"/>
  <c r="AN368" i="1"/>
  <c r="AM368" i="1"/>
  <c r="AL368" i="1"/>
  <c r="AO376" i="1"/>
  <c r="AN376" i="1"/>
  <c r="AM376" i="1"/>
  <c r="AL376" i="1"/>
  <c r="AO384" i="1"/>
  <c r="AN384" i="1"/>
  <c r="AM384" i="1"/>
  <c r="AL384" i="1"/>
  <c r="AO392" i="1"/>
  <c r="AN392" i="1"/>
  <c r="AM392" i="1"/>
  <c r="AL392" i="1"/>
  <c r="AO400" i="1"/>
  <c r="AN400" i="1"/>
  <c r="AM400" i="1"/>
  <c r="AL400" i="1"/>
  <c r="AO408" i="1"/>
  <c r="AN408" i="1"/>
  <c r="AM408" i="1"/>
  <c r="AL408" i="1"/>
  <c r="AO416" i="1"/>
  <c r="AN416" i="1"/>
  <c r="AM416" i="1"/>
  <c r="AL416" i="1"/>
  <c r="AO424" i="1"/>
  <c r="AN424" i="1"/>
  <c r="AM424" i="1"/>
  <c r="AL424" i="1"/>
  <c r="AO432" i="1"/>
  <c r="AN432" i="1"/>
  <c r="AM432" i="1"/>
  <c r="AL432" i="1"/>
  <c r="AO440" i="1"/>
  <c r="AN440" i="1"/>
  <c r="AM440" i="1"/>
  <c r="AL440" i="1"/>
  <c r="AO448" i="1"/>
  <c r="AN448" i="1"/>
  <c r="AM448" i="1"/>
  <c r="AL448" i="1"/>
  <c r="AO456" i="1"/>
  <c r="AN456" i="1"/>
  <c r="AM456" i="1"/>
  <c r="AL456" i="1"/>
  <c r="AO464" i="1"/>
  <c r="AN464" i="1"/>
  <c r="AM464" i="1"/>
  <c r="AL464" i="1"/>
  <c r="AO472" i="1"/>
  <c r="AN472" i="1"/>
  <c r="AM472" i="1"/>
  <c r="AL472" i="1"/>
  <c r="AO480" i="1"/>
  <c r="AN480" i="1"/>
  <c r="AM480" i="1"/>
  <c r="AL480" i="1"/>
  <c r="AO488" i="1"/>
  <c r="AN488" i="1"/>
  <c r="AM488" i="1"/>
  <c r="AL488" i="1"/>
  <c r="AO496" i="1"/>
  <c r="AN496" i="1"/>
  <c r="AM496" i="1"/>
  <c r="AL496" i="1"/>
  <c r="AO504" i="1"/>
  <c r="AN504" i="1"/>
  <c r="AM504" i="1"/>
  <c r="AL504" i="1"/>
  <c r="AO512" i="1"/>
  <c r="AN512" i="1"/>
  <c r="AM512" i="1"/>
  <c r="AL512" i="1"/>
  <c r="AO520" i="1"/>
  <c r="AN520" i="1"/>
  <c r="AM520" i="1"/>
  <c r="AL520" i="1"/>
  <c r="AO528" i="1"/>
  <c r="AN528" i="1"/>
  <c r="AM528" i="1"/>
  <c r="AL528" i="1"/>
  <c r="AO536" i="1"/>
  <c r="AN536" i="1"/>
  <c r="AM536" i="1"/>
  <c r="AL536" i="1"/>
  <c r="AO544" i="1"/>
  <c r="AN544" i="1"/>
  <c r="AM544" i="1"/>
  <c r="AL544" i="1"/>
  <c r="AO552" i="1"/>
  <c r="AN552" i="1"/>
  <c r="AM552" i="1"/>
  <c r="AL552" i="1"/>
  <c r="AO560" i="1"/>
  <c r="AN560" i="1"/>
  <c r="AM560" i="1"/>
  <c r="AL560" i="1"/>
  <c r="AO568" i="1"/>
  <c r="AN568" i="1"/>
  <c r="AM568" i="1"/>
  <c r="AL568" i="1"/>
  <c r="AO576" i="1"/>
  <c r="AN576" i="1"/>
  <c r="AM576" i="1"/>
  <c r="AL576" i="1"/>
  <c r="AO584" i="1"/>
  <c r="AN584" i="1"/>
  <c r="AM584" i="1"/>
  <c r="AL584" i="1"/>
  <c r="AO592" i="1"/>
  <c r="AN592" i="1"/>
  <c r="AM592" i="1"/>
  <c r="AL592" i="1"/>
  <c r="AO600" i="1"/>
  <c r="AN600" i="1"/>
  <c r="AM600" i="1"/>
  <c r="AL600" i="1"/>
  <c r="AO608" i="1"/>
  <c r="AN608" i="1"/>
  <c r="AM608" i="1"/>
  <c r="AL608" i="1"/>
  <c r="AO616" i="1"/>
  <c r="AN616" i="1"/>
  <c r="AM616" i="1"/>
  <c r="AL616" i="1"/>
  <c r="AO624" i="1"/>
  <c r="AN624" i="1"/>
  <c r="AM624" i="1"/>
  <c r="AL624" i="1"/>
  <c r="AO632" i="1"/>
  <c r="AN632" i="1"/>
  <c r="AM632" i="1"/>
  <c r="AL632" i="1"/>
  <c r="AO640" i="1"/>
  <c r="AN640" i="1"/>
  <c r="AM640" i="1"/>
  <c r="AL640" i="1"/>
  <c r="AO648" i="1"/>
  <c r="AN648" i="1"/>
  <c r="AM648" i="1"/>
  <c r="AL648" i="1"/>
  <c r="AO656" i="1"/>
  <c r="AN656" i="1"/>
  <c r="AM656" i="1"/>
  <c r="AL656" i="1"/>
  <c r="AO664" i="1"/>
  <c r="AN664" i="1"/>
  <c r="AM664" i="1"/>
  <c r="AL664" i="1"/>
  <c r="AO672" i="1"/>
  <c r="AN672" i="1"/>
  <c r="AM672" i="1"/>
  <c r="AL672" i="1"/>
  <c r="AO680" i="1"/>
  <c r="AN680" i="1"/>
  <c r="AM680" i="1"/>
  <c r="AL680" i="1"/>
  <c r="AO688" i="1"/>
  <c r="AN688" i="1"/>
  <c r="AM688" i="1"/>
  <c r="AL688" i="1"/>
  <c r="AO696" i="1"/>
  <c r="AN696" i="1"/>
  <c r="AM696" i="1"/>
  <c r="AL696" i="1"/>
  <c r="AO704" i="1"/>
  <c r="AN704" i="1"/>
  <c r="AM704" i="1"/>
  <c r="AL704" i="1"/>
  <c r="AO712" i="1"/>
  <c r="AN712" i="1"/>
  <c r="AM712" i="1"/>
  <c r="AL712" i="1"/>
  <c r="AO720" i="1"/>
  <c r="AN720" i="1"/>
  <c r="AM720" i="1"/>
  <c r="AL720" i="1"/>
  <c r="AO728" i="1"/>
  <c r="AN728" i="1"/>
  <c r="AM728" i="1"/>
  <c r="AL728" i="1"/>
  <c r="AO736" i="1"/>
  <c r="AN736" i="1"/>
  <c r="AM736" i="1"/>
  <c r="AL736" i="1"/>
  <c r="AO744" i="1"/>
  <c r="AN744" i="1"/>
  <c r="AM744" i="1"/>
  <c r="AL744" i="1"/>
  <c r="AO752" i="1"/>
  <c r="AN752" i="1"/>
  <c r="AM752" i="1"/>
  <c r="AL752" i="1"/>
  <c r="AO760" i="1"/>
  <c r="AN760" i="1"/>
  <c r="AM760" i="1"/>
  <c r="AL760" i="1"/>
  <c r="AO768" i="1"/>
  <c r="AN768" i="1"/>
  <c r="AM768" i="1"/>
  <c r="AL768" i="1"/>
  <c r="AO776" i="1"/>
  <c r="AN776" i="1"/>
  <c r="AM776" i="1"/>
  <c r="AL776" i="1"/>
  <c r="AO784" i="1"/>
  <c r="AN784" i="1"/>
  <c r="AM784" i="1"/>
  <c r="AL784" i="1"/>
  <c r="AO792" i="1"/>
  <c r="AN792" i="1"/>
  <c r="AM792" i="1"/>
  <c r="AL792" i="1"/>
  <c r="AO800" i="1"/>
  <c r="AN800" i="1"/>
  <c r="AM800" i="1"/>
  <c r="AL800" i="1"/>
  <c r="AO808" i="1"/>
  <c r="AN808" i="1"/>
  <c r="AM808" i="1"/>
  <c r="AL808" i="1"/>
  <c r="AO816" i="1"/>
  <c r="AN816" i="1"/>
  <c r="AM816" i="1"/>
  <c r="AL816" i="1"/>
  <c r="AO824" i="1"/>
  <c r="AN824" i="1"/>
  <c r="AM824" i="1"/>
  <c r="AL824" i="1"/>
  <c r="AO832" i="1"/>
  <c r="AN832" i="1"/>
  <c r="AM832" i="1"/>
  <c r="AL832" i="1"/>
  <c r="AO840" i="1"/>
  <c r="AN840" i="1"/>
  <c r="AM840" i="1"/>
  <c r="AL840" i="1"/>
  <c r="AO848" i="1"/>
  <c r="AN848" i="1"/>
  <c r="AM848" i="1"/>
  <c r="AL848" i="1"/>
  <c r="AO856" i="1"/>
  <c r="AN856" i="1"/>
  <c r="AM856" i="1"/>
  <c r="AL856" i="1"/>
  <c r="AO864" i="1"/>
  <c r="AN864" i="1"/>
  <c r="AM864" i="1"/>
  <c r="AL864" i="1"/>
  <c r="AO872" i="1"/>
  <c r="AN872" i="1"/>
  <c r="AM872" i="1"/>
  <c r="AL872" i="1"/>
  <c r="AO880" i="1"/>
  <c r="AN880" i="1"/>
  <c r="AM880" i="1"/>
  <c r="AL880" i="1"/>
  <c r="AO888" i="1"/>
  <c r="AN888" i="1"/>
  <c r="AM888" i="1"/>
  <c r="AL888" i="1"/>
  <c r="AO896" i="1"/>
  <c r="AN896" i="1"/>
  <c r="AM896" i="1"/>
  <c r="AL896" i="1"/>
  <c r="AO904" i="1"/>
  <c r="AN904" i="1"/>
  <c r="AM904" i="1"/>
  <c r="AL904" i="1"/>
  <c r="AO912" i="1"/>
  <c r="AN912" i="1"/>
  <c r="AM912" i="1"/>
  <c r="AL912" i="1"/>
  <c r="AO920" i="1"/>
  <c r="AN920" i="1"/>
  <c r="AM920" i="1"/>
  <c r="AL920" i="1"/>
  <c r="AO928" i="1"/>
  <c r="AN928" i="1"/>
  <c r="AM928" i="1"/>
  <c r="AL928" i="1"/>
  <c r="AO936" i="1"/>
  <c r="AN936" i="1"/>
  <c r="AM936" i="1"/>
  <c r="AL936" i="1"/>
  <c r="AO944" i="1"/>
  <c r="AN944" i="1"/>
  <c r="AM944" i="1"/>
  <c r="AL944" i="1"/>
  <c r="AO952" i="1"/>
  <c r="AN952" i="1"/>
  <c r="AM952" i="1"/>
  <c r="AL952" i="1"/>
  <c r="AO960" i="1"/>
  <c r="AN960" i="1"/>
  <c r="AM960" i="1"/>
  <c r="AL960" i="1"/>
  <c r="AO968" i="1"/>
  <c r="AN968" i="1"/>
  <c r="AM968" i="1"/>
  <c r="AL968" i="1"/>
  <c r="AO976" i="1"/>
  <c r="AN976" i="1"/>
  <c r="AM976" i="1"/>
  <c r="AL976" i="1"/>
  <c r="AO984" i="1"/>
  <c r="AN984" i="1"/>
  <c r="AM984" i="1"/>
  <c r="AL984" i="1"/>
  <c r="AO992" i="1"/>
  <c r="AN992" i="1"/>
  <c r="AM992" i="1"/>
  <c r="AL992" i="1"/>
  <c r="AO1000" i="1"/>
  <c r="AN1000" i="1"/>
  <c r="AM1000" i="1"/>
  <c r="AL1000" i="1"/>
  <c r="AO1008" i="1"/>
  <c r="AN1008" i="1"/>
  <c r="AM1008" i="1"/>
  <c r="AL1008" i="1"/>
  <c r="AO1016" i="1"/>
  <c r="AN1016" i="1"/>
  <c r="AM1016" i="1"/>
  <c r="AL1016" i="1"/>
  <c r="AO1024" i="1"/>
  <c r="AN1024" i="1"/>
  <c r="AM1024" i="1"/>
  <c r="AL1024" i="1"/>
  <c r="AO1032" i="1"/>
  <c r="AN1032" i="1"/>
  <c r="AM1032" i="1"/>
  <c r="AL1032" i="1"/>
  <c r="AO1040" i="1"/>
  <c r="AN1040" i="1"/>
  <c r="AM1040" i="1"/>
  <c r="AL1040" i="1"/>
  <c r="AO1048" i="1"/>
  <c r="AN1048" i="1"/>
  <c r="AM1048" i="1"/>
  <c r="AL1048" i="1"/>
  <c r="AO1056" i="1"/>
  <c r="AN1056" i="1"/>
  <c r="AM1056" i="1"/>
  <c r="AL1056" i="1"/>
  <c r="AO1064" i="1"/>
  <c r="AN1064" i="1"/>
  <c r="AM1064" i="1"/>
  <c r="AL1064" i="1"/>
  <c r="AO1072" i="1"/>
  <c r="AN1072" i="1"/>
  <c r="AM1072" i="1"/>
  <c r="AL1072" i="1"/>
  <c r="AO1080" i="1"/>
  <c r="AN1080" i="1"/>
  <c r="AM1080" i="1"/>
  <c r="AL1080" i="1"/>
  <c r="AO1088" i="1"/>
  <c r="AN1088" i="1"/>
  <c r="AM1088" i="1"/>
  <c r="AL1088" i="1"/>
  <c r="AO1096" i="1"/>
  <c r="AN1096" i="1"/>
  <c r="AM1096" i="1"/>
  <c r="AL1096" i="1"/>
  <c r="AO1104" i="1"/>
  <c r="AN1104" i="1"/>
  <c r="AM1104" i="1"/>
  <c r="AL1104" i="1"/>
  <c r="AO1112" i="1"/>
  <c r="AN1112" i="1"/>
  <c r="AM1112" i="1"/>
  <c r="AL1112" i="1"/>
  <c r="AO1120" i="1"/>
  <c r="AN1120" i="1"/>
  <c r="AM1120" i="1"/>
  <c r="AL1120" i="1"/>
  <c r="AO1128" i="1"/>
  <c r="AN1128" i="1"/>
  <c r="AM1128" i="1"/>
  <c r="AL1128" i="1"/>
  <c r="AO1136" i="1"/>
  <c r="AN1136" i="1"/>
  <c r="AM1136" i="1"/>
  <c r="AL1136" i="1"/>
  <c r="AO1144" i="1"/>
  <c r="AN1144" i="1"/>
  <c r="AM1144" i="1"/>
  <c r="AL1144" i="1"/>
  <c r="AO1152" i="1"/>
  <c r="AN1152" i="1"/>
  <c r="AM1152" i="1"/>
  <c r="AL1152" i="1"/>
  <c r="AO1160" i="1"/>
  <c r="AN1160" i="1"/>
  <c r="AM1160" i="1"/>
  <c r="AL1160" i="1"/>
  <c r="AO1168" i="1"/>
  <c r="AN1168" i="1"/>
  <c r="AM1168" i="1"/>
  <c r="AL1168" i="1"/>
  <c r="AO1176" i="1"/>
  <c r="AN1176" i="1"/>
  <c r="AM1176" i="1"/>
  <c r="AL1176" i="1"/>
  <c r="AO1184" i="1"/>
  <c r="AN1184" i="1"/>
  <c r="AM1184" i="1"/>
  <c r="AL1184" i="1"/>
  <c r="AO1192" i="1"/>
  <c r="AN1192" i="1"/>
  <c r="AM1192" i="1"/>
  <c r="AL1192" i="1"/>
  <c r="AO1200" i="1"/>
  <c r="AN1200" i="1"/>
  <c r="AM1200" i="1"/>
  <c r="AL1200" i="1"/>
  <c r="AO1208" i="1"/>
  <c r="AN1208" i="1"/>
  <c r="AM1208" i="1"/>
  <c r="AL1208" i="1"/>
  <c r="AO1216" i="1"/>
  <c r="AN1216" i="1"/>
  <c r="AM1216" i="1"/>
  <c r="AL1216" i="1"/>
  <c r="AO1224" i="1"/>
  <c r="AN1224" i="1"/>
  <c r="AM1224" i="1"/>
  <c r="AL1224" i="1"/>
  <c r="AO1232" i="1"/>
  <c r="AN1232" i="1"/>
  <c r="AM1232" i="1"/>
  <c r="AL1232" i="1"/>
  <c r="AO1240" i="1"/>
  <c r="AN1240" i="1"/>
  <c r="AM1240" i="1"/>
  <c r="AL1240" i="1"/>
  <c r="AO1248" i="1"/>
  <c r="AN1248" i="1"/>
  <c r="AM1248" i="1"/>
  <c r="AL1248" i="1"/>
  <c r="AO1256" i="1"/>
  <c r="AN1256" i="1"/>
  <c r="AM1256" i="1"/>
  <c r="AL1256" i="1"/>
  <c r="AO1264" i="1"/>
  <c r="AN1264" i="1"/>
  <c r="AM1264" i="1"/>
  <c r="AL1264" i="1"/>
  <c r="AO1272" i="1"/>
  <c r="AN1272" i="1"/>
  <c r="AM1272" i="1"/>
  <c r="AL1272" i="1"/>
  <c r="AO1280" i="1"/>
  <c r="AN1280" i="1"/>
  <c r="AM1280" i="1"/>
  <c r="AL1280" i="1"/>
  <c r="AO1288" i="1"/>
  <c r="AN1288" i="1"/>
  <c r="AM1288" i="1"/>
  <c r="AL1288" i="1"/>
  <c r="AO1296" i="1"/>
  <c r="AN1296" i="1"/>
  <c r="AM1296" i="1"/>
  <c r="AL1296" i="1"/>
  <c r="AO1304" i="1"/>
  <c r="AN1304" i="1"/>
  <c r="AM1304" i="1"/>
  <c r="AL1304" i="1"/>
  <c r="AO1312" i="1"/>
  <c r="AN1312" i="1"/>
  <c r="AM1312" i="1"/>
  <c r="AL1312" i="1"/>
  <c r="AO1320" i="1"/>
  <c r="AN1320" i="1"/>
  <c r="AM1320" i="1"/>
  <c r="AL1320" i="1"/>
  <c r="AO1328" i="1"/>
  <c r="AN1328" i="1"/>
  <c r="AM1328" i="1"/>
  <c r="AL1328" i="1"/>
  <c r="AO1336" i="1"/>
  <c r="AN1336" i="1"/>
  <c r="AM1336" i="1"/>
  <c r="AL1336" i="1"/>
  <c r="AO1344" i="1"/>
  <c r="AN1344" i="1"/>
  <c r="AM1344" i="1"/>
  <c r="AL1344" i="1"/>
  <c r="AO1352" i="1"/>
  <c r="AN1352" i="1"/>
  <c r="AM1352" i="1"/>
  <c r="AL1352" i="1"/>
  <c r="AO1360" i="1"/>
  <c r="AN1360" i="1"/>
  <c r="AM1360" i="1"/>
  <c r="AL1360" i="1"/>
  <c r="AO1368" i="1"/>
  <c r="AN1368" i="1"/>
  <c r="AM1368" i="1"/>
  <c r="AL1368" i="1"/>
  <c r="AO1376" i="1"/>
  <c r="AN1376" i="1"/>
  <c r="AM1376" i="1"/>
  <c r="AL1376" i="1"/>
  <c r="AO1384" i="1"/>
  <c r="AN1384" i="1"/>
  <c r="AM1384" i="1"/>
  <c r="AL1384" i="1"/>
  <c r="AO1392" i="1"/>
  <c r="AN1392" i="1"/>
  <c r="AM1392" i="1"/>
  <c r="AL1392" i="1"/>
  <c r="AO1400" i="1"/>
  <c r="AN1400" i="1"/>
  <c r="AM1400" i="1"/>
  <c r="AL1400" i="1"/>
  <c r="AO1408" i="1"/>
  <c r="AN1408" i="1"/>
  <c r="AM1408" i="1"/>
  <c r="AL1408" i="1"/>
  <c r="AO1416" i="1"/>
  <c r="AN1416" i="1"/>
  <c r="AM1416" i="1"/>
  <c r="AL1416" i="1"/>
  <c r="AO1424" i="1"/>
  <c r="AN1424" i="1"/>
  <c r="AM1424" i="1"/>
  <c r="AL1424" i="1"/>
  <c r="AO1432" i="1"/>
  <c r="AN1432" i="1"/>
  <c r="AM1432" i="1"/>
  <c r="AO1440" i="1"/>
  <c r="AN1440" i="1"/>
  <c r="AM1440" i="1"/>
  <c r="AO1448" i="1"/>
  <c r="AN1448" i="1"/>
  <c r="AM1448" i="1"/>
  <c r="AO1456" i="1"/>
  <c r="AN1456" i="1"/>
  <c r="AM1456" i="1"/>
  <c r="AL1458" i="1"/>
  <c r="AL1446" i="1"/>
  <c r="AL1432" i="1"/>
  <c r="AL1399" i="1"/>
  <c r="AL1357" i="1"/>
  <c r="AL1335" i="1"/>
  <c r="AL1293" i="1"/>
  <c r="AL1261" i="1"/>
  <c r="AL1199" i="1"/>
  <c r="AL1135" i="1"/>
  <c r="AL1071" i="1"/>
  <c r="AL1007" i="1"/>
  <c r="AL1417" i="1"/>
  <c r="AL1425" i="1"/>
  <c r="AL1433" i="1"/>
  <c r="AL1441" i="1"/>
  <c r="AL1449" i="1"/>
  <c r="AL1457" i="1"/>
  <c r="AL1456" i="1"/>
  <c r="AL1445" i="1"/>
  <c r="AL1431" i="1"/>
  <c r="AL1415" i="1"/>
  <c r="AL1397" i="1"/>
  <c r="AL1375" i="1"/>
  <c r="AL1333" i="1"/>
  <c r="AL1311" i="1"/>
  <c r="AL1287" i="1"/>
  <c r="AL1255" i="1"/>
  <c r="AL1191" i="1"/>
  <c r="AL1127" i="1"/>
  <c r="AL1063" i="1"/>
  <c r="AL999" i="1"/>
  <c r="AL690" i="1"/>
  <c r="AL730" i="1"/>
  <c r="AL778" i="1"/>
  <c r="AL802" i="1"/>
  <c r="AL842" i="1"/>
  <c r="AL858" i="1"/>
  <c r="AL866" i="1"/>
  <c r="AL874" i="1"/>
  <c r="AM1154" i="1"/>
  <c r="AM1218" i="1"/>
  <c r="AL1455" i="1"/>
  <c r="AL1430" i="1"/>
  <c r="AL1414" i="1"/>
  <c r="AL1373" i="1"/>
  <c r="AL1351" i="1"/>
  <c r="AL1309" i="1"/>
  <c r="AL1285" i="1"/>
  <c r="AL1247" i="1"/>
  <c r="AL1183" i="1"/>
  <c r="AL1119" i="1"/>
  <c r="AL1055" i="1"/>
  <c r="AL991" i="1"/>
  <c r="AO2" i="1"/>
  <c r="AM2" i="1"/>
  <c r="AO26" i="1"/>
  <c r="AN26" i="1"/>
  <c r="AM26" i="1"/>
  <c r="AL26" i="1"/>
  <c r="AO42" i="1"/>
  <c r="AN42" i="1"/>
  <c r="AM42" i="1"/>
  <c r="AL42" i="1"/>
  <c r="AO58" i="1"/>
  <c r="AN58" i="1"/>
  <c r="AM58" i="1"/>
  <c r="AL58" i="1"/>
  <c r="AO74" i="1"/>
  <c r="AN74" i="1"/>
  <c r="AM74" i="1"/>
  <c r="AL74" i="1"/>
  <c r="AO82" i="1"/>
  <c r="AN82" i="1"/>
  <c r="AM82" i="1"/>
  <c r="AL82" i="1"/>
  <c r="AL714" i="1"/>
  <c r="AL770" i="1"/>
  <c r="AO3" i="1"/>
  <c r="AN3" i="1"/>
  <c r="AM3" i="1"/>
  <c r="AL3" i="1"/>
  <c r="AO11" i="1"/>
  <c r="AN11" i="1"/>
  <c r="AM11" i="1"/>
  <c r="AL11" i="1"/>
  <c r="AO19" i="1"/>
  <c r="AN19" i="1"/>
  <c r="AM19" i="1"/>
  <c r="AL19" i="1"/>
  <c r="AO27" i="1"/>
  <c r="AN27" i="1"/>
  <c r="AM27" i="1"/>
  <c r="AL27" i="1"/>
  <c r="AO35" i="1"/>
  <c r="AN35" i="1"/>
  <c r="AM35" i="1"/>
  <c r="AL35" i="1"/>
  <c r="AO43" i="1"/>
  <c r="AN43" i="1"/>
  <c r="AM43" i="1"/>
  <c r="AL43" i="1"/>
  <c r="AO51" i="1"/>
  <c r="AN51" i="1"/>
  <c r="AM51" i="1"/>
  <c r="AL51" i="1"/>
  <c r="AO59" i="1"/>
  <c r="AN59" i="1"/>
  <c r="AM59" i="1"/>
  <c r="AL59" i="1"/>
  <c r="AO67" i="1"/>
  <c r="AN67" i="1"/>
  <c r="AM67" i="1"/>
  <c r="AL67" i="1"/>
  <c r="AN75" i="1"/>
  <c r="AO75" i="1"/>
  <c r="AM75" i="1"/>
  <c r="AL75" i="1"/>
  <c r="AO83" i="1"/>
  <c r="AN83" i="1"/>
  <c r="AM83" i="1"/>
  <c r="AL83" i="1"/>
  <c r="AO91" i="1"/>
  <c r="AN91" i="1"/>
  <c r="AM91" i="1"/>
  <c r="AL91" i="1"/>
  <c r="AO99" i="1"/>
  <c r="AN99" i="1"/>
  <c r="AM99" i="1"/>
  <c r="AL99" i="1"/>
  <c r="AO107" i="1"/>
  <c r="AN107" i="1"/>
  <c r="AM107" i="1"/>
  <c r="AL107" i="1"/>
  <c r="AN115" i="1"/>
  <c r="AO115" i="1"/>
  <c r="AM115" i="1"/>
  <c r="AL115" i="1"/>
  <c r="AO123" i="1"/>
  <c r="AN123" i="1"/>
  <c r="AM123" i="1"/>
  <c r="AL123" i="1"/>
  <c r="AO131" i="1"/>
  <c r="AN131" i="1"/>
  <c r="AM131" i="1"/>
  <c r="AL131" i="1"/>
  <c r="AN139" i="1"/>
  <c r="AO139" i="1"/>
  <c r="AM139" i="1"/>
  <c r="AL139" i="1"/>
  <c r="AO147" i="1"/>
  <c r="AN147" i="1"/>
  <c r="AM147" i="1"/>
  <c r="AL147" i="1"/>
  <c r="AO155" i="1"/>
  <c r="AN155" i="1"/>
  <c r="AM155" i="1"/>
  <c r="AL155" i="1"/>
  <c r="AN163" i="1"/>
  <c r="AO163" i="1"/>
  <c r="AM163" i="1"/>
  <c r="AL163" i="1"/>
  <c r="AO171" i="1"/>
  <c r="AN171" i="1"/>
  <c r="AM171" i="1"/>
  <c r="AL171" i="1"/>
  <c r="AO179" i="1"/>
  <c r="AN179" i="1"/>
  <c r="AM179" i="1"/>
  <c r="AL179" i="1"/>
  <c r="AN187" i="1"/>
  <c r="AO187" i="1"/>
  <c r="AM187" i="1"/>
  <c r="AL187" i="1"/>
  <c r="AO195" i="1"/>
  <c r="AN195" i="1"/>
  <c r="AM195" i="1"/>
  <c r="AL195" i="1"/>
  <c r="AN203" i="1"/>
  <c r="AO203" i="1"/>
  <c r="AM203" i="1"/>
  <c r="AL203" i="1"/>
  <c r="AO211" i="1"/>
  <c r="AN211" i="1"/>
  <c r="AM211" i="1"/>
  <c r="AL211" i="1"/>
  <c r="AO219" i="1"/>
  <c r="AN219" i="1"/>
  <c r="AM219" i="1"/>
  <c r="AL219" i="1"/>
  <c r="AN227" i="1"/>
  <c r="AO227" i="1"/>
  <c r="AM227" i="1"/>
  <c r="AL227" i="1"/>
  <c r="AO235" i="1"/>
  <c r="AN235" i="1"/>
  <c r="AM235" i="1"/>
  <c r="AL235" i="1"/>
  <c r="AN243" i="1"/>
  <c r="AO243" i="1"/>
  <c r="AM243" i="1"/>
  <c r="AL243" i="1"/>
  <c r="AN251" i="1"/>
  <c r="AO251" i="1"/>
  <c r="AL251" i="1"/>
  <c r="AM251" i="1"/>
  <c r="AO259" i="1"/>
  <c r="AN259" i="1"/>
  <c r="AL259" i="1"/>
  <c r="AM259" i="1"/>
  <c r="AN267" i="1"/>
  <c r="AO267" i="1"/>
  <c r="AL267" i="1"/>
  <c r="AM267" i="1"/>
  <c r="AO275" i="1"/>
  <c r="AN275" i="1"/>
  <c r="AM275" i="1"/>
  <c r="AL275" i="1"/>
  <c r="AO283" i="1"/>
  <c r="AN283" i="1"/>
  <c r="AM283" i="1"/>
  <c r="AL283" i="1"/>
  <c r="AO291" i="1"/>
  <c r="AN291" i="1"/>
  <c r="AM291" i="1"/>
  <c r="AL291" i="1"/>
  <c r="AO299" i="1"/>
  <c r="AN299" i="1"/>
  <c r="AM299" i="1"/>
  <c r="AL299" i="1"/>
  <c r="AN307" i="1"/>
  <c r="AO307" i="1"/>
  <c r="AM307" i="1"/>
  <c r="AL307" i="1"/>
  <c r="AO315" i="1"/>
  <c r="AN315" i="1"/>
  <c r="AL315" i="1"/>
  <c r="AM315" i="1"/>
  <c r="AN323" i="1"/>
  <c r="AO323" i="1"/>
  <c r="AL323" i="1"/>
  <c r="AM323" i="1"/>
  <c r="AO331" i="1"/>
  <c r="AN331" i="1"/>
  <c r="AL331" i="1"/>
  <c r="AM331" i="1"/>
  <c r="AN339" i="1"/>
  <c r="AO339" i="1"/>
  <c r="AM339" i="1"/>
  <c r="AL339" i="1"/>
  <c r="AO347" i="1"/>
  <c r="AN347" i="1"/>
  <c r="AM347" i="1"/>
  <c r="AL347" i="1"/>
  <c r="AN355" i="1"/>
  <c r="AO355" i="1"/>
  <c r="AM355" i="1"/>
  <c r="AL355" i="1"/>
  <c r="AO363" i="1"/>
  <c r="AN363" i="1"/>
  <c r="AM363" i="1"/>
  <c r="AL363" i="1"/>
  <c r="AN371" i="1"/>
  <c r="AO371" i="1"/>
  <c r="AM371" i="1"/>
  <c r="AL371" i="1"/>
  <c r="AO379" i="1"/>
  <c r="AN379" i="1"/>
  <c r="AL379" i="1"/>
  <c r="AM379" i="1"/>
  <c r="AN387" i="1"/>
  <c r="AO387" i="1"/>
  <c r="AL387" i="1"/>
  <c r="AM387" i="1"/>
  <c r="AO395" i="1"/>
  <c r="AN395" i="1"/>
  <c r="AL395" i="1"/>
  <c r="AM395" i="1"/>
  <c r="AO403" i="1"/>
  <c r="AN403" i="1"/>
  <c r="AM403" i="1"/>
  <c r="AL403" i="1"/>
  <c r="AO411" i="1"/>
  <c r="AN411" i="1"/>
  <c r="AM411" i="1"/>
  <c r="AL411" i="1"/>
  <c r="AO419" i="1"/>
  <c r="AN419" i="1"/>
  <c r="AM419" i="1"/>
  <c r="AL419" i="1"/>
  <c r="AN427" i="1"/>
  <c r="AO427" i="1"/>
  <c r="AM427" i="1"/>
  <c r="AL427" i="1"/>
  <c r="AO435" i="1"/>
  <c r="AN435" i="1"/>
  <c r="AM435" i="1"/>
  <c r="AL435" i="1"/>
  <c r="AO443" i="1"/>
  <c r="AN443" i="1"/>
  <c r="AL443" i="1"/>
  <c r="AM443" i="1"/>
  <c r="AN451" i="1"/>
  <c r="AO451" i="1"/>
  <c r="AL451" i="1"/>
  <c r="AM451" i="1"/>
  <c r="AN459" i="1"/>
  <c r="AO459" i="1"/>
  <c r="AL459" i="1"/>
  <c r="AM459" i="1"/>
  <c r="AO467" i="1"/>
  <c r="AN467" i="1"/>
  <c r="AM467" i="1"/>
  <c r="AL467" i="1"/>
  <c r="AO475" i="1"/>
  <c r="AN475" i="1"/>
  <c r="AL475" i="1"/>
  <c r="AM475" i="1"/>
  <c r="AO483" i="1"/>
  <c r="AN483" i="1"/>
  <c r="AM483" i="1"/>
  <c r="AL483" i="1"/>
  <c r="AN491" i="1"/>
  <c r="AO491" i="1"/>
  <c r="AM491" i="1"/>
  <c r="AL491" i="1"/>
  <c r="AO499" i="1"/>
  <c r="AN499" i="1"/>
  <c r="AM499" i="1"/>
  <c r="AL499" i="1"/>
  <c r="AO507" i="1"/>
  <c r="AN507" i="1"/>
  <c r="AL507" i="1"/>
  <c r="AM507" i="1"/>
  <c r="AO515" i="1"/>
  <c r="AN515" i="1"/>
  <c r="AL515" i="1"/>
  <c r="AM515" i="1"/>
  <c r="AO523" i="1"/>
  <c r="AN523" i="1"/>
  <c r="AL523" i="1"/>
  <c r="AM523" i="1"/>
  <c r="AO531" i="1"/>
  <c r="AN531" i="1"/>
  <c r="AM531" i="1"/>
  <c r="AL531" i="1"/>
  <c r="AO539" i="1"/>
  <c r="AN539" i="1"/>
  <c r="AL539" i="1"/>
  <c r="AM539" i="1"/>
  <c r="AO547" i="1"/>
  <c r="AN547" i="1"/>
  <c r="AM547" i="1"/>
  <c r="AL547" i="1"/>
  <c r="AN555" i="1"/>
  <c r="AO555" i="1"/>
  <c r="AM555" i="1"/>
  <c r="AL555" i="1"/>
  <c r="AN563" i="1"/>
  <c r="AO563" i="1"/>
  <c r="AM563" i="1"/>
  <c r="AL563" i="1"/>
  <c r="AO571" i="1"/>
  <c r="AN571" i="1"/>
  <c r="AL571" i="1"/>
  <c r="AM571" i="1"/>
  <c r="AN579" i="1"/>
  <c r="AO579" i="1"/>
  <c r="AL579" i="1"/>
  <c r="AM579" i="1"/>
  <c r="AO587" i="1"/>
  <c r="AN587" i="1"/>
  <c r="AL587" i="1"/>
  <c r="AM587" i="1"/>
  <c r="AN595" i="1"/>
  <c r="AO595" i="1"/>
  <c r="AM595" i="1"/>
  <c r="AL595" i="1"/>
  <c r="AO603" i="1"/>
  <c r="AN603" i="1"/>
  <c r="AL603" i="1"/>
  <c r="AM603" i="1"/>
  <c r="AN611" i="1"/>
  <c r="AO611" i="1"/>
  <c r="AM611" i="1"/>
  <c r="AL611" i="1"/>
  <c r="AO619" i="1"/>
  <c r="AN619" i="1"/>
  <c r="AM619" i="1"/>
  <c r="AL619" i="1"/>
  <c r="AN627" i="1"/>
  <c r="AO627" i="1"/>
  <c r="AM627" i="1"/>
  <c r="AL627" i="1"/>
  <c r="AO635" i="1"/>
  <c r="AN635" i="1"/>
  <c r="AL635" i="1"/>
  <c r="AM635" i="1"/>
  <c r="AO643" i="1"/>
  <c r="AN643" i="1"/>
  <c r="AL643" i="1"/>
  <c r="AM643" i="1"/>
  <c r="AO651" i="1"/>
  <c r="AN651" i="1"/>
  <c r="AL651" i="1"/>
  <c r="AM651" i="1"/>
  <c r="AO659" i="1"/>
  <c r="AN659" i="1"/>
  <c r="AM659" i="1"/>
  <c r="AL659" i="1"/>
  <c r="AO667" i="1"/>
  <c r="AN667" i="1"/>
  <c r="AL667" i="1"/>
  <c r="AM667" i="1"/>
  <c r="AO675" i="1"/>
  <c r="AN675" i="1"/>
  <c r="AM675" i="1"/>
  <c r="AL675" i="1"/>
  <c r="AO683" i="1"/>
  <c r="AN683" i="1"/>
  <c r="AM683" i="1"/>
  <c r="AL683" i="1"/>
  <c r="AO691" i="1"/>
  <c r="AN691" i="1"/>
  <c r="AM691" i="1"/>
  <c r="AL691" i="1"/>
  <c r="AO699" i="1"/>
  <c r="AN699" i="1"/>
  <c r="AM699" i="1"/>
  <c r="AL699" i="1"/>
  <c r="AO707" i="1"/>
  <c r="AN707" i="1"/>
  <c r="AM707" i="1"/>
  <c r="AL707" i="1"/>
  <c r="AO715" i="1"/>
  <c r="AN715" i="1"/>
  <c r="AM715" i="1"/>
  <c r="AL715" i="1"/>
  <c r="AO723" i="1"/>
  <c r="AN723" i="1"/>
  <c r="AM723" i="1"/>
  <c r="AL723" i="1"/>
  <c r="AO731" i="1"/>
  <c r="AN731" i="1"/>
  <c r="AM731" i="1"/>
  <c r="AL731" i="1"/>
  <c r="AO739" i="1"/>
  <c r="AN739" i="1"/>
  <c r="AM739" i="1"/>
  <c r="AL739" i="1"/>
  <c r="AO747" i="1"/>
  <c r="AN747" i="1"/>
  <c r="AM747" i="1"/>
  <c r="AL747" i="1"/>
  <c r="AO755" i="1"/>
  <c r="AN755" i="1"/>
  <c r="AM755" i="1"/>
  <c r="AL755" i="1"/>
  <c r="AO763" i="1"/>
  <c r="AN763" i="1"/>
  <c r="AM763" i="1"/>
  <c r="AL763" i="1"/>
  <c r="AO771" i="1"/>
  <c r="AN771" i="1"/>
  <c r="AM771" i="1"/>
  <c r="AL771" i="1"/>
  <c r="AO779" i="1"/>
  <c r="AN779" i="1"/>
  <c r="AM779" i="1"/>
  <c r="AL779" i="1"/>
  <c r="AO787" i="1"/>
  <c r="AN787" i="1"/>
  <c r="AM787" i="1"/>
  <c r="AL787" i="1"/>
  <c r="AO795" i="1"/>
  <c r="AN795" i="1"/>
  <c r="AL795" i="1"/>
  <c r="AM795" i="1"/>
  <c r="AO803" i="1"/>
  <c r="AN803" i="1"/>
  <c r="AM803" i="1"/>
  <c r="AL803" i="1"/>
  <c r="AO811" i="1"/>
  <c r="AN811" i="1"/>
  <c r="AM811" i="1"/>
  <c r="AL811" i="1"/>
  <c r="AO819" i="1"/>
  <c r="AN819" i="1"/>
  <c r="AM819" i="1"/>
  <c r="AL819" i="1"/>
  <c r="AO827" i="1"/>
  <c r="AN827" i="1"/>
  <c r="AM827" i="1"/>
  <c r="AL827" i="1"/>
  <c r="AO835" i="1"/>
  <c r="AN835" i="1"/>
  <c r="AM835" i="1"/>
  <c r="AL835" i="1"/>
  <c r="AO843" i="1"/>
  <c r="AN843" i="1"/>
  <c r="AM843" i="1"/>
  <c r="AL843" i="1"/>
  <c r="AO851" i="1"/>
  <c r="AN851" i="1"/>
  <c r="AM851" i="1"/>
  <c r="AL851" i="1"/>
  <c r="AO859" i="1"/>
  <c r="AN859" i="1"/>
  <c r="AL859" i="1"/>
  <c r="AM859" i="1"/>
  <c r="AO867" i="1"/>
  <c r="AN867" i="1"/>
  <c r="AM867" i="1"/>
  <c r="AL867" i="1"/>
  <c r="AO875" i="1"/>
  <c r="AN875" i="1"/>
  <c r="AM875" i="1"/>
  <c r="AL875" i="1"/>
  <c r="AO883" i="1"/>
  <c r="AN883" i="1"/>
  <c r="AM883" i="1"/>
  <c r="AL883" i="1"/>
  <c r="AO891" i="1"/>
  <c r="AN891" i="1"/>
  <c r="AM891" i="1"/>
  <c r="AL891" i="1"/>
  <c r="AO899" i="1"/>
  <c r="AN899" i="1"/>
  <c r="AM899" i="1"/>
  <c r="AL899" i="1"/>
  <c r="AO907" i="1"/>
  <c r="AN907" i="1"/>
  <c r="AM907" i="1"/>
  <c r="AL907" i="1"/>
  <c r="AO915" i="1"/>
  <c r="AN915" i="1"/>
  <c r="AM915" i="1"/>
  <c r="AL915" i="1"/>
  <c r="AO923" i="1"/>
  <c r="AN923" i="1"/>
  <c r="AM923" i="1"/>
  <c r="AL923" i="1"/>
  <c r="AO931" i="1"/>
  <c r="AN931" i="1"/>
  <c r="AM931" i="1"/>
  <c r="AL931" i="1"/>
  <c r="AO939" i="1"/>
  <c r="AN939" i="1"/>
  <c r="AM939" i="1"/>
  <c r="AL939" i="1"/>
  <c r="AO947" i="1"/>
  <c r="AN947" i="1"/>
  <c r="AM947" i="1"/>
  <c r="AL947" i="1"/>
  <c r="AO955" i="1"/>
  <c r="AN955" i="1"/>
  <c r="AM955" i="1"/>
  <c r="AL955" i="1"/>
  <c r="AO963" i="1"/>
  <c r="AN963" i="1"/>
  <c r="AM963" i="1"/>
  <c r="AL963" i="1"/>
  <c r="AO971" i="1"/>
  <c r="AN971" i="1"/>
  <c r="AM971" i="1"/>
  <c r="AL971" i="1"/>
  <c r="AO979" i="1"/>
  <c r="AN979" i="1"/>
  <c r="AM979" i="1"/>
  <c r="AL979" i="1"/>
  <c r="AO987" i="1"/>
  <c r="AN987" i="1"/>
  <c r="AM987" i="1"/>
  <c r="AL987" i="1"/>
  <c r="AO995" i="1"/>
  <c r="AN995" i="1"/>
  <c r="AM995" i="1"/>
  <c r="AL995" i="1"/>
  <c r="AO1003" i="1"/>
  <c r="AN1003" i="1"/>
  <c r="AM1003" i="1"/>
  <c r="AL1003" i="1"/>
  <c r="AO1011" i="1"/>
  <c r="AN1011" i="1"/>
  <c r="AM1011" i="1"/>
  <c r="AL1011" i="1"/>
  <c r="AO1019" i="1"/>
  <c r="AN1019" i="1"/>
  <c r="AM1019" i="1"/>
  <c r="AL1019" i="1"/>
  <c r="AO1027" i="1"/>
  <c r="AN1027" i="1"/>
  <c r="AM1027" i="1"/>
  <c r="AL1027" i="1"/>
  <c r="AO1035" i="1"/>
  <c r="AN1035" i="1"/>
  <c r="AM1035" i="1"/>
  <c r="AL1035" i="1"/>
  <c r="AO1043" i="1"/>
  <c r="AN1043" i="1"/>
  <c r="AM1043" i="1"/>
  <c r="AL1043" i="1"/>
  <c r="AO1051" i="1"/>
  <c r="AN1051" i="1"/>
  <c r="AL1051" i="1"/>
  <c r="AM1051" i="1"/>
  <c r="AO1059" i="1"/>
  <c r="AN1059" i="1"/>
  <c r="AM1059" i="1"/>
  <c r="AL1059" i="1"/>
  <c r="AO1067" i="1"/>
  <c r="AN1067" i="1"/>
  <c r="AM1067" i="1"/>
  <c r="AL1067" i="1"/>
  <c r="AO1075" i="1"/>
  <c r="AN1075" i="1"/>
  <c r="AL1075" i="1"/>
  <c r="AM1075" i="1"/>
  <c r="AO1083" i="1"/>
  <c r="AN1083" i="1"/>
  <c r="AM1083" i="1"/>
  <c r="AL1083" i="1"/>
  <c r="AO1091" i="1"/>
  <c r="AN1091" i="1"/>
  <c r="AM1091" i="1"/>
  <c r="AL1091" i="1"/>
  <c r="AO1099" i="1"/>
  <c r="AN1099" i="1"/>
  <c r="AL1099" i="1"/>
  <c r="AM1099" i="1"/>
  <c r="AO1107" i="1"/>
  <c r="AN1107" i="1"/>
  <c r="AM1107" i="1"/>
  <c r="AL1107" i="1"/>
  <c r="AO1115" i="1"/>
  <c r="AN1115" i="1"/>
  <c r="AM1115" i="1"/>
  <c r="AL1115" i="1"/>
  <c r="AO1123" i="1"/>
  <c r="AN1123" i="1"/>
  <c r="AM1123" i="1"/>
  <c r="AL1123" i="1"/>
  <c r="AO1131" i="1"/>
  <c r="AN1131" i="1"/>
  <c r="AM1131" i="1"/>
  <c r="AL1131" i="1"/>
  <c r="AO1139" i="1"/>
  <c r="AN1139" i="1"/>
  <c r="AM1139" i="1"/>
  <c r="AL1139" i="1"/>
  <c r="AO1147" i="1"/>
  <c r="AN1147" i="1"/>
  <c r="AM1147" i="1"/>
  <c r="AL1147" i="1"/>
  <c r="AO1155" i="1"/>
  <c r="AN1155" i="1"/>
  <c r="AM1155" i="1"/>
  <c r="AL1155" i="1"/>
  <c r="AO1163" i="1"/>
  <c r="AN1163" i="1"/>
  <c r="AL1163" i="1"/>
  <c r="AM1163" i="1"/>
  <c r="AO1171" i="1"/>
  <c r="AN1171" i="1"/>
  <c r="AM1171" i="1"/>
  <c r="AL1171" i="1"/>
  <c r="AO1179" i="1"/>
  <c r="AN1179" i="1"/>
  <c r="AM1179" i="1"/>
  <c r="AL1179" i="1"/>
  <c r="AO1187" i="1"/>
  <c r="AN1187" i="1"/>
  <c r="AM1187" i="1"/>
  <c r="AL1187" i="1"/>
  <c r="AO1195" i="1"/>
  <c r="AN1195" i="1"/>
  <c r="AM1195" i="1"/>
  <c r="AL1195" i="1"/>
  <c r="AO1203" i="1"/>
  <c r="AN1203" i="1"/>
  <c r="AM1203" i="1"/>
  <c r="AL1203" i="1"/>
  <c r="AO1211" i="1"/>
  <c r="AN1211" i="1"/>
  <c r="AM1211" i="1"/>
  <c r="AL1211" i="1"/>
  <c r="AO1219" i="1"/>
  <c r="AN1219" i="1"/>
  <c r="AM1219" i="1"/>
  <c r="AL1219" i="1"/>
  <c r="AO1227" i="1"/>
  <c r="AN1227" i="1"/>
  <c r="AL1227" i="1"/>
  <c r="AM1227" i="1"/>
  <c r="AO1235" i="1"/>
  <c r="AN1235" i="1"/>
  <c r="AM1235" i="1"/>
  <c r="AL1235" i="1"/>
  <c r="AO1243" i="1"/>
  <c r="AN1243" i="1"/>
  <c r="AM1243" i="1"/>
  <c r="AL1243" i="1"/>
  <c r="AO1251" i="1"/>
  <c r="AN1251" i="1"/>
  <c r="AM1251" i="1"/>
  <c r="AL1251" i="1"/>
  <c r="AO1259" i="1"/>
  <c r="AN1259" i="1"/>
  <c r="AM1259" i="1"/>
  <c r="AL1259" i="1"/>
  <c r="AO1267" i="1"/>
  <c r="AN1267" i="1"/>
  <c r="AM1267" i="1"/>
  <c r="AL1267" i="1"/>
  <c r="AO1275" i="1"/>
  <c r="AN1275" i="1"/>
  <c r="AM1275" i="1"/>
  <c r="AL1274" i="1"/>
  <c r="AL1275" i="1"/>
  <c r="AO1283" i="1"/>
  <c r="AN1283" i="1"/>
  <c r="AM1283" i="1"/>
  <c r="AL1282" i="1"/>
  <c r="AL1283" i="1"/>
  <c r="AO1291" i="1"/>
  <c r="AN1291" i="1"/>
  <c r="AL1290" i="1"/>
  <c r="AL1291" i="1"/>
  <c r="AM1291" i="1"/>
  <c r="AO1299" i="1"/>
  <c r="AN1299" i="1"/>
  <c r="AM1299" i="1"/>
  <c r="AL1299" i="1"/>
  <c r="AO1307" i="1"/>
  <c r="AN1307" i="1"/>
  <c r="AM1307" i="1"/>
  <c r="AL1307" i="1"/>
  <c r="AO1315" i="1"/>
  <c r="AN1315" i="1"/>
  <c r="AM1315" i="1"/>
  <c r="AL1315" i="1"/>
  <c r="AO1323" i="1"/>
  <c r="AN1323" i="1"/>
  <c r="AM1323" i="1"/>
  <c r="AL1323" i="1"/>
  <c r="AO1331" i="1"/>
  <c r="AN1331" i="1"/>
  <c r="AM1331" i="1"/>
  <c r="AL1331" i="1"/>
  <c r="AO1339" i="1"/>
  <c r="AN1339" i="1"/>
  <c r="AM1339" i="1"/>
  <c r="AL1339" i="1"/>
  <c r="AO1347" i="1"/>
  <c r="AN1347" i="1"/>
  <c r="AM1347" i="1"/>
  <c r="AL1347" i="1"/>
  <c r="AO1355" i="1"/>
  <c r="AN1355" i="1"/>
  <c r="AM1355" i="1"/>
  <c r="AL1355" i="1"/>
  <c r="AO1363" i="1"/>
  <c r="AN1363" i="1"/>
  <c r="AM1363" i="1"/>
  <c r="AL1363" i="1"/>
  <c r="AO1371" i="1"/>
  <c r="AN1371" i="1"/>
  <c r="AM1371" i="1"/>
  <c r="AL1371" i="1"/>
  <c r="AO1379" i="1"/>
  <c r="AN1379" i="1"/>
  <c r="AM1379" i="1"/>
  <c r="AL1379" i="1"/>
  <c r="AO1387" i="1"/>
  <c r="AN1387" i="1"/>
  <c r="AM1387" i="1"/>
  <c r="AL1387" i="1"/>
  <c r="AO1395" i="1"/>
  <c r="AN1395" i="1"/>
  <c r="AM1395" i="1"/>
  <c r="AL1395" i="1"/>
  <c r="AO1403" i="1"/>
  <c r="AN1403" i="1"/>
  <c r="AM1403" i="1"/>
  <c r="AL1403" i="1"/>
  <c r="AO1411" i="1"/>
  <c r="AN1411" i="1"/>
  <c r="AM1411" i="1"/>
  <c r="AL1411" i="1"/>
  <c r="AO1419" i="1"/>
  <c r="AN1419" i="1"/>
  <c r="AM1419" i="1"/>
  <c r="AL1419" i="1"/>
  <c r="AO1427" i="1"/>
  <c r="AN1427" i="1"/>
  <c r="AM1427" i="1"/>
  <c r="AL1427" i="1"/>
  <c r="AO1435" i="1"/>
  <c r="AN1435" i="1"/>
  <c r="AM1435" i="1"/>
  <c r="AL1435" i="1"/>
  <c r="AO1443" i="1"/>
  <c r="AN1443" i="1"/>
  <c r="AM1443" i="1"/>
  <c r="AL1443" i="1"/>
  <c r="AO1451" i="1"/>
  <c r="AN1451" i="1"/>
  <c r="AM1451" i="1"/>
  <c r="AL1451" i="1"/>
  <c r="AO1459" i="1"/>
  <c r="AN1459" i="1"/>
  <c r="AM1459" i="1"/>
  <c r="AL1459" i="1"/>
  <c r="AN2" i="1"/>
  <c r="AL1454" i="1"/>
  <c r="AL1440" i="1"/>
  <c r="AL1429" i="1"/>
  <c r="AL1413" i="1"/>
  <c r="AL1391" i="1"/>
  <c r="AL1370" i="1"/>
  <c r="AL1349" i="1"/>
  <c r="AL1327" i="1"/>
  <c r="AL1306" i="1"/>
  <c r="AL1279" i="1"/>
  <c r="AL1239" i="1"/>
  <c r="AL1175" i="1"/>
  <c r="AL1111" i="1"/>
  <c r="AL1047" i="1"/>
  <c r="AO324" i="1"/>
  <c r="AN324" i="1"/>
  <c r="AM324" i="1"/>
  <c r="AL324" i="1"/>
  <c r="AO332" i="1"/>
  <c r="AN332" i="1"/>
  <c r="AM332" i="1"/>
  <c r="AL332" i="1"/>
  <c r="AO340" i="1"/>
  <c r="AN340" i="1"/>
  <c r="AM340" i="1"/>
  <c r="AL340" i="1"/>
  <c r="AO348" i="1"/>
  <c r="AN348" i="1"/>
  <c r="AM348" i="1"/>
  <c r="AL348" i="1"/>
  <c r="AN356" i="1"/>
  <c r="AO356" i="1"/>
  <c r="AM356" i="1"/>
  <c r="AL356" i="1"/>
  <c r="AO364" i="1"/>
  <c r="AN364" i="1"/>
  <c r="AM364" i="1"/>
  <c r="AL364" i="1"/>
  <c r="AO372" i="1"/>
  <c r="AN372" i="1"/>
  <c r="AM372" i="1"/>
  <c r="AL372" i="1"/>
  <c r="AO380" i="1"/>
  <c r="AN380" i="1"/>
  <c r="AM380" i="1"/>
  <c r="AL380" i="1"/>
  <c r="AN388" i="1"/>
  <c r="AO388" i="1"/>
  <c r="AM388" i="1"/>
  <c r="AL388" i="1"/>
  <c r="AO396" i="1"/>
  <c r="AN396" i="1"/>
  <c r="AM396" i="1"/>
  <c r="AL396" i="1"/>
  <c r="AO404" i="1"/>
  <c r="AN404" i="1"/>
  <c r="AM404" i="1"/>
  <c r="AL404" i="1"/>
  <c r="AO412" i="1"/>
  <c r="AN412" i="1"/>
  <c r="AM412" i="1"/>
  <c r="AL412" i="1"/>
  <c r="AN420" i="1"/>
  <c r="AO420" i="1"/>
  <c r="AM420" i="1"/>
  <c r="AL420" i="1"/>
  <c r="AO428" i="1"/>
  <c r="AN428" i="1"/>
  <c r="AM428" i="1"/>
  <c r="AL428" i="1"/>
  <c r="AO436" i="1"/>
  <c r="AN436" i="1"/>
  <c r="AM436" i="1"/>
  <c r="AL436" i="1"/>
  <c r="AO444" i="1"/>
  <c r="AN444" i="1"/>
  <c r="AM444" i="1"/>
  <c r="AL444" i="1"/>
  <c r="AO452" i="1"/>
  <c r="AN452" i="1"/>
  <c r="AM452" i="1"/>
  <c r="AL452" i="1"/>
  <c r="AN460" i="1"/>
  <c r="AO460" i="1"/>
  <c r="AM460" i="1"/>
  <c r="AL460" i="1"/>
  <c r="AO468" i="1"/>
  <c r="AN468" i="1"/>
  <c r="AM468" i="1"/>
  <c r="AL468" i="1"/>
  <c r="AO476" i="1"/>
  <c r="AN476" i="1"/>
  <c r="AM476" i="1"/>
  <c r="AL476" i="1"/>
  <c r="AN484" i="1"/>
  <c r="AO484" i="1"/>
  <c r="AM484" i="1"/>
  <c r="AL484" i="1"/>
  <c r="AN492" i="1"/>
  <c r="AO492" i="1"/>
  <c r="AM492" i="1"/>
  <c r="AL492" i="1"/>
  <c r="AO500" i="1"/>
  <c r="AN500" i="1"/>
  <c r="AM500" i="1"/>
  <c r="AL500" i="1"/>
  <c r="AO508" i="1"/>
  <c r="AN508" i="1"/>
  <c r="AM508" i="1"/>
  <c r="AL508" i="1"/>
  <c r="AO516" i="1"/>
  <c r="AN516" i="1"/>
  <c r="AM516" i="1"/>
  <c r="AL516" i="1"/>
  <c r="AN524" i="1"/>
  <c r="AO524" i="1"/>
  <c r="AM524" i="1"/>
  <c r="AL524" i="1"/>
  <c r="AO532" i="1"/>
  <c r="AN532" i="1"/>
  <c r="AM532" i="1"/>
  <c r="AL532" i="1"/>
  <c r="AO540" i="1"/>
  <c r="AN540" i="1"/>
  <c r="AM540" i="1"/>
  <c r="AL540" i="1"/>
  <c r="AO548" i="1"/>
  <c r="AN548" i="1"/>
  <c r="AM548" i="1"/>
  <c r="AL548" i="1"/>
  <c r="AO556" i="1"/>
  <c r="AN556" i="1"/>
  <c r="AM556" i="1"/>
  <c r="AL556" i="1"/>
  <c r="AO564" i="1"/>
  <c r="AN564" i="1"/>
  <c r="AM564" i="1"/>
  <c r="AL564" i="1"/>
  <c r="AO572" i="1"/>
  <c r="AN572" i="1"/>
  <c r="AM572" i="1"/>
  <c r="AL572" i="1"/>
  <c r="AO580" i="1"/>
  <c r="AN580" i="1"/>
  <c r="AM580" i="1"/>
  <c r="AL580" i="1"/>
  <c r="AN588" i="1"/>
  <c r="AO588" i="1"/>
  <c r="AM588" i="1"/>
  <c r="AL588" i="1"/>
  <c r="AO596" i="1"/>
  <c r="AN596" i="1"/>
  <c r="AM596" i="1"/>
  <c r="AL596" i="1"/>
  <c r="AO604" i="1"/>
  <c r="AN604" i="1"/>
  <c r="AM604" i="1"/>
  <c r="AL604" i="1"/>
  <c r="AN612" i="1"/>
  <c r="AO612" i="1"/>
  <c r="AM612" i="1"/>
  <c r="AL612" i="1"/>
  <c r="AO620" i="1"/>
  <c r="AN620" i="1"/>
  <c r="AM620" i="1"/>
  <c r="AL620" i="1"/>
  <c r="AO628" i="1"/>
  <c r="AN628" i="1"/>
  <c r="AM628" i="1"/>
  <c r="AL628" i="1"/>
  <c r="AO636" i="1"/>
  <c r="AN636" i="1"/>
  <c r="AM636" i="1"/>
  <c r="AL636" i="1"/>
  <c r="AO644" i="1"/>
  <c r="AN644" i="1"/>
  <c r="AM644" i="1"/>
  <c r="AL644" i="1"/>
  <c r="AO652" i="1"/>
  <c r="AN652" i="1"/>
  <c r="AM652" i="1"/>
  <c r="AL652" i="1"/>
  <c r="AO660" i="1"/>
  <c r="AN660" i="1"/>
  <c r="AM660" i="1"/>
  <c r="AL660" i="1"/>
  <c r="AO668" i="1"/>
  <c r="AN668" i="1"/>
  <c r="AM668" i="1"/>
  <c r="AL668" i="1"/>
  <c r="AO676" i="1"/>
  <c r="AN676" i="1"/>
  <c r="AM676" i="1"/>
  <c r="AL676" i="1"/>
  <c r="AO684" i="1"/>
  <c r="AN684" i="1"/>
  <c r="AM684" i="1"/>
  <c r="AO692" i="1"/>
  <c r="AN692" i="1"/>
  <c r="AM692" i="1"/>
  <c r="AO700" i="1"/>
  <c r="AN700" i="1"/>
  <c r="AM700" i="1"/>
  <c r="AO708" i="1"/>
  <c r="AN708" i="1"/>
  <c r="AM708" i="1"/>
  <c r="AO716" i="1"/>
  <c r="AN716" i="1"/>
  <c r="AM716" i="1"/>
  <c r="AO724" i="1"/>
  <c r="AN724" i="1"/>
  <c r="AM724" i="1"/>
  <c r="AO732" i="1"/>
  <c r="AN732" i="1"/>
  <c r="AM732" i="1"/>
  <c r="AO740" i="1"/>
  <c r="AN740" i="1"/>
  <c r="AM740" i="1"/>
  <c r="AO748" i="1"/>
  <c r="AN748" i="1"/>
  <c r="AM748" i="1"/>
  <c r="AO756" i="1"/>
  <c r="AN756" i="1"/>
  <c r="AM756" i="1"/>
  <c r="AO764" i="1"/>
  <c r="AN764" i="1"/>
  <c r="AM764" i="1"/>
  <c r="AO772" i="1"/>
  <c r="AN772" i="1"/>
  <c r="AM772" i="1"/>
  <c r="AO780" i="1"/>
  <c r="AN780" i="1"/>
  <c r="AM780" i="1"/>
  <c r="AO788" i="1"/>
  <c r="AN788" i="1"/>
  <c r="AM788" i="1"/>
  <c r="AO796" i="1"/>
  <c r="AN796" i="1"/>
  <c r="AM796" i="1"/>
  <c r="AO804" i="1"/>
  <c r="AN804" i="1"/>
  <c r="AM804" i="1"/>
  <c r="AO812" i="1"/>
  <c r="AN812" i="1"/>
  <c r="AM812" i="1"/>
  <c r="AO820" i="1"/>
  <c r="AN820" i="1"/>
  <c r="AM820" i="1"/>
  <c r="AO828" i="1"/>
  <c r="AN828" i="1"/>
  <c r="AM828" i="1"/>
  <c r="AO836" i="1"/>
  <c r="AN836" i="1"/>
  <c r="AM836" i="1"/>
  <c r="AO844" i="1"/>
  <c r="AM844" i="1"/>
  <c r="AN844" i="1"/>
  <c r="AO852" i="1"/>
  <c r="AN852" i="1"/>
  <c r="AM852" i="1"/>
  <c r="AO860" i="1"/>
  <c r="AN860" i="1"/>
  <c r="AM860" i="1"/>
  <c r="AO868" i="1"/>
  <c r="AN868" i="1"/>
  <c r="AM868" i="1"/>
  <c r="AO876" i="1"/>
  <c r="AN876" i="1"/>
  <c r="AM876" i="1"/>
  <c r="AO884" i="1"/>
  <c r="AN884" i="1"/>
  <c r="AM884" i="1"/>
  <c r="AO892" i="1"/>
  <c r="AN892" i="1"/>
  <c r="AM892" i="1"/>
  <c r="AO900" i="1"/>
  <c r="AN900" i="1"/>
  <c r="AM900" i="1"/>
  <c r="AO908" i="1"/>
  <c r="AN908" i="1"/>
  <c r="AM908" i="1"/>
  <c r="AO916" i="1"/>
  <c r="AN916" i="1"/>
  <c r="AM916" i="1"/>
  <c r="AO924" i="1"/>
  <c r="AN924" i="1"/>
  <c r="AM924" i="1"/>
  <c r="AO932" i="1"/>
  <c r="AN932" i="1"/>
  <c r="AM932" i="1"/>
  <c r="AO940" i="1"/>
  <c r="AN940" i="1"/>
  <c r="AM940" i="1"/>
  <c r="AO948" i="1"/>
  <c r="AN948" i="1"/>
  <c r="AM948" i="1"/>
  <c r="AO956" i="1"/>
  <c r="AN956" i="1"/>
  <c r="AM956" i="1"/>
  <c r="AO964" i="1"/>
  <c r="AN964" i="1"/>
  <c r="AM964" i="1"/>
  <c r="AO972" i="1"/>
  <c r="AN972" i="1"/>
  <c r="AM972" i="1"/>
  <c r="AO980" i="1"/>
  <c r="AN980" i="1"/>
  <c r="AM980" i="1"/>
  <c r="AO988" i="1"/>
  <c r="AN988" i="1"/>
  <c r="AM988" i="1"/>
  <c r="AO996" i="1"/>
  <c r="AN996" i="1"/>
  <c r="AM996" i="1"/>
  <c r="AO1004" i="1"/>
  <c r="AN1004" i="1"/>
  <c r="AM1004" i="1"/>
  <c r="AO1012" i="1"/>
  <c r="AN1012" i="1"/>
  <c r="AM1012" i="1"/>
  <c r="AO1020" i="1"/>
  <c r="AN1020" i="1"/>
  <c r="AM1020" i="1"/>
  <c r="AO1028" i="1"/>
  <c r="AN1028" i="1"/>
  <c r="AM1028" i="1"/>
  <c r="AO1036" i="1"/>
  <c r="AN1036" i="1"/>
  <c r="AM1036" i="1"/>
  <c r="AO1044" i="1"/>
  <c r="AN1044" i="1"/>
  <c r="AM1044" i="1"/>
  <c r="AO1052" i="1"/>
  <c r="AN1052" i="1"/>
  <c r="AM1052" i="1"/>
  <c r="AO1060" i="1"/>
  <c r="AN1060" i="1"/>
  <c r="AM1060" i="1"/>
  <c r="AO1068" i="1"/>
  <c r="AN1068" i="1"/>
  <c r="AM1068" i="1"/>
  <c r="AO1076" i="1"/>
  <c r="AN1076" i="1"/>
  <c r="AM1076" i="1"/>
  <c r="AO1084" i="1"/>
  <c r="AN1084" i="1"/>
  <c r="AM1084" i="1"/>
  <c r="AO1092" i="1"/>
  <c r="AN1092" i="1"/>
  <c r="AM1092" i="1"/>
  <c r="AO1100" i="1"/>
  <c r="AN1100" i="1"/>
  <c r="AM1100" i="1"/>
  <c r="AO1108" i="1"/>
  <c r="AN1108" i="1"/>
  <c r="AO1116" i="1"/>
  <c r="AN1116" i="1"/>
  <c r="AM1116" i="1"/>
  <c r="AO1124" i="1"/>
  <c r="AN1124" i="1"/>
  <c r="AM1124" i="1"/>
  <c r="AO1132" i="1"/>
  <c r="AN1132" i="1"/>
  <c r="AM1132" i="1"/>
  <c r="AO1140" i="1"/>
  <c r="AN1140" i="1"/>
  <c r="AM1140" i="1"/>
  <c r="AO1148" i="1"/>
  <c r="AN1148" i="1"/>
  <c r="AM1148" i="1"/>
  <c r="AO1156" i="1"/>
  <c r="AN1156" i="1"/>
  <c r="AM1156" i="1"/>
  <c r="AO1164" i="1"/>
  <c r="AN1164" i="1"/>
  <c r="AM1164" i="1"/>
  <c r="AO1172" i="1"/>
  <c r="AN1172" i="1"/>
  <c r="AO1180" i="1"/>
  <c r="AN1180" i="1"/>
  <c r="AM1180" i="1"/>
  <c r="AO1188" i="1"/>
  <c r="AN1188" i="1"/>
  <c r="AM1188" i="1"/>
  <c r="AO1196" i="1"/>
  <c r="AN1196" i="1"/>
  <c r="AM1196" i="1"/>
  <c r="AO1204" i="1"/>
  <c r="AN1204" i="1"/>
  <c r="AM1204" i="1"/>
  <c r="AO1212" i="1"/>
  <c r="AN1212" i="1"/>
  <c r="AM1212" i="1"/>
  <c r="AO1220" i="1"/>
  <c r="AN1220" i="1"/>
  <c r="AM1220" i="1"/>
  <c r="AO1228" i="1"/>
  <c r="AN1228" i="1"/>
  <c r="AM1228" i="1"/>
  <c r="AO1236" i="1"/>
  <c r="AN1236" i="1"/>
  <c r="AO1244" i="1"/>
  <c r="AN1244" i="1"/>
  <c r="AM1244" i="1"/>
  <c r="AO1252" i="1"/>
  <c r="AN1252" i="1"/>
  <c r="AM1252" i="1"/>
  <c r="AO1260" i="1"/>
  <c r="AN1260" i="1"/>
  <c r="AM1260" i="1"/>
  <c r="AO1268" i="1"/>
  <c r="AN1268" i="1"/>
  <c r="AM1268" i="1"/>
  <c r="AO1276" i="1"/>
  <c r="AN1276" i="1"/>
  <c r="AM1276" i="1"/>
  <c r="AO1284" i="1"/>
  <c r="AN1284" i="1"/>
  <c r="AM1284" i="1"/>
  <c r="AO1292" i="1"/>
  <c r="AN1292" i="1"/>
  <c r="AM1292" i="1"/>
  <c r="AO1300" i="1"/>
  <c r="AN1300" i="1"/>
  <c r="AO1308" i="1"/>
  <c r="AN1308" i="1"/>
  <c r="AM1308" i="1"/>
  <c r="AO1316" i="1"/>
  <c r="AN1316" i="1"/>
  <c r="AM1316" i="1"/>
  <c r="AO1324" i="1"/>
  <c r="AN1324" i="1"/>
  <c r="AM1324" i="1"/>
  <c r="AO1332" i="1"/>
  <c r="AN1332" i="1"/>
  <c r="AM1332" i="1"/>
  <c r="AO1340" i="1"/>
  <c r="AN1340" i="1"/>
  <c r="AM1340" i="1"/>
  <c r="AO1348" i="1"/>
  <c r="AN1348" i="1"/>
  <c r="AM1348" i="1"/>
  <c r="AO1356" i="1"/>
  <c r="AN1356" i="1"/>
  <c r="AM1356" i="1"/>
  <c r="AO1364" i="1"/>
  <c r="AN1364" i="1"/>
  <c r="AO1372" i="1"/>
  <c r="AN1372" i="1"/>
  <c r="AM1372" i="1"/>
  <c r="AO1380" i="1"/>
  <c r="AN1380" i="1"/>
  <c r="AM1380" i="1"/>
  <c r="AO1388" i="1"/>
  <c r="AN1388" i="1"/>
  <c r="AM1388" i="1"/>
  <c r="AO1396" i="1"/>
  <c r="AN1396" i="1"/>
  <c r="AM1396" i="1"/>
  <c r="AO1404" i="1"/>
  <c r="AN1404" i="1"/>
  <c r="AM1404" i="1"/>
  <c r="AO1412" i="1"/>
  <c r="AN1412" i="1"/>
  <c r="AM1412" i="1"/>
  <c r="AO1420" i="1"/>
  <c r="AN1420" i="1"/>
  <c r="AM1420" i="1"/>
  <c r="AO1428" i="1"/>
  <c r="AN1428" i="1"/>
  <c r="AM1428" i="1"/>
  <c r="AO1436" i="1"/>
  <c r="AN1436" i="1"/>
  <c r="AM1436" i="1"/>
  <c r="AO1444" i="1"/>
  <c r="AN1444" i="1"/>
  <c r="AM1444" i="1"/>
  <c r="AO1452" i="1"/>
  <c r="AN1452" i="1"/>
  <c r="AM1452" i="1"/>
  <c r="AO1460" i="1"/>
  <c r="AN1460" i="1"/>
  <c r="AM1460" i="1"/>
  <c r="AL1337" i="1"/>
  <c r="AL1089" i="1"/>
  <c r="AL852" i="1"/>
  <c r="AL788" i="1"/>
  <c r="AL724" i="1"/>
  <c r="AL860" i="1"/>
  <c r="AL796" i="1"/>
  <c r="AL732" i="1"/>
  <c r="AL692" i="1"/>
  <c r="AM1108" i="1"/>
  <c r="AL868" i="1"/>
  <c r="AL804" i="1"/>
  <c r="AL740" i="1"/>
  <c r="AM1172" i="1"/>
  <c r="AL876" i="1"/>
  <c r="AL812" i="1"/>
  <c r="AL748" i="1"/>
  <c r="AM1236" i="1"/>
  <c r="AL884" i="1"/>
  <c r="AL820" i="1"/>
  <c r="AL756" i="1"/>
  <c r="AL700" i="1"/>
  <c r="AM1300" i="1"/>
  <c r="AO857" i="1"/>
  <c r="AN857" i="1"/>
  <c r="AM857" i="1"/>
  <c r="AO865" i="1"/>
  <c r="AN865" i="1"/>
  <c r="AM865" i="1"/>
  <c r="AO873" i="1"/>
  <c r="AN873" i="1"/>
  <c r="AM873" i="1"/>
  <c r="AO881" i="1"/>
  <c r="AN881" i="1"/>
  <c r="AM881" i="1"/>
  <c r="AO889" i="1"/>
  <c r="AN889" i="1"/>
  <c r="AM889" i="1"/>
  <c r="AO897" i="1"/>
  <c r="AN897" i="1"/>
  <c r="AM897" i="1"/>
  <c r="AO905" i="1"/>
  <c r="AN905" i="1"/>
  <c r="AM905" i="1"/>
  <c r="AO913" i="1"/>
  <c r="AN913" i="1"/>
  <c r="AM913" i="1"/>
  <c r="AO921" i="1"/>
  <c r="AN921" i="1"/>
  <c r="AM921" i="1"/>
  <c r="AO929" i="1"/>
  <c r="AN929" i="1"/>
  <c r="AM929" i="1"/>
  <c r="AO937" i="1"/>
  <c r="AN937" i="1"/>
  <c r="AM937" i="1"/>
  <c r="AO945" i="1"/>
  <c r="AN945" i="1"/>
  <c r="AM945" i="1"/>
  <c r="AO953" i="1"/>
  <c r="AN953" i="1"/>
  <c r="AM953" i="1"/>
  <c r="AO961" i="1"/>
  <c r="AN961" i="1"/>
  <c r="AM961" i="1"/>
  <c r="AO969" i="1"/>
  <c r="AN969" i="1"/>
  <c r="AM969" i="1"/>
  <c r="AO977" i="1"/>
  <c r="AN977" i="1"/>
  <c r="AM977" i="1"/>
  <c r="AO985" i="1"/>
  <c r="AN985" i="1"/>
  <c r="AM985" i="1"/>
  <c r="AO993" i="1"/>
  <c r="AN993" i="1"/>
  <c r="AM993" i="1"/>
  <c r="AO1001" i="1"/>
  <c r="AN1001" i="1"/>
  <c r="AM1001" i="1"/>
  <c r="AO1009" i="1"/>
  <c r="AN1009" i="1"/>
  <c r="AM1009" i="1"/>
  <c r="AO1017" i="1"/>
  <c r="AN1017" i="1"/>
  <c r="AM1017" i="1"/>
  <c r="AO1025" i="1"/>
  <c r="AN1025" i="1"/>
  <c r="AM1025" i="1"/>
  <c r="AO1033" i="1"/>
  <c r="AN1033" i="1"/>
  <c r="AM1033" i="1"/>
  <c r="AO1041" i="1"/>
  <c r="AN1041" i="1"/>
  <c r="AM1041" i="1"/>
  <c r="AO1049" i="1"/>
  <c r="AN1049" i="1"/>
  <c r="AM1049" i="1"/>
  <c r="AO1057" i="1"/>
  <c r="AN1057" i="1"/>
  <c r="AM1057" i="1"/>
  <c r="AO1065" i="1"/>
  <c r="AN1065" i="1"/>
  <c r="AM1065" i="1"/>
  <c r="AO1073" i="1"/>
  <c r="AN1073" i="1"/>
  <c r="AM1073" i="1"/>
  <c r="AO1081" i="1"/>
  <c r="AN1081" i="1"/>
  <c r="AM1081" i="1"/>
  <c r="AO1089" i="1"/>
  <c r="AN1089" i="1"/>
  <c r="AO1097" i="1"/>
  <c r="AN1097" i="1"/>
  <c r="AM1097" i="1"/>
  <c r="AO1105" i="1"/>
  <c r="AN1105" i="1"/>
  <c r="AM1105" i="1"/>
  <c r="AO1113" i="1"/>
  <c r="AN1113" i="1"/>
  <c r="AM1113" i="1"/>
  <c r="AO1121" i="1"/>
  <c r="AN1121" i="1"/>
  <c r="AM1121" i="1"/>
  <c r="AO1129" i="1"/>
  <c r="AN1129" i="1"/>
  <c r="AM1129" i="1"/>
  <c r="AO1137" i="1"/>
  <c r="AN1137" i="1"/>
  <c r="AM1137" i="1"/>
  <c r="AO1145" i="1"/>
  <c r="AN1145" i="1"/>
  <c r="AO1153" i="1"/>
  <c r="AN1153" i="1"/>
  <c r="AM1153" i="1"/>
  <c r="AO1161" i="1"/>
  <c r="AN1161" i="1"/>
  <c r="AM1161" i="1"/>
  <c r="AO1169" i="1"/>
  <c r="AN1169" i="1"/>
  <c r="AM1169" i="1"/>
  <c r="AO1177" i="1"/>
  <c r="AN1177" i="1"/>
  <c r="AM1177" i="1"/>
  <c r="AO1185" i="1"/>
  <c r="AN1185" i="1"/>
  <c r="AM1185" i="1"/>
  <c r="AO1193" i="1"/>
  <c r="AN1193" i="1"/>
  <c r="AM1193" i="1"/>
  <c r="AO1201" i="1"/>
  <c r="AN1201" i="1"/>
  <c r="AM1201" i="1"/>
  <c r="AO1209" i="1"/>
  <c r="AN1209" i="1"/>
  <c r="AO1217" i="1"/>
  <c r="AN1217" i="1"/>
  <c r="AM1217" i="1"/>
  <c r="AO1225" i="1"/>
  <c r="AN1225" i="1"/>
  <c r="AM1225" i="1"/>
  <c r="AO1233" i="1"/>
  <c r="AN1233" i="1"/>
  <c r="AM1233" i="1"/>
  <c r="AO1241" i="1"/>
  <c r="AN1241" i="1"/>
  <c r="AM1241" i="1"/>
  <c r="AO1249" i="1"/>
  <c r="AN1249" i="1"/>
  <c r="AM1249" i="1"/>
  <c r="AO1257" i="1"/>
  <c r="AN1257" i="1"/>
  <c r="AM1257" i="1"/>
  <c r="AO1265" i="1"/>
  <c r="AN1265" i="1"/>
  <c r="AM1265" i="1"/>
  <c r="AO1273" i="1"/>
  <c r="AN1273" i="1"/>
  <c r="AO1281" i="1"/>
  <c r="AN1281" i="1"/>
  <c r="AM1281" i="1"/>
  <c r="AO1289" i="1"/>
  <c r="AN1289" i="1"/>
  <c r="AM1289" i="1"/>
  <c r="AO1297" i="1"/>
  <c r="AN1297" i="1"/>
  <c r="AM1297" i="1"/>
  <c r="AO1305" i="1"/>
  <c r="AN1305" i="1"/>
  <c r="AM1305" i="1"/>
  <c r="AO1313" i="1"/>
  <c r="AN1313" i="1"/>
  <c r="AM1313" i="1"/>
  <c r="AO1321" i="1"/>
  <c r="AN1321" i="1"/>
  <c r="AM1321" i="1"/>
  <c r="AO1329" i="1"/>
  <c r="AN1329" i="1"/>
  <c r="AM1329" i="1"/>
  <c r="AO1337" i="1"/>
  <c r="AN1337" i="1"/>
  <c r="AO1345" i="1"/>
  <c r="AN1345" i="1"/>
  <c r="AM1345" i="1"/>
  <c r="AO1353" i="1"/>
  <c r="AN1353" i="1"/>
  <c r="AM1353" i="1"/>
  <c r="AO1361" i="1"/>
  <c r="AN1361" i="1"/>
  <c r="AM1361" i="1"/>
  <c r="AO1369" i="1"/>
  <c r="AN1369" i="1"/>
  <c r="AM1369" i="1"/>
  <c r="AO1377" i="1"/>
  <c r="AN1377" i="1"/>
  <c r="AM1377" i="1"/>
  <c r="AO1385" i="1"/>
  <c r="AN1385" i="1"/>
  <c r="AM1385" i="1"/>
  <c r="AO1393" i="1"/>
  <c r="AN1393" i="1"/>
  <c r="AM1393" i="1"/>
  <c r="AO1401" i="1"/>
  <c r="AN1401" i="1"/>
  <c r="AM1401" i="1"/>
  <c r="AO1409" i="1"/>
  <c r="AN1409" i="1"/>
  <c r="AM1409" i="1"/>
  <c r="AO1417" i="1"/>
  <c r="AN1417" i="1"/>
  <c r="AM1417" i="1"/>
  <c r="AO1425" i="1"/>
  <c r="AN1425" i="1"/>
  <c r="AM1425" i="1"/>
  <c r="AO1433" i="1"/>
  <c r="AN1433" i="1"/>
  <c r="AM1433" i="1"/>
  <c r="AO1441" i="1"/>
  <c r="AN1441" i="1"/>
  <c r="AM1441" i="1"/>
  <c r="AO1449" i="1"/>
  <c r="AN1449" i="1"/>
  <c r="AM1449" i="1"/>
  <c r="AO1457" i="1"/>
  <c r="AN1457" i="1"/>
  <c r="AM1457" i="1"/>
  <c r="AL1460" i="1"/>
  <c r="AL1452" i="1"/>
  <c r="AL1444" i="1"/>
  <c r="AL1436" i="1"/>
  <c r="AL1428" i="1"/>
  <c r="AL1420" i="1"/>
  <c r="AL1412" i="1"/>
  <c r="AL1404" i="1"/>
  <c r="AL1396" i="1"/>
  <c r="AL1388" i="1"/>
  <c r="AL1380" i="1"/>
  <c r="AL1372" i="1"/>
  <c r="AL1364" i="1"/>
  <c r="AL1356" i="1"/>
  <c r="AL1348" i="1"/>
  <c r="AL1340" i="1"/>
  <c r="AL1332" i="1"/>
  <c r="AL1324" i="1"/>
  <c r="AL1316" i="1"/>
  <c r="AL1308" i="1"/>
  <c r="AL1300" i="1"/>
  <c r="AL1292" i="1"/>
  <c r="AL1284" i="1"/>
  <c r="AL1276" i="1"/>
  <c r="AL1268" i="1"/>
  <c r="AL1260" i="1"/>
  <c r="AL1252" i="1"/>
  <c r="AL1244" i="1"/>
  <c r="AL1236" i="1"/>
  <c r="AL1228" i="1"/>
  <c r="AL1220" i="1"/>
  <c r="AL1212" i="1"/>
  <c r="AL1204" i="1"/>
  <c r="AL1196" i="1"/>
  <c r="AL1188" i="1"/>
  <c r="AL1180" i="1"/>
  <c r="AL1172" i="1"/>
  <c r="AL1164" i="1"/>
  <c r="AL1156" i="1"/>
  <c r="AL1148" i="1"/>
  <c r="AL1140" i="1"/>
  <c r="AL1132" i="1"/>
  <c r="AL1124" i="1"/>
  <c r="AL1116" i="1"/>
  <c r="AL1108" i="1"/>
  <c r="AL1100" i="1"/>
  <c r="AL1092" i="1"/>
  <c r="AL1084" i="1"/>
  <c r="AL1076" i="1"/>
  <c r="AL1068" i="1"/>
  <c r="AL1060" i="1"/>
  <c r="AL1052" i="1"/>
  <c r="AL1044" i="1"/>
  <c r="AL1036" i="1"/>
  <c r="AL1028" i="1"/>
  <c r="AL1020" i="1"/>
  <c r="AL1012" i="1"/>
  <c r="AL1004" i="1"/>
  <c r="AL996" i="1"/>
  <c r="AL988" i="1"/>
  <c r="AL980" i="1"/>
  <c r="AL972" i="1"/>
  <c r="AL964" i="1"/>
  <c r="AL956" i="1"/>
  <c r="AL948" i="1"/>
  <c r="AL940" i="1"/>
  <c r="AL932" i="1"/>
  <c r="AL924" i="1"/>
  <c r="AL916" i="1"/>
  <c r="AL908" i="1"/>
  <c r="AL900" i="1"/>
  <c r="AL892" i="1"/>
  <c r="AL865" i="1"/>
  <c r="AL828" i="1"/>
  <c r="AL764" i="1"/>
  <c r="AM1364" i="1"/>
  <c r="AM1145" i="1"/>
  <c r="AO98" i="1"/>
  <c r="AN98" i="1"/>
  <c r="AM98" i="1"/>
  <c r="AL98" i="1"/>
  <c r="AO106" i="1"/>
  <c r="AN106" i="1"/>
  <c r="AM106" i="1"/>
  <c r="AL106" i="1"/>
  <c r="AO114" i="1"/>
  <c r="AN114" i="1"/>
  <c r="AM114" i="1"/>
  <c r="AL114" i="1"/>
  <c r="AO122" i="1"/>
  <c r="AN122" i="1"/>
  <c r="AM122" i="1"/>
  <c r="AL122" i="1"/>
  <c r="AO130" i="1"/>
  <c r="AN130" i="1"/>
  <c r="AM130" i="1"/>
  <c r="AL130" i="1"/>
  <c r="AO138" i="1"/>
  <c r="AN138" i="1"/>
  <c r="AM138" i="1"/>
  <c r="AL138" i="1"/>
  <c r="AO146" i="1"/>
  <c r="AN146" i="1"/>
  <c r="AM146" i="1"/>
  <c r="AL146" i="1"/>
  <c r="AO154" i="1"/>
  <c r="AN154" i="1"/>
  <c r="AM154" i="1"/>
  <c r="AL154" i="1"/>
  <c r="AO162" i="1"/>
  <c r="AN162" i="1"/>
  <c r="AM162" i="1"/>
  <c r="AL162" i="1"/>
  <c r="AO170" i="1"/>
  <c r="AN170" i="1"/>
  <c r="AM170" i="1"/>
  <c r="AL170" i="1"/>
  <c r="AO178" i="1"/>
  <c r="AN178" i="1"/>
  <c r="AM178" i="1"/>
  <c r="AL178" i="1"/>
  <c r="AO186" i="1"/>
  <c r="AN186" i="1"/>
  <c r="AM186" i="1"/>
  <c r="AL186" i="1"/>
  <c r="AO194" i="1"/>
  <c r="AN194" i="1"/>
  <c r="AM194" i="1"/>
  <c r="AL194" i="1"/>
  <c r="AO202" i="1"/>
  <c r="AN202" i="1"/>
  <c r="AM202" i="1"/>
  <c r="AL202" i="1"/>
  <c r="AO210" i="1"/>
  <c r="AN210" i="1"/>
  <c r="AM210" i="1"/>
  <c r="AL210" i="1"/>
  <c r="AO218" i="1"/>
  <c r="AN218" i="1"/>
  <c r="AM218" i="1"/>
  <c r="AL218" i="1"/>
  <c r="AO226" i="1"/>
  <c r="AN226" i="1"/>
  <c r="AM226" i="1"/>
  <c r="AL226" i="1"/>
  <c r="AO234" i="1"/>
  <c r="AN234" i="1"/>
  <c r="AM234" i="1"/>
  <c r="AL234" i="1"/>
  <c r="AO242" i="1"/>
  <c r="AN242" i="1"/>
  <c r="AM242" i="1"/>
  <c r="AL242" i="1"/>
  <c r="AO250" i="1"/>
  <c r="AN250" i="1"/>
  <c r="AM250" i="1"/>
  <c r="AL250" i="1"/>
  <c r="AO258" i="1"/>
  <c r="AN258" i="1"/>
  <c r="AM258" i="1"/>
  <c r="AL258" i="1"/>
  <c r="AO266" i="1"/>
  <c r="AN266" i="1"/>
  <c r="AM266" i="1"/>
  <c r="AL266" i="1"/>
  <c r="AO274" i="1"/>
  <c r="AN274" i="1"/>
  <c r="AM274" i="1"/>
  <c r="AL274" i="1"/>
  <c r="AO282" i="1"/>
  <c r="AN282" i="1"/>
  <c r="AM282" i="1"/>
  <c r="AL282" i="1"/>
  <c r="AO290" i="1"/>
  <c r="AN290" i="1"/>
  <c r="AM290" i="1"/>
  <c r="AL290" i="1"/>
  <c r="AO298" i="1"/>
  <c r="AN298" i="1"/>
  <c r="AM298" i="1"/>
  <c r="AL298" i="1"/>
  <c r="AO306" i="1"/>
  <c r="AN306" i="1"/>
  <c r="AM306" i="1"/>
  <c r="AL306" i="1"/>
  <c r="AO314" i="1"/>
  <c r="AN314" i="1"/>
  <c r="AM314" i="1"/>
  <c r="AL314" i="1"/>
  <c r="AO322" i="1"/>
  <c r="AN322" i="1"/>
  <c r="AM322" i="1"/>
  <c r="AL322" i="1"/>
  <c r="AO330" i="1"/>
  <c r="AN330" i="1"/>
  <c r="AM330" i="1"/>
  <c r="AL330" i="1"/>
  <c r="AO338" i="1"/>
  <c r="AN338" i="1"/>
  <c r="AM338" i="1"/>
  <c r="AL338" i="1"/>
  <c r="AO346" i="1"/>
  <c r="AN346" i="1"/>
  <c r="AM346" i="1"/>
  <c r="AL346" i="1"/>
  <c r="AO354" i="1"/>
  <c r="AN354" i="1"/>
  <c r="AM354" i="1"/>
  <c r="AL354" i="1"/>
  <c r="AO362" i="1"/>
  <c r="AN362" i="1"/>
  <c r="AM362" i="1"/>
  <c r="AL362" i="1"/>
  <c r="AO370" i="1"/>
  <c r="AN370" i="1"/>
  <c r="AM370" i="1"/>
  <c r="AL370" i="1"/>
  <c r="AO378" i="1"/>
  <c r="AN378" i="1"/>
  <c r="AM378" i="1"/>
  <c r="AL378" i="1"/>
  <c r="AO386" i="1"/>
  <c r="AN386" i="1"/>
  <c r="AM386" i="1"/>
  <c r="AL386" i="1"/>
  <c r="AO394" i="1"/>
  <c r="AN394" i="1"/>
  <c r="AM394" i="1"/>
  <c r="AL394" i="1"/>
  <c r="AO402" i="1"/>
  <c r="AN402" i="1"/>
  <c r="AM402" i="1"/>
  <c r="AL402" i="1"/>
  <c r="AO410" i="1"/>
  <c r="AN410" i="1"/>
  <c r="AM410" i="1"/>
  <c r="AL410" i="1"/>
  <c r="AO418" i="1"/>
  <c r="AN418" i="1"/>
  <c r="AM418" i="1"/>
  <c r="AL418" i="1"/>
  <c r="AO426" i="1"/>
  <c r="AN426" i="1"/>
  <c r="AM426" i="1"/>
  <c r="AL426" i="1"/>
  <c r="AO434" i="1"/>
  <c r="AN434" i="1"/>
  <c r="AM434" i="1"/>
  <c r="AL434" i="1"/>
  <c r="AO442" i="1"/>
  <c r="AN442" i="1"/>
  <c r="AM442" i="1"/>
  <c r="AL442" i="1"/>
  <c r="AO450" i="1"/>
  <c r="AN450" i="1"/>
  <c r="AM450" i="1"/>
  <c r="AL450" i="1"/>
  <c r="AO458" i="1"/>
  <c r="AN458" i="1"/>
  <c r="AM458" i="1"/>
  <c r="AL458" i="1"/>
  <c r="AO466" i="1"/>
  <c r="AN466" i="1"/>
  <c r="AM466" i="1"/>
  <c r="AL466" i="1"/>
  <c r="AO474" i="1"/>
  <c r="AN474" i="1"/>
  <c r="AM474" i="1"/>
  <c r="AL474" i="1"/>
  <c r="AO482" i="1"/>
  <c r="AN482" i="1"/>
  <c r="AM482" i="1"/>
  <c r="AL482" i="1"/>
  <c r="AO490" i="1"/>
  <c r="AN490" i="1"/>
  <c r="AM490" i="1"/>
  <c r="AL490" i="1"/>
  <c r="AO498" i="1"/>
  <c r="AN498" i="1"/>
  <c r="AM498" i="1"/>
  <c r="AL498" i="1"/>
  <c r="AO506" i="1"/>
  <c r="AN506" i="1"/>
  <c r="AM506" i="1"/>
  <c r="AL506" i="1"/>
  <c r="AO514" i="1"/>
  <c r="AN514" i="1"/>
  <c r="AM514" i="1"/>
  <c r="AL514" i="1"/>
  <c r="AO522" i="1"/>
  <c r="AN522" i="1"/>
  <c r="AM522" i="1"/>
  <c r="AL522" i="1"/>
  <c r="AO530" i="1"/>
  <c r="AN530" i="1"/>
  <c r="AM530" i="1"/>
  <c r="AL530" i="1"/>
  <c r="AO538" i="1"/>
  <c r="AN538" i="1"/>
  <c r="AM538" i="1"/>
  <c r="AL538" i="1"/>
  <c r="AO546" i="1"/>
  <c r="AN546" i="1"/>
  <c r="AM546" i="1"/>
  <c r="AL546" i="1"/>
  <c r="AO554" i="1"/>
  <c r="AN554" i="1"/>
  <c r="AM554" i="1"/>
  <c r="AL554" i="1"/>
  <c r="AO562" i="1"/>
  <c r="AN562" i="1"/>
  <c r="AM562" i="1"/>
  <c r="AL562" i="1"/>
  <c r="AO570" i="1"/>
  <c r="AN570" i="1"/>
  <c r="AM570" i="1"/>
  <c r="AL570" i="1"/>
  <c r="AO578" i="1"/>
  <c r="AN578" i="1"/>
  <c r="AM578" i="1"/>
  <c r="AL578" i="1"/>
  <c r="AO586" i="1"/>
  <c r="AN586" i="1"/>
  <c r="AM586" i="1"/>
  <c r="AL586" i="1"/>
  <c r="AO594" i="1"/>
  <c r="AN594" i="1"/>
  <c r="AM594" i="1"/>
  <c r="AL594" i="1"/>
  <c r="AO602" i="1"/>
  <c r="AN602" i="1"/>
  <c r="AM602" i="1"/>
  <c r="AL602" i="1"/>
  <c r="AO610" i="1"/>
  <c r="AN610" i="1"/>
  <c r="AM610" i="1"/>
  <c r="AL610" i="1"/>
  <c r="AO618" i="1"/>
  <c r="AN618" i="1"/>
  <c r="AM618" i="1"/>
  <c r="AL618" i="1"/>
  <c r="AO626" i="1"/>
  <c r="AN626" i="1"/>
  <c r="AM626" i="1"/>
  <c r="AL626" i="1"/>
  <c r="AO634" i="1"/>
  <c r="AN634" i="1"/>
  <c r="AM634" i="1"/>
  <c r="AL634" i="1"/>
  <c r="AO642" i="1"/>
  <c r="AN642" i="1"/>
  <c r="AM642" i="1"/>
  <c r="AL642" i="1"/>
  <c r="AO650" i="1"/>
  <c r="AN650" i="1"/>
  <c r="AM650" i="1"/>
  <c r="AL650" i="1"/>
  <c r="AO658" i="1"/>
  <c r="AN658" i="1"/>
  <c r="AM658" i="1"/>
  <c r="AL658" i="1"/>
  <c r="AO666" i="1"/>
  <c r="AN666" i="1"/>
  <c r="AM666" i="1"/>
  <c r="AL666" i="1"/>
  <c r="AO674" i="1"/>
  <c r="AN674" i="1"/>
  <c r="AM674" i="1"/>
  <c r="AL674" i="1"/>
  <c r="AO682" i="1"/>
  <c r="AN682" i="1"/>
  <c r="AM682" i="1"/>
  <c r="AL682" i="1"/>
  <c r="AO690" i="1"/>
  <c r="AN690" i="1"/>
  <c r="AM690" i="1"/>
  <c r="AO698" i="1"/>
  <c r="AN698" i="1"/>
  <c r="AM698" i="1"/>
  <c r="AO706" i="1"/>
  <c r="AN706" i="1"/>
  <c r="AM706" i="1"/>
  <c r="AO714" i="1"/>
  <c r="AN714" i="1"/>
  <c r="AM714" i="1"/>
  <c r="AO722" i="1"/>
  <c r="AN722" i="1"/>
  <c r="AM722" i="1"/>
  <c r="AO730" i="1"/>
  <c r="AN730" i="1"/>
  <c r="AM730" i="1"/>
  <c r="AO738" i="1"/>
  <c r="AN738" i="1"/>
  <c r="AM738" i="1"/>
  <c r="AO746" i="1"/>
  <c r="AN746" i="1"/>
  <c r="AM746" i="1"/>
  <c r="AO754" i="1"/>
  <c r="AN754" i="1"/>
  <c r="AM754" i="1"/>
  <c r="AO762" i="1"/>
  <c r="AN762" i="1"/>
  <c r="AM762" i="1"/>
  <c r="AO770" i="1"/>
  <c r="AN770" i="1"/>
  <c r="AM770" i="1"/>
  <c r="AO778" i="1"/>
  <c r="AN778" i="1"/>
  <c r="AM778" i="1"/>
  <c r="AO786" i="1"/>
  <c r="AN786" i="1"/>
  <c r="AM786" i="1"/>
  <c r="AO794" i="1"/>
  <c r="AN794" i="1"/>
  <c r="AM794" i="1"/>
  <c r="AO802" i="1"/>
  <c r="AN802" i="1"/>
  <c r="AM802" i="1"/>
  <c r="AO810" i="1"/>
  <c r="AN810" i="1"/>
  <c r="AM810" i="1"/>
  <c r="AO818" i="1"/>
  <c r="AN818" i="1"/>
  <c r="AM818" i="1"/>
  <c r="AO826" i="1"/>
  <c r="AN826" i="1"/>
  <c r="AM826" i="1"/>
  <c r="AO834" i="1"/>
  <c r="AN834" i="1"/>
  <c r="AM834" i="1"/>
  <c r="AO842" i="1"/>
  <c r="AN842" i="1"/>
  <c r="AM842" i="1"/>
  <c r="AO850" i="1"/>
  <c r="AN850" i="1"/>
  <c r="AM850" i="1"/>
  <c r="AO858" i="1"/>
  <c r="AN858" i="1"/>
  <c r="AM858" i="1"/>
  <c r="AO866" i="1"/>
  <c r="AN866" i="1"/>
  <c r="AM866" i="1"/>
  <c r="AO874" i="1"/>
  <c r="AN874" i="1"/>
  <c r="AM874" i="1"/>
  <c r="AO882" i="1"/>
  <c r="AN882" i="1"/>
  <c r="AM882" i="1"/>
  <c r="AO890" i="1"/>
  <c r="AN890" i="1"/>
  <c r="AM890" i="1"/>
  <c r="AO898" i="1"/>
  <c r="AN898" i="1"/>
  <c r="AM898" i="1"/>
  <c r="AO906" i="1"/>
  <c r="AN906" i="1"/>
  <c r="AM906" i="1"/>
  <c r="AO914" i="1"/>
  <c r="AN914" i="1"/>
  <c r="AM914" i="1"/>
  <c r="AO922" i="1"/>
  <c r="AN922" i="1"/>
  <c r="AM922" i="1"/>
  <c r="AO930" i="1"/>
  <c r="AN930" i="1"/>
  <c r="AM930" i="1"/>
  <c r="AO938" i="1"/>
  <c r="AN938" i="1"/>
  <c r="AM938" i="1"/>
  <c r="AO946" i="1"/>
  <c r="AN946" i="1"/>
  <c r="AM946" i="1"/>
  <c r="AO954" i="1"/>
  <c r="AN954" i="1"/>
  <c r="AM954" i="1"/>
  <c r="AO962" i="1"/>
  <c r="AN962" i="1"/>
  <c r="AM962" i="1"/>
  <c r="AO970" i="1"/>
  <c r="AN970" i="1"/>
  <c r="AM970" i="1"/>
  <c r="AO978" i="1"/>
  <c r="AN978" i="1"/>
  <c r="AM978" i="1"/>
  <c r="AO986" i="1"/>
  <c r="AN986" i="1"/>
  <c r="AM986" i="1"/>
  <c r="AO994" i="1"/>
  <c r="AN994" i="1"/>
  <c r="AM994" i="1"/>
  <c r="AO1002" i="1"/>
  <c r="AN1002" i="1"/>
  <c r="AM1002" i="1"/>
  <c r="AO1010" i="1"/>
  <c r="AN1010" i="1"/>
  <c r="AM1010" i="1"/>
  <c r="AO1018" i="1"/>
  <c r="AN1018" i="1"/>
  <c r="AM1018" i="1"/>
  <c r="AO1026" i="1"/>
  <c r="AN1026" i="1"/>
  <c r="AM1026" i="1"/>
  <c r="AO1034" i="1"/>
  <c r="AN1034" i="1"/>
  <c r="AM1034" i="1"/>
  <c r="AO1042" i="1"/>
  <c r="AN1042" i="1"/>
  <c r="AM1042" i="1"/>
  <c r="AO1050" i="1"/>
  <c r="AN1050" i="1"/>
  <c r="AM1050" i="1"/>
  <c r="AO1058" i="1"/>
  <c r="AN1058" i="1"/>
  <c r="AM1058" i="1"/>
  <c r="AO1066" i="1"/>
  <c r="AN1066" i="1"/>
  <c r="AM1066" i="1"/>
  <c r="AO1074" i="1"/>
  <c r="AN1074" i="1"/>
  <c r="AM1074" i="1"/>
  <c r="AO1082" i="1"/>
  <c r="AN1082" i="1"/>
  <c r="AM1082" i="1"/>
  <c r="AO1090" i="1"/>
  <c r="AN1090" i="1"/>
  <c r="AM1090" i="1"/>
  <c r="AO1098" i="1"/>
  <c r="AN1098" i="1"/>
  <c r="AM1098" i="1"/>
  <c r="AO1106" i="1"/>
  <c r="AN1106" i="1"/>
  <c r="AM1106" i="1"/>
  <c r="AO1114" i="1"/>
  <c r="AN1114" i="1"/>
  <c r="AM1114" i="1"/>
  <c r="AO1122" i="1"/>
  <c r="AN1122" i="1"/>
  <c r="AM1122" i="1"/>
  <c r="AO1130" i="1"/>
  <c r="AN1130" i="1"/>
  <c r="AM1130" i="1"/>
  <c r="AO1138" i="1"/>
  <c r="AN1138" i="1"/>
  <c r="AM1138" i="1"/>
  <c r="AO1146" i="1"/>
  <c r="AN1146" i="1"/>
  <c r="AM1146" i="1"/>
  <c r="AO1154" i="1"/>
  <c r="AN1154" i="1"/>
  <c r="AO1162" i="1"/>
  <c r="AN1162" i="1"/>
  <c r="AM1162" i="1"/>
  <c r="AO1170" i="1"/>
  <c r="AN1170" i="1"/>
  <c r="AM1170" i="1"/>
  <c r="AO1178" i="1"/>
  <c r="AN1178" i="1"/>
  <c r="AM1178" i="1"/>
  <c r="AO1186" i="1"/>
  <c r="AN1186" i="1"/>
  <c r="AM1186" i="1"/>
  <c r="AO1194" i="1"/>
  <c r="AN1194" i="1"/>
  <c r="AM1194" i="1"/>
  <c r="AO1202" i="1"/>
  <c r="AN1202" i="1"/>
  <c r="AM1202" i="1"/>
  <c r="AO1210" i="1"/>
  <c r="AN1210" i="1"/>
  <c r="AM1210" i="1"/>
  <c r="AO1218" i="1"/>
  <c r="AN1218" i="1"/>
  <c r="AO1226" i="1"/>
  <c r="AN1226" i="1"/>
  <c r="AM1226" i="1"/>
  <c r="AO1234" i="1"/>
  <c r="AN1234" i="1"/>
  <c r="AM1234" i="1"/>
  <c r="AO1242" i="1"/>
  <c r="AN1242" i="1"/>
  <c r="AM1242" i="1"/>
  <c r="AO1250" i="1"/>
  <c r="AN1250" i="1"/>
  <c r="AM1250" i="1"/>
  <c r="AO1258" i="1"/>
  <c r="AN1258" i="1"/>
  <c r="AM1258" i="1"/>
  <c r="AO1266" i="1"/>
  <c r="AN1266" i="1"/>
  <c r="AM1266" i="1"/>
  <c r="AO1274" i="1"/>
  <c r="AN1274" i="1"/>
  <c r="AM1274" i="1"/>
  <c r="AO1282" i="1"/>
  <c r="AN1282" i="1"/>
  <c r="AO1290" i="1"/>
  <c r="AN1290" i="1"/>
  <c r="AM1290" i="1"/>
  <c r="AO1298" i="1"/>
  <c r="AN1298" i="1"/>
  <c r="AM1298" i="1"/>
  <c r="AO1306" i="1"/>
  <c r="AN1306" i="1"/>
  <c r="AM1306" i="1"/>
  <c r="AO1314" i="1"/>
  <c r="AN1314" i="1"/>
  <c r="AM1314" i="1"/>
  <c r="AO1322" i="1"/>
  <c r="AN1322" i="1"/>
  <c r="AM1322" i="1"/>
  <c r="AO1330" i="1"/>
  <c r="AN1330" i="1"/>
  <c r="AM1330" i="1"/>
  <c r="AO1338" i="1"/>
  <c r="AN1338" i="1"/>
  <c r="AM1338" i="1"/>
  <c r="AO1346" i="1"/>
  <c r="AN1346" i="1"/>
  <c r="AO1354" i="1"/>
  <c r="AN1354" i="1"/>
  <c r="AM1354" i="1"/>
  <c r="AO1362" i="1"/>
  <c r="AN1362" i="1"/>
  <c r="AM1362" i="1"/>
  <c r="AO1370" i="1"/>
  <c r="AN1370" i="1"/>
  <c r="AM1370" i="1"/>
  <c r="AO1378" i="1"/>
  <c r="AN1378" i="1"/>
  <c r="AM1378" i="1"/>
  <c r="AO1386" i="1"/>
  <c r="AN1386" i="1"/>
  <c r="AM1386" i="1"/>
  <c r="AO1394" i="1"/>
  <c r="AN1394" i="1"/>
  <c r="AM1394" i="1"/>
  <c r="AO1402" i="1"/>
  <c r="AN1402" i="1"/>
  <c r="AM1402" i="1"/>
  <c r="AO1410" i="1"/>
  <c r="AN1410" i="1"/>
  <c r="AM1410" i="1"/>
  <c r="AO1418" i="1"/>
  <c r="AN1418" i="1"/>
  <c r="AM1418" i="1"/>
  <c r="AO1426" i="1"/>
  <c r="AN1426" i="1"/>
  <c r="AM1426" i="1"/>
  <c r="AO1434" i="1"/>
  <c r="AN1434" i="1"/>
  <c r="AM1434" i="1"/>
  <c r="AO1442" i="1"/>
  <c r="AN1442" i="1"/>
  <c r="AM1442" i="1"/>
  <c r="AO1450" i="1"/>
  <c r="AN1450" i="1"/>
  <c r="AM1450" i="1"/>
  <c r="AO1458" i="1"/>
  <c r="AN1458" i="1"/>
  <c r="AM1458" i="1"/>
  <c r="AL882" i="1"/>
  <c r="AL873" i="1"/>
  <c r="AL836" i="1"/>
  <c r="AL818" i="1"/>
  <c r="AL772" i="1"/>
  <c r="AL754" i="1"/>
  <c r="AL708" i="1"/>
  <c r="AL698" i="1"/>
  <c r="AL684" i="1"/>
  <c r="AM1282" i="1"/>
  <c r="AM1209" i="1"/>
  <c r="AL1266" i="1"/>
  <c r="AL1258" i="1"/>
  <c r="AL1250" i="1"/>
  <c r="AL1242" i="1"/>
  <c r="AL1234" i="1"/>
  <c r="AL1226" i="1"/>
  <c r="AL1218" i="1"/>
  <c r="AL1210" i="1"/>
  <c r="AL1202" i="1"/>
  <c r="AL1194" i="1"/>
  <c r="AL1186" i="1"/>
  <c r="AL1178" i="1"/>
  <c r="AL1170" i="1"/>
  <c r="AL1162" i="1"/>
  <c r="AL1154" i="1"/>
  <c r="AL1146" i="1"/>
  <c r="AL1138" i="1"/>
  <c r="AL1130" i="1"/>
  <c r="AL1122" i="1"/>
  <c r="AL1114" i="1"/>
  <c r="AL1106" i="1"/>
  <c r="AL1098" i="1"/>
  <c r="AL1090" i="1"/>
  <c r="AL1082" i="1"/>
  <c r="AL1074" i="1"/>
  <c r="AL1066" i="1"/>
  <c r="AL1058" i="1"/>
  <c r="AL1050" i="1"/>
  <c r="AL1042" i="1"/>
  <c r="AL1034" i="1"/>
  <c r="AL1026" i="1"/>
  <c r="AL1018" i="1"/>
  <c r="AL1010" i="1"/>
  <c r="AL1002" i="1"/>
  <c r="AL994" i="1"/>
  <c r="AL986" i="1"/>
  <c r="AL978" i="1"/>
  <c r="AL970" i="1"/>
  <c r="AL962" i="1"/>
  <c r="AL954" i="1"/>
  <c r="AL946" i="1"/>
  <c r="AL938" i="1"/>
  <c r="AL930" i="1"/>
  <c r="AL922" i="1"/>
  <c r="AL914" i="1"/>
  <c r="AL906" i="1"/>
  <c r="AL898" i="1"/>
  <c r="AL890" i="1"/>
  <c r="AL881" i="1"/>
  <c r="AL844" i="1"/>
  <c r="AL826" i="1"/>
  <c r="AL780" i="1"/>
  <c r="AL762" i="1"/>
  <c r="AL716" i="1"/>
  <c r="AM1346" i="1"/>
  <c r="AM1273" i="1"/>
  <c r="AO1470" i="1"/>
  <c r="AL1470" i="1"/>
  <c r="AO1469" i="1"/>
  <c r="AL1469" i="1"/>
  <c r="AO1464" i="1"/>
  <c r="AL1468" i="1"/>
  <c r="AL1467" i="1"/>
  <c r="AL1466" i="1"/>
  <c r="AL1465" i="1"/>
  <c r="D24" i="2"/>
  <c r="B24" i="2"/>
  <c r="C2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<sst xmlns="http://schemas.openxmlformats.org/spreadsheetml/2006/main" count="13389" uniqueCount="118">
  <si>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</si>
  <si>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</si>
  <si>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</si>
  <si>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</si>
  <si>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</si>
  <si>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</si>
  <si>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</si>
  <si>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</si>
  <si>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</si>
  <si>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</si>
  <si>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</si>
  <si>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</si>
  <si>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</si>
  <si>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</si>
  <si>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</si>
  <si>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</si>
  <si>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</si>
  <si>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</si>
  <si>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</si>
  <si>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</si>
  <si>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</si>
  <si>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</si>
  <si>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</si>
  <si>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</si>
  <si>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</si>
  <si>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</si>
  <si>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</si>
  <si>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</si>
  <si>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</si>
  <si>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</si>
  <si>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</si>
  <si>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</si>
  <si>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</si>
  <si>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</si>
  <si>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</si>
  <si>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</si>
  <si>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</si>
  <si>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</si>
  <si>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</si>
  <si>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</si>
  <si>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</si>
  <si>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</si>
  <si>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</si>
  <si>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</si>
  <si>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</si>
  <si>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</si>
  <si>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</si>
  <si>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</si>
  <si>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</si>
  <si>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</si>
  <si>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</si>
  <si>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</si>
  <si>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</si>
  <si>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</si>
  <si>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</si>
  <si>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</si>
  <si>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</si>
  <si>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</si>
  <si>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</si>
  <si>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</si>
  <si>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</si>
  <si>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</si>
  <si>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 </t>
  </si>
  <si>
    <t>Employees who left</t>
  </si>
  <si>
    <t>Total Employees</t>
  </si>
  <si>
    <t>Atrrition Rate</t>
  </si>
  <si>
    <t>HR</t>
  </si>
  <si>
    <t>R&amp;D</t>
  </si>
  <si>
    <t>Atrrition rate</t>
  </si>
  <si>
    <t>Attrition Rate</t>
  </si>
  <si>
    <t>Grand Total</t>
  </si>
  <si>
    <t>Average of JobSatisfaction</t>
  </si>
  <si>
    <t>Job Role</t>
  </si>
  <si>
    <t>Column Labels</t>
  </si>
  <si>
    <t>Sum of EmployeeNumber</t>
  </si>
  <si>
    <t>Monthly Income of Atrrition Employees</t>
  </si>
  <si>
    <t>Atrrition Numeric</t>
  </si>
  <si>
    <t>Performance Rating</t>
  </si>
  <si>
    <t>Count of PerformanceRating</t>
  </si>
  <si>
    <t>Overtime Employee</t>
  </si>
  <si>
    <t>Average number of years Work at Adecco India</t>
  </si>
  <si>
    <t>Age vs Attrition</t>
  </si>
  <si>
    <t>Monthly income vs Attrition</t>
  </si>
  <si>
    <t>Years at Company vs Attrition</t>
  </si>
  <si>
    <t>ABS</t>
  </si>
  <si>
    <t xml:space="preserve">The three factors examined and shows that there is negative weak correlation of Age, Monthly Income &amp; Years at Company with Attrition. </t>
  </si>
  <si>
    <t>In the analysis most of the correlation show in weak negative, this suggest that higher income, greater age, and longer working experience are each associated with slightly lower attrition.</t>
  </si>
  <si>
    <t>Job Involvement</t>
  </si>
  <si>
    <t>Count of EmployeeNumber</t>
  </si>
  <si>
    <t>Marrital Status</t>
  </si>
  <si>
    <t>Training Time Last Year</t>
  </si>
  <si>
    <t>Stock Option Level</t>
  </si>
  <si>
    <t>Business Travel</t>
  </si>
  <si>
    <t>No.of Departments</t>
  </si>
  <si>
    <t>Total Female Staff</t>
  </si>
  <si>
    <t>Total Male Staff</t>
  </si>
  <si>
    <t>Average Age who left Company</t>
  </si>
  <si>
    <t>Count of EmployeeCount</t>
  </si>
  <si>
    <t>What is the overall attrition rate at Adecco India?</t>
  </si>
  <si>
    <t>Which department has the highest attrition rate?</t>
  </si>
  <si>
    <t>What is the average age of employees who have left the company?</t>
  </si>
  <si>
    <t>How does job satisfaction vary across different job roles?</t>
  </si>
  <si>
    <t>What is the average monthly income of employees who have left the company?</t>
  </si>
  <si>
    <t>Is there a significant difference in attrition rates between male and female employees?</t>
  </si>
  <si>
    <t>How does distance from home impact employee attrition?</t>
  </si>
  <si>
    <t>What is the distribution of performance ratings among employees?</t>
  </si>
  <si>
    <t>How many employees work overtime regularly?</t>
  </si>
  <si>
    <t>What is the average number of years employees have worked at Adecco India?</t>
  </si>
  <si>
    <t>What are the top three factors contributing to employee attrition at Adecco India?</t>
  </si>
  <si>
    <t>How does the attrition rate vary with different levels of job involvement?</t>
  </si>
  <si>
    <t>Is there a relationship between employee age and job satisfaction?</t>
  </si>
  <si>
    <t>How does marital status impact employee attrition?</t>
  </si>
  <si>
    <t>What is the impact of training on employee attrition?</t>
  </si>
  <si>
    <t>How does work-life balance affect employee performance ratings?</t>
  </si>
  <si>
    <t>What is the effect of stock options on employee attrition?</t>
  </si>
  <si>
    <t>How does employee tenure relate to job satisfaction?</t>
  </si>
  <si>
    <t>What is the impact of business travel on job satisfaction?</t>
  </si>
  <si>
    <t>How do years since last promotion affect employee performance?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</si>
</sst>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/>
    <xf numFmtId="9" fontId="3" fillId="2" borderId="0" xfId="1" applyFont="1" applyFill="1"/>
    <xf numFmtId="0" fontId="3" fillId="2" borderId="0" xfId="0" applyFont="1" applyFill="1" applyAlignment="1">
      <alignment horizontal="center"/>
    </xf>
    <xf numFmtId="2" fontId="3" fillId="3" borderId="0" xfId="0" applyNumberFormat="1" applyFont="1" applyFill="1"/>
    <xf numFmtId="0" fontId="3" fillId="3" borderId="0" xfId="0" applyFont="1" applyFill="1"/>
    <xf numFmtId="0" fontId="4" fillId="2" borderId="0" xfId="0" applyFont="1" applyFill="1" applyAlignment="1">
      <alignment horizontal="left" vertical="center" indent="1"/>
    </xf>
    <xf numFmtId="0" fontId="2" fillId="2" borderId="0" xfId="0" applyFont="1" applyFill="1"/>
    <xf numFmtId="0" fontId="5" fillId="0" borderId="0" xfId="0" applyFont="1" applyAlignment="1">
      <alignment horizontal="left" vertical="center" indent="2"/>
    </xf>
    <xf numFmtId="0" fontId="0" fillId="0" borderId="0" xfId="0" pivotButton="1"/>
    <xf numFmtId="0" fontId="0" fillId="0" borderId="0" xfId="0" applyAlignment="1">
      <alignment horizontal="left"/>
    </xf>
    <xf numFmtId="0" fontId="6" fillId="5" borderId="1" xfId="0" applyFont="1" applyFill="1" applyBorder="1"/>
    <xf numFmtId="9" fontId="0" fillId="0" borderId="0" xfId="1" applyFont="1"/>
    <xf numFmtId="0" fontId="3" fillId="6" borderId="0" xfId="0" applyFont="1" applyFill="1" applyAlignment="1">
      <alignment horizontal="center"/>
    </xf>
    <xf numFmtId="9" fontId="3" fillId="6" borderId="0" xfId="1" applyFont="1" applyFill="1" applyAlignment="1">
      <alignment horizontal="center"/>
    </xf>
    <xf numFmtId="0" fontId="7" fillId="2" borderId="0" xfId="0" applyFont="1" applyFill="1" applyAlignment="1">
      <alignment horizontal="left" vertical="center" indent="1"/>
    </xf>
    <xf numFmtId="0" fontId="2" fillId="6" borderId="0" xfId="0" applyFont="1" applyFill="1" applyAlignment="1">
      <alignment horizontal="center"/>
    </xf>
    <xf numFmtId="0" fontId="3" fillId="7" borderId="0" xfId="0" applyFont="1" applyFill="1"/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left"/>
    </xf>
    <xf numFmtId="0" fontId="3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5" fillId="0" borderId="0" xfId="0" applyFont="1" applyAlignment="1">
      <alignment horizontal="left" vertical="center" indent="3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10" borderId="0" xfId="0" applyFont="1" applyFill="1"/>
    <xf numFmtId="9" fontId="6" fillId="5" borderId="1" xfId="1" applyFont="1" applyFill="1" applyBorder="1"/>
    <xf numFmtId="0" fontId="6" fillId="5" borderId="1" xfId="0" applyFont="1" applyFill="1" applyBorder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0" fillId="11" borderId="0" xfId="0" applyFill="1"/>
  </cellXfs>
  <cellStyles count="2">
    <cellStyle name="Normal" xfId="0" builtinId="0"/>
    <cellStyle name="Percent" xfId="1" builtinId="5"/>
  </cellStyles>
  <dxfs count="6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1" defaultTableStyle="TableStyleMedium2" defaultPivotStyle="PivotStyleLight16">
    <tableStyle name="Invisible" pivot="0" table="0" count="0" xr9:uid="{C959757B-2CF6-4D9E-B35A-9D985D25AF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'Basic level answers'!$B$47</c:f>
              <c:strCache>
                <c:ptCount val="1"/>
                <c:pt idx="0">
                  <c:v>Average Age who left Company</c:v>
                </c:pt>
              </c:strCache>
            </c:strRef>
          </c:tx>
          <c:explosion val="89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71E-46B5-A216-0461EE8A95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'Basic level answers'!$B$48</c:f>
              <c:numCache>
                <c:formatCode>General</c:formatCode>
                <c:ptCount val="1"/>
                <c:pt idx="0">
                  <c:v>33.607594936708864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E-4632-BF29-95DC5FD25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Dashboard.xlsx]Basic level answers!PivotTable3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'Basic level answers'!$C$64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BB-4AA7-8D07-A793BFAE160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BB-4AA7-8D07-A793BFAE160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BB-4AA7-8D07-A793BFAE160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3BB-4AA7-8D07-A793BFAE160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3BB-4AA7-8D07-A793BFAE160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3BB-4AA7-8D07-A793BFAE160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3BB-4AA7-8D07-A793BFAE160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3BB-4AA7-8D07-A793BFAE160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3BB-4AA7-8D07-A793BFAE16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level answers'!$B$65:$B$74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'Basic level answers'!$C$65:$C$74</c:f>
              <c:numCache>
                <c:formatCode>General</c:formatCode>
                <c:ptCount val="9"/>
                <c:pt idx="0">
                  <c:v>2.7862595419847329</c:v>
                </c:pt>
                <c:pt idx="1">
                  <c:v>2.5576923076923075</c:v>
                </c:pt>
                <c:pt idx="2">
                  <c:v>2.6911196911196913</c:v>
                </c:pt>
                <c:pt idx="3">
                  <c:v>2.7058823529411766</c:v>
                </c:pt>
                <c:pt idx="4">
                  <c:v>2.682758620689655</c:v>
                </c:pt>
                <c:pt idx="5">
                  <c:v>2.7</c:v>
                </c:pt>
                <c:pt idx="6">
                  <c:v>2.7739726027397262</c:v>
                </c:pt>
                <c:pt idx="7">
                  <c:v>2.7546012269938651</c:v>
                </c:pt>
                <c:pt idx="8">
                  <c:v>2.7349397590361444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3BB-4AA7-8D07-A793BFAE16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Atrrition Due To Home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Dataset!$AK$1</c:f>
              <c:strCache>
                <c:ptCount val="1"/>
                <c:pt idx="0">
                  <c:v>Atrrition Numeric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Dataset!$F$2:$F$1471</c:f>
              <c:numCache>
                <c:formatCode>General</c:formatCode>
                <c:ptCount val="1470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xVal>
          <c:yVal>
            <c:numRef>
              <c:f>Dataset!$AK$2:$AK$1471</c:f>
              <c:numCache>
                <c:formatCode>General</c:formatCode>
                <c:ptCount val="147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E0-434F-A913-104415987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778448"/>
        <c:axId val="2033293264"/>
      </c:scatterChart>
      <c:valAx>
        <c:axId val="213977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From Home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93264"/>
        <c:crosses val="autoZero"/>
        <c:crossBetween val="midCat"/>
      </c:valAx>
      <c:valAx>
        <c:axId val="203329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</a:t>
                </a:r>
                <a:r>
                  <a:rPr lang="en-US" baseline="0"/>
                  <a:t> Numeric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77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Dashboard.xlsx]Basic level answers!PivotTable4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level answers'!$C$133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 answers'!$B$134:$B$136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'Basic level answers'!$C$134:$C$136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A-46F6-A4B6-36FB42CED4B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39829024"/>
        <c:axId val="2033260624"/>
      </c:barChart>
      <c:catAx>
        <c:axId val="213982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60624"/>
        <c:crosses val="autoZero"/>
        <c:auto val="1"/>
        <c:lblAlgn val="ctr"/>
        <c:lblOffset val="100"/>
        <c:noMultiLvlLbl val="0"/>
      </c:catAx>
      <c:valAx>
        <c:axId val="203326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82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Overtime</a:t>
            </a:r>
            <a:r>
              <a:rPr lang="en-US" baseline="0"/>
              <a:t> Employees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level answers'!$B$154</c:f>
              <c:strCache>
                <c:ptCount val="1"/>
                <c:pt idx="0">
                  <c:v>Overtime Employee</c:v>
                </c:pt>
              </c:strCache>
            </c:strRef>
          </c:cat>
          <c:val>
            <c:numRef>
              <c:f>'Basic level answers'!$B$155</c:f>
              <c:numCache>
                <c:formatCode>General</c:formatCode>
                <c:ptCount val="1"/>
                <c:pt idx="0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1-4543-B519-7B6FA6A76AA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'Basic level answers'!$B$154</c:f>
              <c:strCache>
                <c:ptCount val="1"/>
                <c:pt idx="0">
                  <c:v>Overtime Employee</c:v>
                </c:pt>
              </c:strCache>
            </c:strRef>
          </c:cat>
          <c:val>
            <c:numRef>
              <c:f>'Basic level answers'!$B$156</c:f>
              <c:numCache>
                <c:formatCode>General</c:formatCode>
                <c:ptCount val="1"/>
                <c:pt idx="0">
                  <c:v>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1-4543-B519-7B6FA6A7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813248"/>
        <c:axId val="2033258704"/>
      </c:barChart>
      <c:catAx>
        <c:axId val="213981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58704"/>
        <c:crosses val="autoZero"/>
        <c:auto val="1"/>
        <c:lblAlgn val="ctr"/>
        <c:lblOffset val="100"/>
        <c:noMultiLvlLbl val="0"/>
      </c:catAx>
      <c:valAx>
        <c:axId val="203325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81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Wise Attrition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12-4251-BE6C-F39481B3D0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12-4251-BE6C-F39481B3D0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12-4251-BE6C-F39481B3D03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level answers'!$B$21:$D$21</c:f>
              <c:strCache>
                <c:ptCount val="3"/>
                <c:pt idx="0">
                  <c:v>Sales</c:v>
                </c:pt>
                <c:pt idx="1">
                  <c:v>HR</c:v>
                </c:pt>
                <c:pt idx="2">
                  <c:v>R&amp;D</c:v>
                </c:pt>
              </c:strCache>
            </c:strRef>
          </c:cat>
          <c:val>
            <c:numRef>
              <c:f>'Basic level answers'!$B$22:$D$22</c:f>
              <c:numCache>
                <c:formatCode>General</c:formatCode>
                <c:ptCount val="3"/>
                <c:pt idx="0">
                  <c:v>446</c:v>
                </c:pt>
                <c:pt idx="1">
                  <c:v>63</c:v>
                </c:pt>
                <c:pt idx="2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E-4F28-BAA6-0305E4396A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'Basic level answers'!$B$92</c:f>
              <c:strCache>
                <c:ptCount val="1"/>
                <c:pt idx="0">
                  <c:v>Atrrition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EB-4911-891E-3D207C6D2C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EB-4911-891E-3D207C6D2C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'Basic level answers'!$B$93:$B$94</c:f>
              <c:numCache>
                <c:formatCode>0%</c:formatCode>
                <c:ptCount val="2"/>
                <c:pt idx="0">
                  <c:v>0.14795918367346939</c:v>
                </c:pt>
                <c:pt idx="1">
                  <c:v>0.17006802721088435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D-4A03-85A6-D47F7085A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Dataset!$Q$1</c:f>
              <c:strCache>
                <c:ptCount val="1"/>
                <c:pt idx="0">
                  <c:v>JobSatisfaction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Dataset!$A$2:$A$1471</c:f>
              <c:numCache>
                <c:formatCode>General</c:formatCode>
                <c:ptCount val="1470"/>
                <c:pt idx="0">
                  <c:v>41</c:v>
                </c:pt>
                <c:pt idx="1">
                  <c:v>49</c:v>
                </c:pt>
                <c:pt idx="2">
                  <c:v>37</c:v>
                </c:pt>
                <c:pt idx="3">
                  <c:v>33</c:v>
                </c:pt>
                <c:pt idx="4">
                  <c:v>27</c:v>
                </c:pt>
                <c:pt idx="5">
                  <c:v>32</c:v>
                </c:pt>
                <c:pt idx="6">
                  <c:v>59</c:v>
                </c:pt>
                <c:pt idx="7">
                  <c:v>30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29</c:v>
                </c:pt>
                <c:pt idx="12">
                  <c:v>31</c:v>
                </c:pt>
                <c:pt idx="13">
                  <c:v>34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22</c:v>
                </c:pt>
                <c:pt idx="18">
                  <c:v>53</c:v>
                </c:pt>
                <c:pt idx="19">
                  <c:v>38</c:v>
                </c:pt>
                <c:pt idx="20">
                  <c:v>24</c:v>
                </c:pt>
                <c:pt idx="21">
                  <c:v>36</c:v>
                </c:pt>
                <c:pt idx="22">
                  <c:v>34</c:v>
                </c:pt>
                <c:pt idx="23">
                  <c:v>21</c:v>
                </c:pt>
                <c:pt idx="24">
                  <c:v>34</c:v>
                </c:pt>
                <c:pt idx="25">
                  <c:v>53</c:v>
                </c:pt>
                <c:pt idx="26">
                  <c:v>32</c:v>
                </c:pt>
                <c:pt idx="27">
                  <c:v>42</c:v>
                </c:pt>
                <c:pt idx="28">
                  <c:v>44</c:v>
                </c:pt>
                <c:pt idx="29">
                  <c:v>46</c:v>
                </c:pt>
                <c:pt idx="30">
                  <c:v>33</c:v>
                </c:pt>
                <c:pt idx="31">
                  <c:v>44</c:v>
                </c:pt>
                <c:pt idx="32">
                  <c:v>30</c:v>
                </c:pt>
                <c:pt idx="33">
                  <c:v>39</c:v>
                </c:pt>
                <c:pt idx="34">
                  <c:v>24</c:v>
                </c:pt>
                <c:pt idx="35">
                  <c:v>43</c:v>
                </c:pt>
                <c:pt idx="36">
                  <c:v>50</c:v>
                </c:pt>
                <c:pt idx="37">
                  <c:v>35</c:v>
                </c:pt>
                <c:pt idx="38">
                  <c:v>36</c:v>
                </c:pt>
                <c:pt idx="39">
                  <c:v>33</c:v>
                </c:pt>
                <c:pt idx="40">
                  <c:v>35</c:v>
                </c:pt>
                <c:pt idx="41">
                  <c:v>27</c:v>
                </c:pt>
                <c:pt idx="42">
                  <c:v>26</c:v>
                </c:pt>
                <c:pt idx="43">
                  <c:v>27</c:v>
                </c:pt>
                <c:pt idx="44">
                  <c:v>30</c:v>
                </c:pt>
                <c:pt idx="45">
                  <c:v>41</c:v>
                </c:pt>
                <c:pt idx="46">
                  <c:v>34</c:v>
                </c:pt>
                <c:pt idx="47">
                  <c:v>37</c:v>
                </c:pt>
                <c:pt idx="48">
                  <c:v>46</c:v>
                </c:pt>
                <c:pt idx="49">
                  <c:v>35</c:v>
                </c:pt>
                <c:pt idx="50">
                  <c:v>48</c:v>
                </c:pt>
                <c:pt idx="51">
                  <c:v>28</c:v>
                </c:pt>
                <c:pt idx="52">
                  <c:v>44</c:v>
                </c:pt>
                <c:pt idx="53">
                  <c:v>35</c:v>
                </c:pt>
                <c:pt idx="54">
                  <c:v>26</c:v>
                </c:pt>
                <c:pt idx="55">
                  <c:v>33</c:v>
                </c:pt>
                <c:pt idx="56">
                  <c:v>35</c:v>
                </c:pt>
                <c:pt idx="57">
                  <c:v>35</c:v>
                </c:pt>
                <c:pt idx="58">
                  <c:v>31</c:v>
                </c:pt>
                <c:pt idx="59">
                  <c:v>37</c:v>
                </c:pt>
                <c:pt idx="60">
                  <c:v>32</c:v>
                </c:pt>
                <c:pt idx="61">
                  <c:v>38</c:v>
                </c:pt>
                <c:pt idx="62">
                  <c:v>50</c:v>
                </c:pt>
                <c:pt idx="63">
                  <c:v>59</c:v>
                </c:pt>
                <c:pt idx="64">
                  <c:v>36</c:v>
                </c:pt>
                <c:pt idx="65">
                  <c:v>55</c:v>
                </c:pt>
                <c:pt idx="66">
                  <c:v>36</c:v>
                </c:pt>
                <c:pt idx="67">
                  <c:v>45</c:v>
                </c:pt>
                <c:pt idx="68">
                  <c:v>35</c:v>
                </c:pt>
                <c:pt idx="69">
                  <c:v>36</c:v>
                </c:pt>
                <c:pt idx="70">
                  <c:v>59</c:v>
                </c:pt>
                <c:pt idx="71">
                  <c:v>29</c:v>
                </c:pt>
                <c:pt idx="72">
                  <c:v>31</c:v>
                </c:pt>
                <c:pt idx="73">
                  <c:v>32</c:v>
                </c:pt>
                <c:pt idx="74">
                  <c:v>36</c:v>
                </c:pt>
                <c:pt idx="75">
                  <c:v>31</c:v>
                </c:pt>
                <c:pt idx="76">
                  <c:v>35</c:v>
                </c:pt>
                <c:pt idx="77">
                  <c:v>45</c:v>
                </c:pt>
                <c:pt idx="78">
                  <c:v>37</c:v>
                </c:pt>
                <c:pt idx="79">
                  <c:v>46</c:v>
                </c:pt>
                <c:pt idx="80">
                  <c:v>30</c:v>
                </c:pt>
                <c:pt idx="81">
                  <c:v>35</c:v>
                </c:pt>
                <c:pt idx="82">
                  <c:v>55</c:v>
                </c:pt>
                <c:pt idx="83">
                  <c:v>38</c:v>
                </c:pt>
                <c:pt idx="84">
                  <c:v>34</c:v>
                </c:pt>
                <c:pt idx="85">
                  <c:v>56</c:v>
                </c:pt>
                <c:pt idx="86">
                  <c:v>23</c:v>
                </c:pt>
                <c:pt idx="87">
                  <c:v>51</c:v>
                </c:pt>
                <c:pt idx="88">
                  <c:v>30</c:v>
                </c:pt>
                <c:pt idx="89">
                  <c:v>46</c:v>
                </c:pt>
                <c:pt idx="90">
                  <c:v>40</c:v>
                </c:pt>
                <c:pt idx="91">
                  <c:v>51</c:v>
                </c:pt>
                <c:pt idx="92">
                  <c:v>30</c:v>
                </c:pt>
                <c:pt idx="93">
                  <c:v>46</c:v>
                </c:pt>
                <c:pt idx="94">
                  <c:v>32</c:v>
                </c:pt>
                <c:pt idx="95">
                  <c:v>54</c:v>
                </c:pt>
                <c:pt idx="96">
                  <c:v>24</c:v>
                </c:pt>
                <c:pt idx="97">
                  <c:v>28</c:v>
                </c:pt>
                <c:pt idx="98">
                  <c:v>58</c:v>
                </c:pt>
                <c:pt idx="99">
                  <c:v>44</c:v>
                </c:pt>
                <c:pt idx="100">
                  <c:v>37</c:v>
                </c:pt>
                <c:pt idx="101">
                  <c:v>32</c:v>
                </c:pt>
                <c:pt idx="102">
                  <c:v>20</c:v>
                </c:pt>
                <c:pt idx="103">
                  <c:v>34</c:v>
                </c:pt>
                <c:pt idx="104">
                  <c:v>37</c:v>
                </c:pt>
                <c:pt idx="105">
                  <c:v>59</c:v>
                </c:pt>
                <c:pt idx="106">
                  <c:v>50</c:v>
                </c:pt>
                <c:pt idx="107">
                  <c:v>25</c:v>
                </c:pt>
                <c:pt idx="108">
                  <c:v>25</c:v>
                </c:pt>
                <c:pt idx="109">
                  <c:v>22</c:v>
                </c:pt>
                <c:pt idx="110">
                  <c:v>51</c:v>
                </c:pt>
                <c:pt idx="111">
                  <c:v>34</c:v>
                </c:pt>
                <c:pt idx="112">
                  <c:v>54</c:v>
                </c:pt>
                <c:pt idx="113">
                  <c:v>24</c:v>
                </c:pt>
                <c:pt idx="114">
                  <c:v>34</c:v>
                </c:pt>
                <c:pt idx="115">
                  <c:v>37</c:v>
                </c:pt>
                <c:pt idx="116">
                  <c:v>34</c:v>
                </c:pt>
                <c:pt idx="117">
                  <c:v>36</c:v>
                </c:pt>
                <c:pt idx="118">
                  <c:v>36</c:v>
                </c:pt>
                <c:pt idx="119">
                  <c:v>43</c:v>
                </c:pt>
                <c:pt idx="120">
                  <c:v>30</c:v>
                </c:pt>
                <c:pt idx="121">
                  <c:v>33</c:v>
                </c:pt>
                <c:pt idx="122">
                  <c:v>56</c:v>
                </c:pt>
                <c:pt idx="123">
                  <c:v>51</c:v>
                </c:pt>
                <c:pt idx="124">
                  <c:v>31</c:v>
                </c:pt>
                <c:pt idx="125">
                  <c:v>26</c:v>
                </c:pt>
                <c:pt idx="126">
                  <c:v>58</c:v>
                </c:pt>
                <c:pt idx="127">
                  <c:v>19</c:v>
                </c:pt>
                <c:pt idx="128">
                  <c:v>22</c:v>
                </c:pt>
                <c:pt idx="129">
                  <c:v>49</c:v>
                </c:pt>
                <c:pt idx="130">
                  <c:v>43</c:v>
                </c:pt>
                <c:pt idx="131">
                  <c:v>50</c:v>
                </c:pt>
                <c:pt idx="132">
                  <c:v>31</c:v>
                </c:pt>
                <c:pt idx="133">
                  <c:v>41</c:v>
                </c:pt>
                <c:pt idx="134">
                  <c:v>26</c:v>
                </c:pt>
                <c:pt idx="135">
                  <c:v>36</c:v>
                </c:pt>
                <c:pt idx="136">
                  <c:v>51</c:v>
                </c:pt>
                <c:pt idx="137">
                  <c:v>39</c:v>
                </c:pt>
                <c:pt idx="138">
                  <c:v>25</c:v>
                </c:pt>
                <c:pt idx="139">
                  <c:v>30</c:v>
                </c:pt>
                <c:pt idx="140">
                  <c:v>32</c:v>
                </c:pt>
                <c:pt idx="141">
                  <c:v>45</c:v>
                </c:pt>
                <c:pt idx="142">
                  <c:v>38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30</c:v>
                </c:pt>
                <c:pt idx="147">
                  <c:v>41</c:v>
                </c:pt>
                <c:pt idx="148">
                  <c:v>41</c:v>
                </c:pt>
                <c:pt idx="149">
                  <c:v>19</c:v>
                </c:pt>
                <c:pt idx="150">
                  <c:v>40</c:v>
                </c:pt>
                <c:pt idx="151">
                  <c:v>35</c:v>
                </c:pt>
                <c:pt idx="152">
                  <c:v>53</c:v>
                </c:pt>
                <c:pt idx="153">
                  <c:v>45</c:v>
                </c:pt>
                <c:pt idx="154">
                  <c:v>32</c:v>
                </c:pt>
                <c:pt idx="155">
                  <c:v>29</c:v>
                </c:pt>
                <c:pt idx="156">
                  <c:v>51</c:v>
                </c:pt>
                <c:pt idx="157">
                  <c:v>58</c:v>
                </c:pt>
                <c:pt idx="158">
                  <c:v>40</c:v>
                </c:pt>
                <c:pt idx="159">
                  <c:v>34</c:v>
                </c:pt>
                <c:pt idx="160">
                  <c:v>22</c:v>
                </c:pt>
                <c:pt idx="161">
                  <c:v>27</c:v>
                </c:pt>
                <c:pt idx="162">
                  <c:v>28</c:v>
                </c:pt>
                <c:pt idx="163">
                  <c:v>57</c:v>
                </c:pt>
                <c:pt idx="164">
                  <c:v>27</c:v>
                </c:pt>
                <c:pt idx="165">
                  <c:v>50</c:v>
                </c:pt>
                <c:pt idx="166">
                  <c:v>41</c:v>
                </c:pt>
                <c:pt idx="167">
                  <c:v>30</c:v>
                </c:pt>
                <c:pt idx="168">
                  <c:v>38</c:v>
                </c:pt>
                <c:pt idx="169">
                  <c:v>32</c:v>
                </c:pt>
                <c:pt idx="170">
                  <c:v>27</c:v>
                </c:pt>
                <c:pt idx="171">
                  <c:v>19</c:v>
                </c:pt>
                <c:pt idx="172">
                  <c:v>36</c:v>
                </c:pt>
                <c:pt idx="173">
                  <c:v>30</c:v>
                </c:pt>
                <c:pt idx="174">
                  <c:v>45</c:v>
                </c:pt>
                <c:pt idx="175">
                  <c:v>56</c:v>
                </c:pt>
                <c:pt idx="176">
                  <c:v>33</c:v>
                </c:pt>
                <c:pt idx="177">
                  <c:v>19</c:v>
                </c:pt>
                <c:pt idx="178">
                  <c:v>46</c:v>
                </c:pt>
                <c:pt idx="179">
                  <c:v>38</c:v>
                </c:pt>
                <c:pt idx="180">
                  <c:v>31</c:v>
                </c:pt>
                <c:pt idx="181">
                  <c:v>34</c:v>
                </c:pt>
                <c:pt idx="182">
                  <c:v>41</c:v>
                </c:pt>
                <c:pt idx="183">
                  <c:v>50</c:v>
                </c:pt>
                <c:pt idx="184">
                  <c:v>53</c:v>
                </c:pt>
                <c:pt idx="185">
                  <c:v>33</c:v>
                </c:pt>
                <c:pt idx="186">
                  <c:v>40</c:v>
                </c:pt>
                <c:pt idx="187">
                  <c:v>55</c:v>
                </c:pt>
                <c:pt idx="188">
                  <c:v>34</c:v>
                </c:pt>
                <c:pt idx="189">
                  <c:v>51</c:v>
                </c:pt>
                <c:pt idx="190">
                  <c:v>52</c:v>
                </c:pt>
                <c:pt idx="191">
                  <c:v>27</c:v>
                </c:pt>
                <c:pt idx="192">
                  <c:v>35</c:v>
                </c:pt>
                <c:pt idx="193">
                  <c:v>43</c:v>
                </c:pt>
                <c:pt idx="194">
                  <c:v>45</c:v>
                </c:pt>
                <c:pt idx="195">
                  <c:v>37</c:v>
                </c:pt>
                <c:pt idx="196">
                  <c:v>35</c:v>
                </c:pt>
                <c:pt idx="197">
                  <c:v>42</c:v>
                </c:pt>
                <c:pt idx="198">
                  <c:v>38</c:v>
                </c:pt>
                <c:pt idx="199">
                  <c:v>38</c:v>
                </c:pt>
                <c:pt idx="200">
                  <c:v>27</c:v>
                </c:pt>
                <c:pt idx="201">
                  <c:v>49</c:v>
                </c:pt>
                <c:pt idx="202">
                  <c:v>34</c:v>
                </c:pt>
                <c:pt idx="203">
                  <c:v>40</c:v>
                </c:pt>
                <c:pt idx="204">
                  <c:v>38</c:v>
                </c:pt>
                <c:pt idx="205">
                  <c:v>29</c:v>
                </c:pt>
                <c:pt idx="206">
                  <c:v>22</c:v>
                </c:pt>
                <c:pt idx="207">
                  <c:v>36</c:v>
                </c:pt>
                <c:pt idx="208">
                  <c:v>40</c:v>
                </c:pt>
                <c:pt idx="209">
                  <c:v>46</c:v>
                </c:pt>
                <c:pt idx="210">
                  <c:v>32</c:v>
                </c:pt>
                <c:pt idx="211">
                  <c:v>30</c:v>
                </c:pt>
                <c:pt idx="212">
                  <c:v>27</c:v>
                </c:pt>
                <c:pt idx="213">
                  <c:v>51</c:v>
                </c:pt>
                <c:pt idx="214">
                  <c:v>30</c:v>
                </c:pt>
                <c:pt idx="215">
                  <c:v>41</c:v>
                </c:pt>
                <c:pt idx="216">
                  <c:v>30</c:v>
                </c:pt>
                <c:pt idx="217">
                  <c:v>29</c:v>
                </c:pt>
                <c:pt idx="218">
                  <c:v>45</c:v>
                </c:pt>
                <c:pt idx="219">
                  <c:v>54</c:v>
                </c:pt>
                <c:pt idx="220">
                  <c:v>36</c:v>
                </c:pt>
                <c:pt idx="221">
                  <c:v>33</c:v>
                </c:pt>
                <c:pt idx="222">
                  <c:v>37</c:v>
                </c:pt>
                <c:pt idx="223">
                  <c:v>38</c:v>
                </c:pt>
                <c:pt idx="224">
                  <c:v>31</c:v>
                </c:pt>
                <c:pt idx="225">
                  <c:v>59</c:v>
                </c:pt>
                <c:pt idx="226">
                  <c:v>37</c:v>
                </c:pt>
                <c:pt idx="227">
                  <c:v>29</c:v>
                </c:pt>
                <c:pt idx="228">
                  <c:v>35</c:v>
                </c:pt>
                <c:pt idx="229">
                  <c:v>29</c:v>
                </c:pt>
                <c:pt idx="230">
                  <c:v>52</c:v>
                </c:pt>
                <c:pt idx="231">
                  <c:v>42</c:v>
                </c:pt>
                <c:pt idx="232">
                  <c:v>59</c:v>
                </c:pt>
                <c:pt idx="233">
                  <c:v>50</c:v>
                </c:pt>
                <c:pt idx="234">
                  <c:v>33</c:v>
                </c:pt>
                <c:pt idx="235">
                  <c:v>43</c:v>
                </c:pt>
                <c:pt idx="236">
                  <c:v>33</c:v>
                </c:pt>
                <c:pt idx="237">
                  <c:v>52</c:v>
                </c:pt>
                <c:pt idx="238">
                  <c:v>32</c:v>
                </c:pt>
                <c:pt idx="239">
                  <c:v>32</c:v>
                </c:pt>
                <c:pt idx="240">
                  <c:v>39</c:v>
                </c:pt>
                <c:pt idx="241">
                  <c:v>32</c:v>
                </c:pt>
                <c:pt idx="242">
                  <c:v>41</c:v>
                </c:pt>
                <c:pt idx="243">
                  <c:v>40</c:v>
                </c:pt>
                <c:pt idx="244">
                  <c:v>45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37</c:v>
                </c:pt>
                <c:pt idx="249">
                  <c:v>45</c:v>
                </c:pt>
                <c:pt idx="250">
                  <c:v>37</c:v>
                </c:pt>
                <c:pt idx="251">
                  <c:v>39</c:v>
                </c:pt>
                <c:pt idx="252">
                  <c:v>29</c:v>
                </c:pt>
                <c:pt idx="253">
                  <c:v>42</c:v>
                </c:pt>
                <c:pt idx="254">
                  <c:v>29</c:v>
                </c:pt>
                <c:pt idx="255">
                  <c:v>25</c:v>
                </c:pt>
                <c:pt idx="256">
                  <c:v>42</c:v>
                </c:pt>
                <c:pt idx="257">
                  <c:v>40</c:v>
                </c:pt>
                <c:pt idx="258">
                  <c:v>51</c:v>
                </c:pt>
                <c:pt idx="259">
                  <c:v>31</c:v>
                </c:pt>
                <c:pt idx="260">
                  <c:v>32</c:v>
                </c:pt>
                <c:pt idx="261">
                  <c:v>38</c:v>
                </c:pt>
                <c:pt idx="262">
                  <c:v>32</c:v>
                </c:pt>
                <c:pt idx="263">
                  <c:v>46</c:v>
                </c:pt>
                <c:pt idx="264">
                  <c:v>28</c:v>
                </c:pt>
                <c:pt idx="265">
                  <c:v>29</c:v>
                </c:pt>
                <c:pt idx="266">
                  <c:v>31</c:v>
                </c:pt>
                <c:pt idx="267">
                  <c:v>25</c:v>
                </c:pt>
                <c:pt idx="268">
                  <c:v>45</c:v>
                </c:pt>
                <c:pt idx="269">
                  <c:v>36</c:v>
                </c:pt>
                <c:pt idx="270">
                  <c:v>55</c:v>
                </c:pt>
                <c:pt idx="271">
                  <c:v>47</c:v>
                </c:pt>
                <c:pt idx="272">
                  <c:v>28</c:v>
                </c:pt>
                <c:pt idx="273">
                  <c:v>37</c:v>
                </c:pt>
                <c:pt idx="274">
                  <c:v>21</c:v>
                </c:pt>
                <c:pt idx="275">
                  <c:v>37</c:v>
                </c:pt>
                <c:pt idx="276">
                  <c:v>35</c:v>
                </c:pt>
                <c:pt idx="277">
                  <c:v>38</c:v>
                </c:pt>
                <c:pt idx="278">
                  <c:v>26</c:v>
                </c:pt>
                <c:pt idx="279">
                  <c:v>50</c:v>
                </c:pt>
                <c:pt idx="280">
                  <c:v>53</c:v>
                </c:pt>
                <c:pt idx="281">
                  <c:v>42</c:v>
                </c:pt>
                <c:pt idx="282">
                  <c:v>29</c:v>
                </c:pt>
                <c:pt idx="283">
                  <c:v>55</c:v>
                </c:pt>
                <c:pt idx="284">
                  <c:v>26</c:v>
                </c:pt>
                <c:pt idx="285">
                  <c:v>37</c:v>
                </c:pt>
                <c:pt idx="286">
                  <c:v>44</c:v>
                </c:pt>
                <c:pt idx="287">
                  <c:v>38</c:v>
                </c:pt>
                <c:pt idx="288">
                  <c:v>26</c:v>
                </c:pt>
                <c:pt idx="289">
                  <c:v>28</c:v>
                </c:pt>
                <c:pt idx="290">
                  <c:v>49</c:v>
                </c:pt>
                <c:pt idx="291">
                  <c:v>36</c:v>
                </c:pt>
                <c:pt idx="292">
                  <c:v>31</c:v>
                </c:pt>
                <c:pt idx="293">
                  <c:v>26</c:v>
                </c:pt>
                <c:pt idx="294">
                  <c:v>37</c:v>
                </c:pt>
                <c:pt idx="295">
                  <c:v>42</c:v>
                </c:pt>
                <c:pt idx="296">
                  <c:v>18</c:v>
                </c:pt>
                <c:pt idx="297">
                  <c:v>35</c:v>
                </c:pt>
                <c:pt idx="298">
                  <c:v>36</c:v>
                </c:pt>
                <c:pt idx="299">
                  <c:v>51</c:v>
                </c:pt>
                <c:pt idx="300">
                  <c:v>41</c:v>
                </c:pt>
                <c:pt idx="301">
                  <c:v>18</c:v>
                </c:pt>
                <c:pt idx="302">
                  <c:v>28</c:v>
                </c:pt>
                <c:pt idx="303">
                  <c:v>31</c:v>
                </c:pt>
                <c:pt idx="304">
                  <c:v>39</c:v>
                </c:pt>
                <c:pt idx="305">
                  <c:v>36</c:v>
                </c:pt>
                <c:pt idx="306">
                  <c:v>32</c:v>
                </c:pt>
                <c:pt idx="307">
                  <c:v>38</c:v>
                </c:pt>
                <c:pt idx="308">
                  <c:v>58</c:v>
                </c:pt>
                <c:pt idx="309">
                  <c:v>31</c:v>
                </c:pt>
                <c:pt idx="310">
                  <c:v>31</c:v>
                </c:pt>
                <c:pt idx="311">
                  <c:v>45</c:v>
                </c:pt>
                <c:pt idx="312">
                  <c:v>31</c:v>
                </c:pt>
                <c:pt idx="313">
                  <c:v>33</c:v>
                </c:pt>
                <c:pt idx="314">
                  <c:v>39</c:v>
                </c:pt>
                <c:pt idx="315">
                  <c:v>43</c:v>
                </c:pt>
                <c:pt idx="316">
                  <c:v>49</c:v>
                </c:pt>
                <c:pt idx="317">
                  <c:v>52</c:v>
                </c:pt>
                <c:pt idx="318">
                  <c:v>27</c:v>
                </c:pt>
                <c:pt idx="319">
                  <c:v>32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28</c:v>
                </c:pt>
                <c:pt idx="324">
                  <c:v>30</c:v>
                </c:pt>
                <c:pt idx="325">
                  <c:v>31</c:v>
                </c:pt>
                <c:pt idx="326">
                  <c:v>39</c:v>
                </c:pt>
                <c:pt idx="327">
                  <c:v>39</c:v>
                </c:pt>
                <c:pt idx="328">
                  <c:v>33</c:v>
                </c:pt>
                <c:pt idx="329">
                  <c:v>47</c:v>
                </c:pt>
                <c:pt idx="330">
                  <c:v>43</c:v>
                </c:pt>
                <c:pt idx="331">
                  <c:v>27</c:v>
                </c:pt>
                <c:pt idx="332">
                  <c:v>54</c:v>
                </c:pt>
                <c:pt idx="333">
                  <c:v>43</c:v>
                </c:pt>
                <c:pt idx="334">
                  <c:v>45</c:v>
                </c:pt>
                <c:pt idx="335">
                  <c:v>40</c:v>
                </c:pt>
                <c:pt idx="336">
                  <c:v>29</c:v>
                </c:pt>
                <c:pt idx="337">
                  <c:v>29</c:v>
                </c:pt>
                <c:pt idx="338">
                  <c:v>30</c:v>
                </c:pt>
                <c:pt idx="339">
                  <c:v>27</c:v>
                </c:pt>
                <c:pt idx="340">
                  <c:v>37</c:v>
                </c:pt>
                <c:pt idx="341">
                  <c:v>38</c:v>
                </c:pt>
                <c:pt idx="342">
                  <c:v>31</c:v>
                </c:pt>
                <c:pt idx="343">
                  <c:v>29</c:v>
                </c:pt>
                <c:pt idx="344">
                  <c:v>35</c:v>
                </c:pt>
                <c:pt idx="345">
                  <c:v>23</c:v>
                </c:pt>
                <c:pt idx="346">
                  <c:v>41</c:v>
                </c:pt>
                <c:pt idx="347">
                  <c:v>47</c:v>
                </c:pt>
                <c:pt idx="348">
                  <c:v>42</c:v>
                </c:pt>
                <c:pt idx="349">
                  <c:v>29</c:v>
                </c:pt>
                <c:pt idx="350">
                  <c:v>42</c:v>
                </c:pt>
                <c:pt idx="351">
                  <c:v>32</c:v>
                </c:pt>
                <c:pt idx="352">
                  <c:v>48</c:v>
                </c:pt>
                <c:pt idx="353">
                  <c:v>37</c:v>
                </c:pt>
                <c:pt idx="354">
                  <c:v>30</c:v>
                </c:pt>
                <c:pt idx="355">
                  <c:v>26</c:v>
                </c:pt>
                <c:pt idx="356">
                  <c:v>42</c:v>
                </c:pt>
                <c:pt idx="357">
                  <c:v>21</c:v>
                </c:pt>
                <c:pt idx="358">
                  <c:v>36</c:v>
                </c:pt>
                <c:pt idx="359">
                  <c:v>36</c:v>
                </c:pt>
                <c:pt idx="360">
                  <c:v>57</c:v>
                </c:pt>
                <c:pt idx="361">
                  <c:v>40</c:v>
                </c:pt>
                <c:pt idx="362">
                  <c:v>21</c:v>
                </c:pt>
                <c:pt idx="363">
                  <c:v>33</c:v>
                </c:pt>
                <c:pt idx="364">
                  <c:v>37</c:v>
                </c:pt>
                <c:pt idx="365">
                  <c:v>46</c:v>
                </c:pt>
                <c:pt idx="366">
                  <c:v>41</c:v>
                </c:pt>
                <c:pt idx="367">
                  <c:v>50</c:v>
                </c:pt>
                <c:pt idx="368">
                  <c:v>40</c:v>
                </c:pt>
                <c:pt idx="369">
                  <c:v>31</c:v>
                </c:pt>
                <c:pt idx="370">
                  <c:v>21</c:v>
                </c:pt>
                <c:pt idx="371">
                  <c:v>29</c:v>
                </c:pt>
                <c:pt idx="372">
                  <c:v>35</c:v>
                </c:pt>
                <c:pt idx="373">
                  <c:v>27</c:v>
                </c:pt>
                <c:pt idx="374">
                  <c:v>28</c:v>
                </c:pt>
                <c:pt idx="375">
                  <c:v>49</c:v>
                </c:pt>
                <c:pt idx="376">
                  <c:v>51</c:v>
                </c:pt>
                <c:pt idx="377">
                  <c:v>36</c:v>
                </c:pt>
                <c:pt idx="378">
                  <c:v>34</c:v>
                </c:pt>
                <c:pt idx="379">
                  <c:v>55</c:v>
                </c:pt>
                <c:pt idx="380">
                  <c:v>24</c:v>
                </c:pt>
                <c:pt idx="381">
                  <c:v>30</c:v>
                </c:pt>
                <c:pt idx="382">
                  <c:v>26</c:v>
                </c:pt>
                <c:pt idx="383">
                  <c:v>22</c:v>
                </c:pt>
                <c:pt idx="384">
                  <c:v>36</c:v>
                </c:pt>
                <c:pt idx="385">
                  <c:v>30</c:v>
                </c:pt>
                <c:pt idx="386">
                  <c:v>37</c:v>
                </c:pt>
                <c:pt idx="387">
                  <c:v>40</c:v>
                </c:pt>
                <c:pt idx="388">
                  <c:v>42</c:v>
                </c:pt>
                <c:pt idx="389">
                  <c:v>37</c:v>
                </c:pt>
                <c:pt idx="390">
                  <c:v>43</c:v>
                </c:pt>
                <c:pt idx="391">
                  <c:v>40</c:v>
                </c:pt>
                <c:pt idx="392">
                  <c:v>54</c:v>
                </c:pt>
                <c:pt idx="393">
                  <c:v>34</c:v>
                </c:pt>
                <c:pt idx="394">
                  <c:v>31</c:v>
                </c:pt>
                <c:pt idx="395">
                  <c:v>43</c:v>
                </c:pt>
                <c:pt idx="396">
                  <c:v>43</c:v>
                </c:pt>
                <c:pt idx="397">
                  <c:v>25</c:v>
                </c:pt>
                <c:pt idx="398">
                  <c:v>37</c:v>
                </c:pt>
                <c:pt idx="399">
                  <c:v>31</c:v>
                </c:pt>
                <c:pt idx="400">
                  <c:v>39</c:v>
                </c:pt>
                <c:pt idx="401">
                  <c:v>56</c:v>
                </c:pt>
                <c:pt idx="402">
                  <c:v>30</c:v>
                </c:pt>
                <c:pt idx="403">
                  <c:v>41</c:v>
                </c:pt>
                <c:pt idx="404">
                  <c:v>28</c:v>
                </c:pt>
                <c:pt idx="405">
                  <c:v>25</c:v>
                </c:pt>
                <c:pt idx="406">
                  <c:v>52</c:v>
                </c:pt>
                <c:pt idx="407">
                  <c:v>45</c:v>
                </c:pt>
                <c:pt idx="408">
                  <c:v>52</c:v>
                </c:pt>
                <c:pt idx="409">
                  <c:v>42</c:v>
                </c:pt>
                <c:pt idx="410">
                  <c:v>30</c:v>
                </c:pt>
                <c:pt idx="411">
                  <c:v>60</c:v>
                </c:pt>
                <c:pt idx="412">
                  <c:v>46</c:v>
                </c:pt>
                <c:pt idx="413">
                  <c:v>42</c:v>
                </c:pt>
                <c:pt idx="414">
                  <c:v>24</c:v>
                </c:pt>
                <c:pt idx="415">
                  <c:v>34</c:v>
                </c:pt>
                <c:pt idx="416">
                  <c:v>38</c:v>
                </c:pt>
                <c:pt idx="417">
                  <c:v>40</c:v>
                </c:pt>
                <c:pt idx="418">
                  <c:v>26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19</c:v>
                </c:pt>
                <c:pt idx="423">
                  <c:v>30</c:v>
                </c:pt>
                <c:pt idx="424">
                  <c:v>57</c:v>
                </c:pt>
                <c:pt idx="425">
                  <c:v>50</c:v>
                </c:pt>
                <c:pt idx="426">
                  <c:v>30</c:v>
                </c:pt>
                <c:pt idx="427">
                  <c:v>60</c:v>
                </c:pt>
                <c:pt idx="428">
                  <c:v>47</c:v>
                </c:pt>
                <c:pt idx="429">
                  <c:v>46</c:v>
                </c:pt>
                <c:pt idx="430">
                  <c:v>35</c:v>
                </c:pt>
                <c:pt idx="431">
                  <c:v>54</c:v>
                </c:pt>
                <c:pt idx="432">
                  <c:v>34</c:v>
                </c:pt>
                <c:pt idx="433">
                  <c:v>46</c:v>
                </c:pt>
                <c:pt idx="434">
                  <c:v>31</c:v>
                </c:pt>
                <c:pt idx="435">
                  <c:v>33</c:v>
                </c:pt>
                <c:pt idx="436">
                  <c:v>33</c:v>
                </c:pt>
                <c:pt idx="437">
                  <c:v>30</c:v>
                </c:pt>
                <c:pt idx="438">
                  <c:v>35</c:v>
                </c:pt>
                <c:pt idx="439">
                  <c:v>31</c:v>
                </c:pt>
                <c:pt idx="440">
                  <c:v>34</c:v>
                </c:pt>
                <c:pt idx="441">
                  <c:v>42</c:v>
                </c:pt>
                <c:pt idx="442">
                  <c:v>36</c:v>
                </c:pt>
                <c:pt idx="443">
                  <c:v>22</c:v>
                </c:pt>
                <c:pt idx="444">
                  <c:v>48</c:v>
                </c:pt>
                <c:pt idx="445">
                  <c:v>55</c:v>
                </c:pt>
                <c:pt idx="446">
                  <c:v>41</c:v>
                </c:pt>
                <c:pt idx="447">
                  <c:v>35</c:v>
                </c:pt>
                <c:pt idx="448">
                  <c:v>40</c:v>
                </c:pt>
                <c:pt idx="449">
                  <c:v>39</c:v>
                </c:pt>
                <c:pt idx="450">
                  <c:v>31</c:v>
                </c:pt>
                <c:pt idx="451">
                  <c:v>42</c:v>
                </c:pt>
                <c:pt idx="452">
                  <c:v>45</c:v>
                </c:pt>
                <c:pt idx="453">
                  <c:v>26</c:v>
                </c:pt>
                <c:pt idx="454">
                  <c:v>29</c:v>
                </c:pt>
                <c:pt idx="455">
                  <c:v>33</c:v>
                </c:pt>
                <c:pt idx="456">
                  <c:v>31</c:v>
                </c:pt>
                <c:pt idx="457">
                  <c:v>18</c:v>
                </c:pt>
                <c:pt idx="458">
                  <c:v>40</c:v>
                </c:pt>
                <c:pt idx="459">
                  <c:v>41</c:v>
                </c:pt>
                <c:pt idx="460">
                  <c:v>26</c:v>
                </c:pt>
                <c:pt idx="461">
                  <c:v>35</c:v>
                </c:pt>
                <c:pt idx="462">
                  <c:v>34</c:v>
                </c:pt>
                <c:pt idx="463">
                  <c:v>26</c:v>
                </c:pt>
                <c:pt idx="464">
                  <c:v>37</c:v>
                </c:pt>
                <c:pt idx="465">
                  <c:v>46</c:v>
                </c:pt>
                <c:pt idx="466">
                  <c:v>41</c:v>
                </c:pt>
                <c:pt idx="467">
                  <c:v>37</c:v>
                </c:pt>
                <c:pt idx="468">
                  <c:v>52</c:v>
                </c:pt>
                <c:pt idx="469">
                  <c:v>32</c:v>
                </c:pt>
                <c:pt idx="470">
                  <c:v>24</c:v>
                </c:pt>
                <c:pt idx="471">
                  <c:v>38</c:v>
                </c:pt>
                <c:pt idx="472">
                  <c:v>37</c:v>
                </c:pt>
                <c:pt idx="473">
                  <c:v>49</c:v>
                </c:pt>
                <c:pt idx="474">
                  <c:v>24</c:v>
                </c:pt>
                <c:pt idx="475">
                  <c:v>26</c:v>
                </c:pt>
                <c:pt idx="476">
                  <c:v>24</c:v>
                </c:pt>
                <c:pt idx="477">
                  <c:v>50</c:v>
                </c:pt>
                <c:pt idx="478">
                  <c:v>25</c:v>
                </c:pt>
                <c:pt idx="479">
                  <c:v>24</c:v>
                </c:pt>
                <c:pt idx="480">
                  <c:v>30</c:v>
                </c:pt>
                <c:pt idx="481">
                  <c:v>34</c:v>
                </c:pt>
                <c:pt idx="482">
                  <c:v>31</c:v>
                </c:pt>
                <c:pt idx="483">
                  <c:v>35</c:v>
                </c:pt>
                <c:pt idx="484">
                  <c:v>31</c:v>
                </c:pt>
                <c:pt idx="485">
                  <c:v>27</c:v>
                </c:pt>
                <c:pt idx="486">
                  <c:v>37</c:v>
                </c:pt>
                <c:pt idx="487">
                  <c:v>20</c:v>
                </c:pt>
                <c:pt idx="488">
                  <c:v>42</c:v>
                </c:pt>
                <c:pt idx="489">
                  <c:v>43</c:v>
                </c:pt>
                <c:pt idx="490">
                  <c:v>38</c:v>
                </c:pt>
                <c:pt idx="491">
                  <c:v>43</c:v>
                </c:pt>
                <c:pt idx="492">
                  <c:v>48</c:v>
                </c:pt>
                <c:pt idx="493">
                  <c:v>44</c:v>
                </c:pt>
                <c:pt idx="494">
                  <c:v>34</c:v>
                </c:pt>
                <c:pt idx="495">
                  <c:v>27</c:v>
                </c:pt>
                <c:pt idx="496">
                  <c:v>21</c:v>
                </c:pt>
                <c:pt idx="497">
                  <c:v>44</c:v>
                </c:pt>
                <c:pt idx="498">
                  <c:v>22</c:v>
                </c:pt>
                <c:pt idx="499">
                  <c:v>33</c:v>
                </c:pt>
                <c:pt idx="500">
                  <c:v>32</c:v>
                </c:pt>
                <c:pt idx="501">
                  <c:v>30</c:v>
                </c:pt>
                <c:pt idx="502">
                  <c:v>53</c:v>
                </c:pt>
                <c:pt idx="503">
                  <c:v>34</c:v>
                </c:pt>
                <c:pt idx="504">
                  <c:v>45</c:v>
                </c:pt>
                <c:pt idx="505">
                  <c:v>26</c:v>
                </c:pt>
                <c:pt idx="506">
                  <c:v>37</c:v>
                </c:pt>
                <c:pt idx="507">
                  <c:v>29</c:v>
                </c:pt>
                <c:pt idx="508">
                  <c:v>35</c:v>
                </c:pt>
                <c:pt idx="509">
                  <c:v>33</c:v>
                </c:pt>
                <c:pt idx="510">
                  <c:v>54</c:v>
                </c:pt>
                <c:pt idx="511">
                  <c:v>36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23</c:v>
                </c:pt>
                <c:pt idx="517">
                  <c:v>25</c:v>
                </c:pt>
                <c:pt idx="518">
                  <c:v>38</c:v>
                </c:pt>
                <c:pt idx="519">
                  <c:v>29</c:v>
                </c:pt>
                <c:pt idx="520">
                  <c:v>48</c:v>
                </c:pt>
                <c:pt idx="521">
                  <c:v>27</c:v>
                </c:pt>
                <c:pt idx="522">
                  <c:v>37</c:v>
                </c:pt>
                <c:pt idx="523">
                  <c:v>50</c:v>
                </c:pt>
                <c:pt idx="524">
                  <c:v>34</c:v>
                </c:pt>
                <c:pt idx="525">
                  <c:v>24</c:v>
                </c:pt>
                <c:pt idx="526">
                  <c:v>39</c:v>
                </c:pt>
                <c:pt idx="527">
                  <c:v>32</c:v>
                </c:pt>
                <c:pt idx="528">
                  <c:v>50</c:v>
                </c:pt>
                <c:pt idx="529">
                  <c:v>38</c:v>
                </c:pt>
                <c:pt idx="530">
                  <c:v>27</c:v>
                </c:pt>
                <c:pt idx="531">
                  <c:v>32</c:v>
                </c:pt>
                <c:pt idx="532">
                  <c:v>47</c:v>
                </c:pt>
                <c:pt idx="533">
                  <c:v>40</c:v>
                </c:pt>
                <c:pt idx="534">
                  <c:v>53</c:v>
                </c:pt>
                <c:pt idx="535">
                  <c:v>41</c:v>
                </c:pt>
                <c:pt idx="536">
                  <c:v>60</c:v>
                </c:pt>
                <c:pt idx="537">
                  <c:v>27</c:v>
                </c:pt>
                <c:pt idx="538">
                  <c:v>41</c:v>
                </c:pt>
                <c:pt idx="539">
                  <c:v>50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44</c:v>
                </c:pt>
                <c:pt idx="544">
                  <c:v>47</c:v>
                </c:pt>
                <c:pt idx="545">
                  <c:v>30</c:v>
                </c:pt>
                <c:pt idx="546">
                  <c:v>29</c:v>
                </c:pt>
                <c:pt idx="547">
                  <c:v>42</c:v>
                </c:pt>
                <c:pt idx="548">
                  <c:v>43</c:v>
                </c:pt>
                <c:pt idx="549">
                  <c:v>34</c:v>
                </c:pt>
                <c:pt idx="550">
                  <c:v>23</c:v>
                </c:pt>
                <c:pt idx="551">
                  <c:v>39</c:v>
                </c:pt>
                <c:pt idx="552">
                  <c:v>56</c:v>
                </c:pt>
                <c:pt idx="553">
                  <c:v>40</c:v>
                </c:pt>
                <c:pt idx="554">
                  <c:v>27</c:v>
                </c:pt>
                <c:pt idx="555">
                  <c:v>29</c:v>
                </c:pt>
                <c:pt idx="556">
                  <c:v>53</c:v>
                </c:pt>
                <c:pt idx="557">
                  <c:v>35</c:v>
                </c:pt>
                <c:pt idx="558">
                  <c:v>32</c:v>
                </c:pt>
                <c:pt idx="559">
                  <c:v>38</c:v>
                </c:pt>
                <c:pt idx="560">
                  <c:v>34</c:v>
                </c:pt>
                <c:pt idx="561">
                  <c:v>52</c:v>
                </c:pt>
                <c:pt idx="562">
                  <c:v>33</c:v>
                </c:pt>
                <c:pt idx="563">
                  <c:v>25</c:v>
                </c:pt>
                <c:pt idx="564">
                  <c:v>45</c:v>
                </c:pt>
                <c:pt idx="565">
                  <c:v>23</c:v>
                </c:pt>
                <c:pt idx="566">
                  <c:v>47</c:v>
                </c:pt>
                <c:pt idx="567">
                  <c:v>34</c:v>
                </c:pt>
                <c:pt idx="568">
                  <c:v>55</c:v>
                </c:pt>
                <c:pt idx="569">
                  <c:v>36</c:v>
                </c:pt>
                <c:pt idx="570">
                  <c:v>52</c:v>
                </c:pt>
                <c:pt idx="571">
                  <c:v>26</c:v>
                </c:pt>
                <c:pt idx="572">
                  <c:v>29</c:v>
                </c:pt>
                <c:pt idx="573">
                  <c:v>26</c:v>
                </c:pt>
                <c:pt idx="574">
                  <c:v>34</c:v>
                </c:pt>
                <c:pt idx="575">
                  <c:v>54</c:v>
                </c:pt>
                <c:pt idx="576">
                  <c:v>27</c:v>
                </c:pt>
                <c:pt idx="577">
                  <c:v>37</c:v>
                </c:pt>
                <c:pt idx="578">
                  <c:v>38</c:v>
                </c:pt>
                <c:pt idx="579">
                  <c:v>34</c:v>
                </c:pt>
                <c:pt idx="580">
                  <c:v>35</c:v>
                </c:pt>
                <c:pt idx="581">
                  <c:v>30</c:v>
                </c:pt>
                <c:pt idx="582">
                  <c:v>40</c:v>
                </c:pt>
                <c:pt idx="583">
                  <c:v>34</c:v>
                </c:pt>
                <c:pt idx="584">
                  <c:v>42</c:v>
                </c:pt>
                <c:pt idx="585">
                  <c:v>23</c:v>
                </c:pt>
                <c:pt idx="586">
                  <c:v>24</c:v>
                </c:pt>
                <c:pt idx="587">
                  <c:v>52</c:v>
                </c:pt>
                <c:pt idx="588">
                  <c:v>50</c:v>
                </c:pt>
                <c:pt idx="589">
                  <c:v>29</c:v>
                </c:pt>
                <c:pt idx="590">
                  <c:v>33</c:v>
                </c:pt>
                <c:pt idx="591">
                  <c:v>33</c:v>
                </c:pt>
                <c:pt idx="592">
                  <c:v>47</c:v>
                </c:pt>
                <c:pt idx="593">
                  <c:v>36</c:v>
                </c:pt>
                <c:pt idx="594">
                  <c:v>29</c:v>
                </c:pt>
                <c:pt idx="595">
                  <c:v>58</c:v>
                </c:pt>
                <c:pt idx="596">
                  <c:v>35</c:v>
                </c:pt>
                <c:pt idx="597">
                  <c:v>42</c:v>
                </c:pt>
                <c:pt idx="598">
                  <c:v>28</c:v>
                </c:pt>
                <c:pt idx="599">
                  <c:v>36</c:v>
                </c:pt>
                <c:pt idx="600">
                  <c:v>32</c:v>
                </c:pt>
                <c:pt idx="601">
                  <c:v>40</c:v>
                </c:pt>
                <c:pt idx="602">
                  <c:v>30</c:v>
                </c:pt>
                <c:pt idx="603">
                  <c:v>45</c:v>
                </c:pt>
                <c:pt idx="604">
                  <c:v>42</c:v>
                </c:pt>
                <c:pt idx="605">
                  <c:v>38</c:v>
                </c:pt>
                <c:pt idx="606">
                  <c:v>34</c:v>
                </c:pt>
                <c:pt idx="607">
                  <c:v>49</c:v>
                </c:pt>
                <c:pt idx="608">
                  <c:v>55</c:v>
                </c:pt>
                <c:pt idx="609">
                  <c:v>43</c:v>
                </c:pt>
                <c:pt idx="610">
                  <c:v>27</c:v>
                </c:pt>
                <c:pt idx="611">
                  <c:v>35</c:v>
                </c:pt>
                <c:pt idx="612">
                  <c:v>28</c:v>
                </c:pt>
                <c:pt idx="613">
                  <c:v>34</c:v>
                </c:pt>
                <c:pt idx="614">
                  <c:v>26</c:v>
                </c:pt>
                <c:pt idx="615">
                  <c:v>27</c:v>
                </c:pt>
                <c:pt idx="616">
                  <c:v>51</c:v>
                </c:pt>
                <c:pt idx="617">
                  <c:v>44</c:v>
                </c:pt>
                <c:pt idx="618">
                  <c:v>25</c:v>
                </c:pt>
                <c:pt idx="619">
                  <c:v>33</c:v>
                </c:pt>
                <c:pt idx="620">
                  <c:v>35</c:v>
                </c:pt>
                <c:pt idx="621">
                  <c:v>36</c:v>
                </c:pt>
                <c:pt idx="622">
                  <c:v>32</c:v>
                </c:pt>
                <c:pt idx="623">
                  <c:v>30</c:v>
                </c:pt>
                <c:pt idx="624">
                  <c:v>53</c:v>
                </c:pt>
                <c:pt idx="625">
                  <c:v>45</c:v>
                </c:pt>
                <c:pt idx="626">
                  <c:v>32</c:v>
                </c:pt>
                <c:pt idx="627">
                  <c:v>52</c:v>
                </c:pt>
                <c:pt idx="628">
                  <c:v>37</c:v>
                </c:pt>
                <c:pt idx="629">
                  <c:v>28</c:v>
                </c:pt>
                <c:pt idx="630">
                  <c:v>22</c:v>
                </c:pt>
                <c:pt idx="631">
                  <c:v>44</c:v>
                </c:pt>
                <c:pt idx="632">
                  <c:v>42</c:v>
                </c:pt>
                <c:pt idx="633">
                  <c:v>36</c:v>
                </c:pt>
                <c:pt idx="634">
                  <c:v>25</c:v>
                </c:pt>
                <c:pt idx="635">
                  <c:v>35</c:v>
                </c:pt>
                <c:pt idx="636">
                  <c:v>35</c:v>
                </c:pt>
                <c:pt idx="637">
                  <c:v>32</c:v>
                </c:pt>
                <c:pt idx="638">
                  <c:v>25</c:v>
                </c:pt>
                <c:pt idx="639">
                  <c:v>49</c:v>
                </c:pt>
                <c:pt idx="640">
                  <c:v>24</c:v>
                </c:pt>
                <c:pt idx="641">
                  <c:v>32</c:v>
                </c:pt>
                <c:pt idx="642">
                  <c:v>38</c:v>
                </c:pt>
                <c:pt idx="643">
                  <c:v>42</c:v>
                </c:pt>
                <c:pt idx="644">
                  <c:v>31</c:v>
                </c:pt>
                <c:pt idx="645">
                  <c:v>29</c:v>
                </c:pt>
                <c:pt idx="646">
                  <c:v>53</c:v>
                </c:pt>
                <c:pt idx="647">
                  <c:v>35</c:v>
                </c:pt>
                <c:pt idx="648">
                  <c:v>37</c:v>
                </c:pt>
                <c:pt idx="649">
                  <c:v>53</c:v>
                </c:pt>
                <c:pt idx="650">
                  <c:v>43</c:v>
                </c:pt>
                <c:pt idx="651">
                  <c:v>47</c:v>
                </c:pt>
                <c:pt idx="652">
                  <c:v>37</c:v>
                </c:pt>
                <c:pt idx="653">
                  <c:v>50</c:v>
                </c:pt>
                <c:pt idx="654">
                  <c:v>39</c:v>
                </c:pt>
                <c:pt idx="655">
                  <c:v>33</c:v>
                </c:pt>
                <c:pt idx="656">
                  <c:v>32</c:v>
                </c:pt>
                <c:pt idx="657">
                  <c:v>29</c:v>
                </c:pt>
                <c:pt idx="658">
                  <c:v>44</c:v>
                </c:pt>
                <c:pt idx="659">
                  <c:v>28</c:v>
                </c:pt>
                <c:pt idx="660">
                  <c:v>58</c:v>
                </c:pt>
                <c:pt idx="661">
                  <c:v>43</c:v>
                </c:pt>
                <c:pt idx="662">
                  <c:v>20</c:v>
                </c:pt>
                <c:pt idx="663">
                  <c:v>21</c:v>
                </c:pt>
                <c:pt idx="664">
                  <c:v>36</c:v>
                </c:pt>
                <c:pt idx="665">
                  <c:v>47</c:v>
                </c:pt>
                <c:pt idx="666">
                  <c:v>22</c:v>
                </c:pt>
                <c:pt idx="667">
                  <c:v>41</c:v>
                </c:pt>
                <c:pt idx="668">
                  <c:v>28</c:v>
                </c:pt>
                <c:pt idx="669">
                  <c:v>39</c:v>
                </c:pt>
                <c:pt idx="670">
                  <c:v>27</c:v>
                </c:pt>
                <c:pt idx="671">
                  <c:v>34</c:v>
                </c:pt>
                <c:pt idx="672">
                  <c:v>42</c:v>
                </c:pt>
                <c:pt idx="673">
                  <c:v>33</c:v>
                </c:pt>
                <c:pt idx="674">
                  <c:v>58</c:v>
                </c:pt>
                <c:pt idx="675">
                  <c:v>31</c:v>
                </c:pt>
                <c:pt idx="676">
                  <c:v>35</c:v>
                </c:pt>
                <c:pt idx="677">
                  <c:v>49</c:v>
                </c:pt>
                <c:pt idx="678">
                  <c:v>48</c:v>
                </c:pt>
                <c:pt idx="679">
                  <c:v>31</c:v>
                </c:pt>
                <c:pt idx="680">
                  <c:v>36</c:v>
                </c:pt>
                <c:pt idx="681">
                  <c:v>38</c:v>
                </c:pt>
                <c:pt idx="682">
                  <c:v>32</c:v>
                </c:pt>
                <c:pt idx="683">
                  <c:v>25</c:v>
                </c:pt>
                <c:pt idx="684">
                  <c:v>40</c:v>
                </c:pt>
                <c:pt idx="685">
                  <c:v>26</c:v>
                </c:pt>
                <c:pt idx="686">
                  <c:v>41</c:v>
                </c:pt>
                <c:pt idx="687">
                  <c:v>36</c:v>
                </c:pt>
                <c:pt idx="688">
                  <c:v>19</c:v>
                </c:pt>
                <c:pt idx="689">
                  <c:v>20</c:v>
                </c:pt>
                <c:pt idx="690">
                  <c:v>31</c:v>
                </c:pt>
                <c:pt idx="691">
                  <c:v>40</c:v>
                </c:pt>
                <c:pt idx="692">
                  <c:v>32</c:v>
                </c:pt>
                <c:pt idx="693">
                  <c:v>36</c:v>
                </c:pt>
                <c:pt idx="694">
                  <c:v>33</c:v>
                </c:pt>
                <c:pt idx="695">
                  <c:v>37</c:v>
                </c:pt>
                <c:pt idx="696">
                  <c:v>45</c:v>
                </c:pt>
                <c:pt idx="697">
                  <c:v>29</c:v>
                </c:pt>
                <c:pt idx="698">
                  <c:v>35</c:v>
                </c:pt>
                <c:pt idx="699">
                  <c:v>52</c:v>
                </c:pt>
                <c:pt idx="700">
                  <c:v>58</c:v>
                </c:pt>
                <c:pt idx="701">
                  <c:v>53</c:v>
                </c:pt>
                <c:pt idx="702">
                  <c:v>30</c:v>
                </c:pt>
                <c:pt idx="703">
                  <c:v>38</c:v>
                </c:pt>
                <c:pt idx="704">
                  <c:v>35</c:v>
                </c:pt>
                <c:pt idx="705">
                  <c:v>39</c:v>
                </c:pt>
                <c:pt idx="706">
                  <c:v>40</c:v>
                </c:pt>
                <c:pt idx="707">
                  <c:v>47</c:v>
                </c:pt>
                <c:pt idx="708">
                  <c:v>36</c:v>
                </c:pt>
                <c:pt idx="709">
                  <c:v>31</c:v>
                </c:pt>
                <c:pt idx="710">
                  <c:v>33</c:v>
                </c:pt>
                <c:pt idx="711">
                  <c:v>29</c:v>
                </c:pt>
                <c:pt idx="712">
                  <c:v>33</c:v>
                </c:pt>
                <c:pt idx="713">
                  <c:v>45</c:v>
                </c:pt>
                <c:pt idx="714">
                  <c:v>50</c:v>
                </c:pt>
                <c:pt idx="715">
                  <c:v>33</c:v>
                </c:pt>
                <c:pt idx="716">
                  <c:v>41</c:v>
                </c:pt>
                <c:pt idx="717">
                  <c:v>27</c:v>
                </c:pt>
                <c:pt idx="718">
                  <c:v>45</c:v>
                </c:pt>
                <c:pt idx="719">
                  <c:v>47</c:v>
                </c:pt>
                <c:pt idx="720">
                  <c:v>30</c:v>
                </c:pt>
                <c:pt idx="721">
                  <c:v>50</c:v>
                </c:pt>
                <c:pt idx="722">
                  <c:v>38</c:v>
                </c:pt>
                <c:pt idx="723">
                  <c:v>46</c:v>
                </c:pt>
                <c:pt idx="724">
                  <c:v>24</c:v>
                </c:pt>
                <c:pt idx="725">
                  <c:v>35</c:v>
                </c:pt>
                <c:pt idx="726">
                  <c:v>31</c:v>
                </c:pt>
                <c:pt idx="727">
                  <c:v>18</c:v>
                </c:pt>
                <c:pt idx="728">
                  <c:v>54</c:v>
                </c:pt>
                <c:pt idx="729">
                  <c:v>35</c:v>
                </c:pt>
                <c:pt idx="730">
                  <c:v>30</c:v>
                </c:pt>
                <c:pt idx="731">
                  <c:v>20</c:v>
                </c:pt>
                <c:pt idx="732">
                  <c:v>30</c:v>
                </c:pt>
                <c:pt idx="733">
                  <c:v>26</c:v>
                </c:pt>
                <c:pt idx="734">
                  <c:v>22</c:v>
                </c:pt>
                <c:pt idx="735">
                  <c:v>48</c:v>
                </c:pt>
                <c:pt idx="736">
                  <c:v>48</c:v>
                </c:pt>
                <c:pt idx="737">
                  <c:v>41</c:v>
                </c:pt>
                <c:pt idx="738">
                  <c:v>39</c:v>
                </c:pt>
                <c:pt idx="739">
                  <c:v>27</c:v>
                </c:pt>
                <c:pt idx="740">
                  <c:v>35</c:v>
                </c:pt>
                <c:pt idx="741">
                  <c:v>42</c:v>
                </c:pt>
                <c:pt idx="742">
                  <c:v>50</c:v>
                </c:pt>
                <c:pt idx="743">
                  <c:v>59</c:v>
                </c:pt>
                <c:pt idx="744">
                  <c:v>37</c:v>
                </c:pt>
                <c:pt idx="745">
                  <c:v>55</c:v>
                </c:pt>
                <c:pt idx="746">
                  <c:v>41</c:v>
                </c:pt>
                <c:pt idx="747">
                  <c:v>38</c:v>
                </c:pt>
                <c:pt idx="748">
                  <c:v>26</c:v>
                </c:pt>
                <c:pt idx="749">
                  <c:v>52</c:v>
                </c:pt>
                <c:pt idx="750">
                  <c:v>44</c:v>
                </c:pt>
                <c:pt idx="751">
                  <c:v>50</c:v>
                </c:pt>
                <c:pt idx="752">
                  <c:v>36</c:v>
                </c:pt>
                <c:pt idx="753">
                  <c:v>39</c:v>
                </c:pt>
                <c:pt idx="754">
                  <c:v>33</c:v>
                </c:pt>
                <c:pt idx="755">
                  <c:v>45</c:v>
                </c:pt>
                <c:pt idx="756">
                  <c:v>32</c:v>
                </c:pt>
                <c:pt idx="757">
                  <c:v>34</c:v>
                </c:pt>
                <c:pt idx="758">
                  <c:v>59</c:v>
                </c:pt>
                <c:pt idx="759">
                  <c:v>45</c:v>
                </c:pt>
                <c:pt idx="760">
                  <c:v>53</c:v>
                </c:pt>
                <c:pt idx="761">
                  <c:v>36</c:v>
                </c:pt>
                <c:pt idx="762">
                  <c:v>26</c:v>
                </c:pt>
                <c:pt idx="763">
                  <c:v>34</c:v>
                </c:pt>
                <c:pt idx="764">
                  <c:v>28</c:v>
                </c:pt>
                <c:pt idx="765">
                  <c:v>38</c:v>
                </c:pt>
                <c:pt idx="766">
                  <c:v>50</c:v>
                </c:pt>
                <c:pt idx="767">
                  <c:v>37</c:v>
                </c:pt>
                <c:pt idx="768">
                  <c:v>40</c:v>
                </c:pt>
                <c:pt idx="769">
                  <c:v>26</c:v>
                </c:pt>
                <c:pt idx="770">
                  <c:v>46</c:v>
                </c:pt>
                <c:pt idx="771">
                  <c:v>54</c:v>
                </c:pt>
                <c:pt idx="772">
                  <c:v>56</c:v>
                </c:pt>
                <c:pt idx="773">
                  <c:v>36</c:v>
                </c:pt>
                <c:pt idx="774">
                  <c:v>55</c:v>
                </c:pt>
                <c:pt idx="775">
                  <c:v>43</c:v>
                </c:pt>
                <c:pt idx="776">
                  <c:v>20</c:v>
                </c:pt>
                <c:pt idx="777">
                  <c:v>21</c:v>
                </c:pt>
                <c:pt idx="778">
                  <c:v>46</c:v>
                </c:pt>
                <c:pt idx="779">
                  <c:v>51</c:v>
                </c:pt>
                <c:pt idx="780">
                  <c:v>28</c:v>
                </c:pt>
                <c:pt idx="781">
                  <c:v>26</c:v>
                </c:pt>
                <c:pt idx="782">
                  <c:v>30</c:v>
                </c:pt>
                <c:pt idx="783">
                  <c:v>41</c:v>
                </c:pt>
                <c:pt idx="784">
                  <c:v>38</c:v>
                </c:pt>
                <c:pt idx="785">
                  <c:v>40</c:v>
                </c:pt>
                <c:pt idx="786">
                  <c:v>27</c:v>
                </c:pt>
                <c:pt idx="787">
                  <c:v>55</c:v>
                </c:pt>
                <c:pt idx="788">
                  <c:v>28</c:v>
                </c:pt>
                <c:pt idx="789">
                  <c:v>44</c:v>
                </c:pt>
                <c:pt idx="790">
                  <c:v>33</c:v>
                </c:pt>
                <c:pt idx="791">
                  <c:v>35</c:v>
                </c:pt>
                <c:pt idx="792">
                  <c:v>33</c:v>
                </c:pt>
                <c:pt idx="793">
                  <c:v>28</c:v>
                </c:pt>
                <c:pt idx="794">
                  <c:v>34</c:v>
                </c:pt>
                <c:pt idx="795">
                  <c:v>37</c:v>
                </c:pt>
                <c:pt idx="796">
                  <c:v>25</c:v>
                </c:pt>
                <c:pt idx="797">
                  <c:v>26</c:v>
                </c:pt>
                <c:pt idx="798">
                  <c:v>33</c:v>
                </c:pt>
                <c:pt idx="799">
                  <c:v>42</c:v>
                </c:pt>
                <c:pt idx="800">
                  <c:v>28</c:v>
                </c:pt>
                <c:pt idx="801">
                  <c:v>50</c:v>
                </c:pt>
                <c:pt idx="802">
                  <c:v>33</c:v>
                </c:pt>
                <c:pt idx="803">
                  <c:v>34</c:v>
                </c:pt>
                <c:pt idx="804">
                  <c:v>48</c:v>
                </c:pt>
                <c:pt idx="805">
                  <c:v>45</c:v>
                </c:pt>
                <c:pt idx="806">
                  <c:v>52</c:v>
                </c:pt>
                <c:pt idx="807">
                  <c:v>38</c:v>
                </c:pt>
                <c:pt idx="808">
                  <c:v>29</c:v>
                </c:pt>
                <c:pt idx="809">
                  <c:v>28</c:v>
                </c:pt>
                <c:pt idx="810">
                  <c:v>46</c:v>
                </c:pt>
                <c:pt idx="811">
                  <c:v>38</c:v>
                </c:pt>
                <c:pt idx="812">
                  <c:v>43</c:v>
                </c:pt>
                <c:pt idx="813">
                  <c:v>39</c:v>
                </c:pt>
                <c:pt idx="814">
                  <c:v>40</c:v>
                </c:pt>
                <c:pt idx="815">
                  <c:v>21</c:v>
                </c:pt>
                <c:pt idx="816">
                  <c:v>39</c:v>
                </c:pt>
                <c:pt idx="817">
                  <c:v>36</c:v>
                </c:pt>
                <c:pt idx="818">
                  <c:v>31</c:v>
                </c:pt>
                <c:pt idx="819">
                  <c:v>28</c:v>
                </c:pt>
                <c:pt idx="820">
                  <c:v>35</c:v>
                </c:pt>
                <c:pt idx="821">
                  <c:v>49</c:v>
                </c:pt>
                <c:pt idx="822">
                  <c:v>34</c:v>
                </c:pt>
                <c:pt idx="823">
                  <c:v>29</c:v>
                </c:pt>
                <c:pt idx="824">
                  <c:v>42</c:v>
                </c:pt>
                <c:pt idx="825">
                  <c:v>29</c:v>
                </c:pt>
                <c:pt idx="826">
                  <c:v>38</c:v>
                </c:pt>
                <c:pt idx="827">
                  <c:v>28</c:v>
                </c:pt>
                <c:pt idx="828">
                  <c:v>18</c:v>
                </c:pt>
                <c:pt idx="829">
                  <c:v>33</c:v>
                </c:pt>
                <c:pt idx="830">
                  <c:v>41</c:v>
                </c:pt>
                <c:pt idx="831">
                  <c:v>31</c:v>
                </c:pt>
                <c:pt idx="832">
                  <c:v>37</c:v>
                </c:pt>
                <c:pt idx="833">
                  <c:v>27</c:v>
                </c:pt>
                <c:pt idx="834">
                  <c:v>34</c:v>
                </c:pt>
                <c:pt idx="835">
                  <c:v>35</c:v>
                </c:pt>
                <c:pt idx="836">
                  <c:v>29</c:v>
                </c:pt>
                <c:pt idx="837">
                  <c:v>40</c:v>
                </c:pt>
                <c:pt idx="838">
                  <c:v>42</c:v>
                </c:pt>
                <c:pt idx="839">
                  <c:v>42</c:v>
                </c:pt>
                <c:pt idx="840">
                  <c:v>35</c:v>
                </c:pt>
                <c:pt idx="841">
                  <c:v>24</c:v>
                </c:pt>
                <c:pt idx="842">
                  <c:v>28</c:v>
                </c:pt>
                <c:pt idx="843">
                  <c:v>26</c:v>
                </c:pt>
                <c:pt idx="844">
                  <c:v>30</c:v>
                </c:pt>
                <c:pt idx="845">
                  <c:v>40</c:v>
                </c:pt>
                <c:pt idx="846">
                  <c:v>35</c:v>
                </c:pt>
                <c:pt idx="847">
                  <c:v>34</c:v>
                </c:pt>
                <c:pt idx="848">
                  <c:v>35</c:v>
                </c:pt>
                <c:pt idx="849">
                  <c:v>43</c:v>
                </c:pt>
                <c:pt idx="850">
                  <c:v>32</c:v>
                </c:pt>
                <c:pt idx="851">
                  <c:v>56</c:v>
                </c:pt>
                <c:pt idx="852">
                  <c:v>29</c:v>
                </c:pt>
                <c:pt idx="853">
                  <c:v>19</c:v>
                </c:pt>
                <c:pt idx="854">
                  <c:v>45</c:v>
                </c:pt>
                <c:pt idx="855">
                  <c:v>37</c:v>
                </c:pt>
                <c:pt idx="856">
                  <c:v>20</c:v>
                </c:pt>
                <c:pt idx="857">
                  <c:v>44</c:v>
                </c:pt>
                <c:pt idx="858">
                  <c:v>53</c:v>
                </c:pt>
                <c:pt idx="859">
                  <c:v>29</c:v>
                </c:pt>
                <c:pt idx="860">
                  <c:v>22</c:v>
                </c:pt>
                <c:pt idx="861">
                  <c:v>46</c:v>
                </c:pt>
                <c:pt idx="862">
                  <c:v>44</c:v>
                </c:pt>
                <c:pt idx="863">
                  <c:v>33</c:v>
                </c:pt>
                <c:pt idx="864">
                  <c:v>41</c:v>
                </c:pt>
                <c:pt idx="865">
                  <c:v>30</c:v>
                </c:pt>
                <c:pt idx="866">
                  <c:v>40</c:v>
                </c:pt>
                <c:pt idx="867">
                  <c:v>50</c:v>
                </c:pt>
                <c:pt idx="868">
                  <c:v>28</c:v>
                </c:pt>
                <c:pt idx="869">
                  <c:v>46</c:v>
                </c:pt>
                <c:pt idx="870">
                  <c:v>35</c:v>
                </c:pt>
                <c:pt idx="871">
                  <c:v>24</c:v>
                </c:pt>
                <c:pt idx="872">
                  <c:v>33</c:v>
                </c:pt>
                <c:pt idx="873">
                  <c:v>36</c:v>
                </c:pt>
                <c:pt idx="874">
                  <c:v>30</c:v>
                </c:pt>
                <c:pt idx="875">
                  <c:v>44</c:v>
                </c:pt>
                <c:pt idx="876">
                  <c:v>20</c:v>
                </c:pt>
                <c:pt idx="877">
                  <c:v>46</c:v>
                </c:pt>
                <c:pt idx="878">
                  <c:v>42</c:v>
                </c:pt>
                <c:pt idx="879">
                  <c:v>60</c:v>
                </c:pt>
                <c:pt idx="880">
                  <c:v>32</c:v>
                </c:pt>
                <c:pt idx="881">
                  <c:v>32</c:v>
                </c:pt>
                <c:pt idx="882">
                  <c:v>36</c:v>
                </c:pt>
                <c:pt idx="883">
                  <c:v>33</c:v>
                </c:pt>
                <c:pt idx="884">
                  <c:v>40</c:v>
                </c:pt>
                <c:pt idx="885">
                  <c:v>25</c:v>
                </c:pt>
                <c:pt idx="886">
                  <c:v>30</c:v>
                </c:pt>
                <c:pt idx="887">
                  <c:v>42</c:v>
                </c:pt>
                <c:pt idx="888">
                  <c:v>35</c:v>
                </c:pt>
                <c:pt idx="889">
                  <c:v>27</c:v>
                </c:pt>
                <c:pt idx="890">
                  <c:v>54</c:v>
                </c:pt>
                <c:pt idx="891">
                  <c:v>44</c:v>
                </c:pt>
                <c:pt idx="892">
                  <c:v>19</c:v>
                </c:pt>
                <c:pt idx="893">
                  <c:v>29</c:v>
                </c:pt>
                <c:pt idx="894">
                  <c:v>54</c:v>
                </c:pt>
                <c:pt idx="895">
                  <c:v>31</c:v>
                </c:pt>
                <c:pt idx="896">
                  <c:v>31</c:v>
                </c:pt>
                <c:pt idx="897">
                  <c:v>59</c:v>
                </c:pt>
                <c:pt idx="898">
                  <c:v>43</c:v>
                </c:pt>
                <c:pt idx="899">
                  <c:v>49</c:v>
                </c:pt>
                <c:pt idx="900">
                  <c:v>36</c:v>
                </c:pt>
                <c:pt idx="901">
                  <c:v>48</c:v>
                </c:pt>
                <c:pt idx="902">
                  <c:v>27</c:v>
                </c:pt>
                <c:pt idx="903">
                  <c:v>29</c:v>
                </c:pt>
                <c:pt idx="904">
                  <c:v>48</c:v>
                </c:pt>
                <c:pt idx="905">
                  <c:v>29</c:v>
                </c:pt>
                <c:pt idx="906">
                  <c:v>34</c:v>
                </c:pt>
                <c:pt idx="907">
                  <c:v>44</c:v>
                </c:pt>
                <c:pt idx="908">
                  <c:v>33</c:v>
                </c:pt>
                <c:pt idx="909">
                  <c:v>19</c:v>
                </c:pt>
                <c:pt idx="910">
                  <c:v>23</c:v>
                </c:pt>
                <c:pt idx="911">
                  <c:v>25</c:v>
                </c:pt>
                <c:pt idx="912">
                  <c:v>26</c:v>
                </c:pt>
                <c:pt idx="913">
                  <c:v>45</c:v>
                </c:pt>
                <c:pt idx="914">
                  <c:v>55</c:v>
                </c:pt>
                <c:pt idx="915">
                  <c:v>21</c:v>
                </c:pt>
                <c:pt idx="916">
                  <c:v>46</c:v>
                </c:pt>
                <c:pt idx="917">
                  <c:v>34</c:v>
                </c:pt>
                <c:pt idx="918">
                  <c:v>51</c:v>
                </c:pt>
                <c:pt idx="919">
                  <c:v>59</c:v>
                </c:pt>
                <c:pt idx="920">
                  <c:v>34</c:v>
                </c:pt>
                <c:pt idx="921">
                  <c:v>28</c:v>
                </c:pt>
                <c:pt idx="922">
                  <c:v>44</c:v>
                </c:pt>
                <c:pt idx="923">
                  <c:v>34</c:v>
                </c:pt>
                <c:pt idx="924">
                  <c:v>35</c:v>
                </c:pt>
                <c:pt idx="925">
                  <c:v>42</c:v>
                </c:pt>
                <c:pt idx="926">
                  <c:v>43</c:v>
                </c:pt>
                <c:pt idx="927">
                  <c:v>36</c:v>
                </c:pt>
                <c:pt idx="928">
                  <c:v>44</c:v>
                </c:pt>
                <c:pt idx="929">
                  <c:v>28</c:v>
                </c:pt>
                <c:pt idx="930">
                  <c:v>51</c:v>
                </c:pt>
                <c:pt idx="931">
                  <c:v>30</c:v>
                </c:pt>
                <c:pt idx="932">
                  <c:v>29</c:v>
                </c:pt>
                <c:pt idx="933">
                  <c:v>28</c:v>
                </c:pt>
                <c:pt idx="934">
                  <c:v>25</c:v>
                </c:pt>
                <c:pt idx="935">
                  <c:v>32</c:v>
                </c:pt>
                <c:pt idx="936">
                  <c:v>45</c:v>
                </c:pt>
                <c:pt idx="937">
                  <c:v>39</c:v>
                </c:pt>
                <c:pt idx="938">
                  <c:v>58</c:v>
                </c:pt>
                <c:pt idx="939">
                  <c:v>32</c:v>
                </c:pt>
                <c:pt idx="940">
                  <c:v>39</c:v>
                </c:pt>
                <c:pt idx="941">
                  <c:v>30</c:v>
                </c:pt>
                <c:pt idx="942">
                  <c:v>36</c:v>
                </c:pt>
                <c:pt idx="943">
                  <c:v>46</c:v>
                </c:pt>
                <c:pt idx="944">
                  <c:v>28</c:v>
                </c:pt>
                <c:pt idx="945">
                  <c:v>50</c:v>
                </c:pt>
                <c:pt idx="946">
                  <c:v>40</c:v>
                </c:pt>
                <c:pt idx="947">
                  <c:v>52</c:v>
                </c:pt>
                <c:pt idx="948">
                  <c:v>30</c:v>
                </c:pt>
                <c:pt idx="949">
                  <c:v>39</c:v>
                </c:pt>
                <c:pt idx="950">
                  <c:v>31</c:v>
                </c:pt>
                <c:pt idx="951">
                  <c:v>41</c:v>
                </c:pt>
                <c:pt idx="952">
                  <c:v>31</c:v>
                </c:pt>
                <c:pt idx="953">
                  <c:v>44</c:v>
                </c:pt>
                <c:pt idx="954">
                  <c:v>42</c:v>
                </c:pt>
                <c:pt idx="955">
                  <c:v>55</c:v>
                </c:pt>
                <c:pt idx="956">
                  <c:v>56</c:v>
                </c:pt>
                <c:pt idx="957">
                  <c:v>40</c:v>
                </c:pt>
                <c:pt idx="958">
                  <c:v>34</c:v>
                </c:pt>
                <c:pt idx="959">
                  <c:v>40</c:v>
                </c:pt>
                <c:pt idx="960">
                  <c:v>41</c:v>
                </c:pt>
                <c:pt idx="961">
                  <c:v>35</c:v>
                </c:pt>
                <c:pt idx="962">
                  <c:v>51</c:v>
                </c:pt>
                <c:pt idx="963">
                  <c:v>38</c:v>
                </c:pt>
                <c:pt idx="964">
                  <c:v>34</c:v>
                </c:pt>
                <c:pt idx="965">
                  <c:v>25</c:v>
                </c:pt>
                <c:pt idx="966">
                  <c:v>58</c:v>
                </c:pt>
                <c:pt idx="967">
                  <c:v>40</c:v>
                </c:pt>
                <c:pt idx="968">
                  <c:v>36</c:v>
                </c:pt>
                <c:pt idx="969">
                  <c:v>48</c:v>
                </c:pt>
                <c:pt idx="970">
                  <c:v>27</c:v>
                </c:pt>
                <c:pt idx="971">
                  <c:v>51</c:v>
                </c:pt>
                <c:pt idx="972">
                  <c:v>18</c:v>
                </c:pt>
                <c:pt idx="973">
                  <c:v>35</c:v>
                </c:pt>
                <c:pt idx="974">
                  <c:v>27</c:v>
                </c:pt>
                <c:pt idx="975">
                  <c:v>55</c:v>
                </c:pt>
                <c:pt idx="976">
                  <c:v>56</c:v>
                </c:pt>
                <c:pt idx="977">
                  <c:v>34</c:v>
                </c:pt>
                <c:pt idx="978">
                  <c:v>40</c:v>
                </c:pt>
                <c:pt idx="979">
                  <c:v>34</c:v>
                </c:pt>
                <c:pt idx="980">
                  <c:v>31</c:v>
                </c:pt>
                <c:pt idx="981">
                  <c:v>35</c:v>
                </c:pt>
                <c:pt idx="982">
                  <c:v>38</c:v>
                </c:pt>
                <c:pt idx="983">
                  <c:v>34</c:v>
                </c:pt>
                <c:pt idx="984">
                  <c:v>28</c:v>
                </c:pt>
                <c:pt idx="985">
                  <c:v>31</c:v>
                </c:pt>
                <c:pt idx="986">
                  <c:v>39</c:v>
                </c:pt>
                <c:pt idx="987">
                  <c:v>51</c:v>
                </c:pt>
                <c:pt idx="988">
                  <c:v>41</c:v>
                </c:pt>
                <c:pt idx="989">
                  <c:v>37</c:v>
                </c:pt>
                <c:pt idx="990">
                  <c:v>33</c:v>
                </c:pt>
                <c:pt idx="991">
                  <c:v>32</c:v>
                </c:pt>
                <c:pt idx="992">
                  <c:v>39</c:v>
                </c:pt>
                <c:pt idx="993">
                  <c:v>25</c:v>
                </c:pt>
                <c:pt idx="994">
                  <c:v>52</c:v>
                </c:pt>
                <c:pt idx="995">
                  <c:v>43</c:v>
                </c:pt>
                <c:pt idx="996">
                  <c:v>27</c:v>
                </c:pt>
                <c:pt idx="997">
                  <c:v>27</c:v>
                </c:pt>
                <c:pt idx="998">
                  <c:v>26</c:v>
                </c:pt>
                <c:pt idx="999">
                  <c:v>42</c:v>
                </c:pt>
                <c:pt idx="1000">
                  <c:v>52</c:v>
                </c:pt>
                <c:pt idx="1001">
                  <c:v>37</c:v>
                </c:pt>
                <c:pt idx="1002">
                  <c:v>35</c:v>
                </c:pt>
                <c:pt idx="1003">
                  <c:v>25</c:v>
                </c:pt>
                <c:pt idx="1004">
                  <c:v>26</c:v>
                </c:pt>
                <c:pt idx="1005">
                  <c:v>29</c:v>
                </c:pt>
                <c:pt idx="1006">
                  <c:v>49</c:v>
                </c:pt>
                <c:pt idx="1007">
                  <c:v>29</c:v>
                </c:pt>
                <c:pt idx="1008">
                  <c:v>54</c:v>
                </c:pt>
                <c:pt idx="1009">
                  <c:v>58</c:v>
                </c:pt>
                <c:pt idx="1010">
                  <c:v>55</c:v>
                </c:pt>
                <c:pt idx="1011">
                  <c:v>36</c:v>
                </c:pt>
                <c:pt idx="1012">
                  <c:v>31</c:v>
                </c:pt>
                <c:pt idx="1013">
                  <c:v>30</c:v>
                </c:pt>
                <c:pt idx="1014">
                  <c:v>31</c:v>
                </c:pt>
                <c:pt idx="1015">
                  <c:v>34</c:v>
                </c:pt>
                <c:pt idx="1016">
                  <c:v>31</c:v>
                </c:pt>
                <c:pt idx="1017">
                  <c:v>27</c:v>
                </c:pt>
                <c:pt idx="1018">
                  <c:v>36</c:v>
                </c:pt>
                <c:pt idx="1019">
                  <c:v>36</c:v>
                </c:pt>
                <c:pt idx="1020">
                  <c:v>47</c:v>
                </c:pt>
                <c:pt idx="1021">
                  <c:v>25</c:v>
                </c:pt>
                <c:pt idx="1022">
                  <c:v>37</c:v>
                </c:pt>
                <c:pt idx="1023">
                  <c:v>56</c:v>
                </c:pt>
                <c:pt idx="1024">
                  <c:v>47</c:v>
                </c:pt>
                <c:pt idx="1025">
                  <c:v>24</c:v>
                </c:pt>
                <c:pt idx="1026">
                  <c:v>32</c:v>
                </c:pt>
                <c:pt idx="1027">
                  <c:v>34</c:v>
                </c:pt>
                <c:pt idx="1028">
                  <c:v>41</c:v>
                </c:pt>
                <c:pt idx="1029">
                  <c:v>40</c:v>
                </c:pt>
                <c:pt idx="1030">
                  <c:v>31</c:v>
                </c:pt>
                <c:pt idx="1031">
                  <c:v>46</c:v>
                </c:pt>
                <c:pt idx="1032">
                  <c:v>39</c:v>
                </c:pt>
                <c:pt idx="1033">
                  <c:v>31</c:v>
                </c:pt>
                <c:pt idx="1034">
                  <c:v>45</c:v>
                </c:pt>
                <c:pt idx="1035">
                  <c:v>31</c:v>
                </c:pt>
                <c:pt idx="1036">
                  <c:v>31</c:v>
                </c:pt>
                <c:pt idx="1037">
                  <c:v>45</c:v>
                </c:pt>
                <c:pt idx="1038">
                  <c:v>48</c:v>
                </c:pt>
                <c:pt idx="1039">
                  <c:v>34</c:v>
                </c:pt>
                <c:pt idx="1040">
                  <c:v>40</c:v>
                </c:pt>
                <c:pt idx="1041">
                  <c:v>28</c:v>
                </c:pt>
                <c:pt idx="1042">
                  <c:v>44</c:v>
                </c:pt>
                <c:pt idx="1043">
                  <c:v>53</c:v>
                </c:pt>
                <c:pt idx="1044">
                  <c:v>49</c:v>
                </c:pt>
                <c:pt idx="1045">
                  <c:v>40</c:v>
                </c:pt>
                <c:pt idx="1046">
                  <c:v>44</c:v>
                </c:pt>
                <c:pt idx="1047">
                  <c:v>33</c:v>
                </c:pt>
                <c:pt idx="1048">
                  <c:v>34</c:v>
                </c:pt>
                <c:pt idx="1049">
                  <c:v>30</c:v>
                </c:pt>
                <c:pt idx="1050">
                  <c:v>42</c:v>
                </c:pt>
                <c:pt idx="1051">
                  <c:v>44</c:v>
                </c:pt>
                <c:pt idx="1052">
                  <c:v>30</c:v>
                </c:pt>
                <c:pt idx="1053">
                  <c:v>57</c:v>
                </c:pt>
                <c:pt idx="1054">
                  <c:v>49</c:v>
                </c:pt>
                <c:pt idx="1055">
                  <c:v>34</c:v>
                </c:pt>
                <c:pt idx="1056">
                  <c:v>28</c:v>
                </c:pt>
                <c:pt idx="1057">
                  <c:v>29</c:v>
                </c:pt>
                <c:pt idx="1058">
                  <c:v>34</c:v>
                </c:pt>
                <c:pt idx="1059">
                  <c:v>35</c:v>
                </c:pt>
                <c:pt idx="1060">
                  <c:v>24</c:v>
                </c:pt>
                <c:pt idx="1061">
                  <c:v>24</c:v>
                </c:pt>
                <c:pt idx="1062">
                  <c:v>44</c:v>
                </c:pt>
                <c:pt idx="1063">
                  <c:v>29</c:v>
                </c:pt>
                <c:pt idx="1064">
                  <c:v>30</c:v>
                </c:pt>
                <c:pt idx="1065">
                  <c:v>55</c:v>
                </c:pt>
                <c:pt idx="1066">
                  <c:v>33</c:v>
                </c:pt>
                <c:pt idx="1067">
                  <c:v>47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49</c:v>
                </c:pt>
                <c:pt idx="1072">
                  <c:v>29</c:v>
                </c:pt>
                <c:pt idx="1073">
                  <c:v>28</c:v>
                </c:pt>
                <c:pt idx="1074">
                  <c:v>33</c:v>
                </c:pt>
                <c:pt idx="1075">
                  <c:v>32</c:v>
                </c:pt>
                <c:pt idx="1076">
                  <c:v>54</c:v>
                </c:pt>
                <c:pt idx="1077">
                  <c:v>29</c:v>
                </c:pt>
                <c:pt idx="1078">
                  <c:v>44</c:v>
                </c:pt>
                <c:pt idx="1079">
                  <c:v>39</c:v>
                </c:pt>
                <c:pt idx="1080">
                  <c:v>46</c:v>
                </c:pt>
                <c:pt idx="1081">
                  <c:v>35</c:v>
                </c:pt>
                <c:pt idx="1082">
                  <c:v>23</c:v>
                </c:pt>
                <c:pt idx="1083">
                  <c:v>40</c:v>
                </c:pt>
                <c:pt idx="1084">
                  <c:v>34</c:v>
                </c:pt>
                <c:pt idx="1085">
                  <c:v>31</c:v>
                </c:pt>
                <c:pt idx="1086">
                  <c:v>50</c:v>
                </c:pt>
                <c:pt idx="1087">
                  <c:v>34</c:v>
                </c:pt>
                <c:pt idx="1088">
                  <c:v>42</c:v>
                </c:pt>
                <c:pt idx="1089">
                  <c:v>37</c:v>
                </c:pt>
                <c:pt idx="1090">
                  <c:v>29</c:v>
                </c:pt>
                <c:pt idx="1091">
                  <c:v>33</c:v>
                </c:pt>
                <c:pt idx="1092">
                  <c:v>45</c:v>
                </c:pt>
                <c:pt idx="1093">
                  <c:v>42</c:v>
                </c:pt>
                <c:pt idx="1094">
                  <c:v>40</c:v>
                </c:pt>
                <c:pt idx="1095">
                  <c:v>33</c:v>
                </c:pt>
                <c:pt idx="1096">
                  <c:v>40</c:v>
                </c:pt>
                <c:pt idx="1097">
                  <c:v>24</c:v>
                </c:pt>
                <c:pt idx="1098">
                  <c:v>40</c:v>
                </c:pt>
                <c:pt idx="1099">
                  <c:v>45</c:v>
                </c:pt>
                <c:pt idx="1100">
                  <c:v>35</c:v>
                </c:pt>
                <c:pt idx="1101">
                  <c:v>32</c:v>
                </c:pt>
                <c:pt idx="1102">
                  <c:v>36</c:v>
                </c:pt>
                <c:pt idx="1103">
                  <c:v>48</c:v>
                </c:pt>
                <c:pt idx="1104">
                  <c:v>29</c:v>
                </c:pt>
                <c:pt idx="1105">
                  <c:v>33</c:v>
                </c:pt>
                <c:pt idx="1106">
                  <c:v>30</c:v>
                </c:pt>
                <c:pt idx="1107">
                  <c:v>38</c:v>
                </c:pt>
                <c:pt idx="1108">
                  <c:v>35</c:v>
                </c:pt>
                <c:pt idx="1109">
                  <c:v>30</c:v>
                </c:pt>
                <c:pt idx="1110">
                  <c:v>35</c:v>
                </c:pt>
                <c:pt idx="1111">
                  <c:v>53</c:v>
                </c:pt>
                <c:pt idx="1112">
                  <c:v>38</c:v>
                </c:pt>
                <c:pt idx="1113">
                  <c:v>32</c:v>
                </c:pt>
                <c:pt idx="1114">
                  <c:v>48</c:v>
                </c:pt>
                <c:pt idx="1115">
                  <c:v>34</c:v>
                </c:pt>
                <c:pt idx="1116">
                  <c:v>55</c:v>
                </c:pt>
                <c:pt idx="1117">
                  <c:v>34</c:v>
                </c:pt>
                <c:pt idx="1118">
                  <c:v>26</c:v>
                </c:pt>
                <c:pt idx="1119">
                  <c:v>38</c:v>
                </c:pt>
                <c:pt idx="1120">
                  <c:v>38</c:v>
                </c:pt>
                <c:pt idx="1121">
                  <c:v>36</c:v>
                </c:pt>
                <c:pt idx="1122">
                  <c:v>29</c:v>
                </c:pt>
                <c:pt idx="1123">
                  <c:v>35</c:v>
                </c:pt>
                <c:pt idx="1124">
                  <c:v>39</c:v>
                </c:pt>
                <c:pt idx="1125">
                  <c:v>29</c:v>
                </c:pt>
                <c:pt idx="1126">
                  <c:v>50</c:v>
                </c:pt>
                <c:pt idx="1127">
                  <c:v>23</c:v>
                </c:pt>
                <c:pt idx="1128">
                  <c:v>36</c:v>
                </c:pt>
                <c:pt idx="1129">
                  <c:v>42</c:v>
                </c:pt>
                <c:pt idx="1130">
                  <c:v>35</c:v>
                </c:pt>
                <c:pt idx="1131">
                  <c:v>34</c:v>
                </c:pt>
                <c:pt idx="1132">
                  <c:v>40</c:v>
                </c:pt>
                <c:pt idx="1133">
                  <c:v>43</c:v>
                </c:pt>
                <c:pt idx="1134">
                  <c:v>35</c:v>
                </c:pt>
                <c:pt idx="1135">
                  <c:v>46</c:v>
                </c:pt>
                <c:pt idx="1136">
                  <c:v>28</c:v>
                </c:pt>
                <c:pt idx="1137">
                  <c:v>22</c:v>
                </c:pt>
                <c:pt idx="1138">
                  <c:v>50</c:v>
                </c:pt>
                <c:pt idx="1139">
                  <c:v>32</c:v>
                </c:pt>
                <c:pt idx="1140">
                  <c:v>44</c:v>
                </c:pt>
                <c:pt idx="1141">
                  <c:v>30</c:v>
                </c:pt>
                <c:pt idx="1142">
                  <c:v>45</c:v>
                </c:pt>
                <c:pt idx="1143">
                  <c:v>45</c:v>
                </c:pt>
                <c:pt idx="1144">
                  <c:v>31</c:v>
                </c:pt>
                <c:pt idx="1145">
                  <c:v>36</c:v>
                </c:pt>
                <c:pt idx="1146">
                  <c:v>34</c:v>
                </c:pt>
                <c:pt idx="1147">
                  <c:v>49</c:v>
                </c:pt>
                <c:pt idx="1148">
                  <c:v>39</c:v>
                </c:pt>
                <c:pt idx="1149">
                  <c:v>27</c:v>
                </c:pt>
                <c:pt idx="1150">
                  <c:v>35</c:v>
                </c:pt>
                <c:pt idx="1151">
                  <c:v>28</c:v>
                </c:pt>
                <c:pt idx="1152">
                  <c:v>21</c:v>
                </c:pt>
                <c:pt idx="1153">
                  <c:v>18</c:v>
                </c:pt>
                <c:pt idx="1154">
                  <c:v>47</c:v>
                </c:pt>
                <c:pt idx="1155">
                  <c:v>39</c:v>
                </c:pt>
                <c:pt idx="1156">
                  <c:v>40</c:v>
                </c:pt>
                <c:pt idx="1157">
                  <c:v>35</c:v>
                </c:pt>
                <c:pt idx="1158">
                  <c:v>37</c:v>
                </c:pt>
                <c:pt idx="1159">
                  <c:v>39</c:v>
                </c:pt>
                <c:pt idx="1160">
                  <c:v>45</c:v>
                </c:pt>
                <c:pt idx="1161">
                  <c:v>38</c:v>
                </c:pt>
                <c:pt idx="1162">
                  <c:v>35</c:v>
                </c:pt>
                <c:pt idx="1163">
                  <c:v>37</c:v>
                </c:pt>
                <c:pt idx="1164">
                  <c:v>40</c:v>
                </c:pt>
                <c:pt idx="1165">
                  <c:v>44</c:v>
                </c:pt>
                <c:pt idx="1166">
                  <c:v>48</c:v>
                </c:pt>
                <c:pt idx="1167">
                  <c:v>35</c:v>
                </c:pt>
                <c:pt idx="1168">
                  <c:v>24</c:v>
                </c:pt>
                <c:pt idx="1169">
                  <c:v>27</c:v>
                </c:pt>
                <c:pt idx="1170">
                  <c:v>27</c:v>
                </c:pt>
                <c:pt idx="1171">
                  <c:v>40</c:v>
                </c:pt>
                <c:pt idx="1172">
                  <c:v>29</c:v>
                </c:pt>
                <c:pt idx="1173">
                  <c:v>36</c:v>
                </c:pt>
                <c:pt idx="1174">
                  <c:v>25</c:v>
                </c:pt>
                <c:pt idx="1175">
                  <c:v>39</c:v>
                </c:pt>
                <c:pt idx="1176">
                  <c:v>49</c:v>
                </c:pt>
                <c:pt idx="1177">
                  <c:v>50</c:v>
                </c:pt>
                <c:pt idx="1178">
                  <c:v>20</c:v>
                </c:pt>
                <c:pt idx="1179">
                  <c:v>34</c:v>
                </c:pt>
                <c:pt idx="1180">
                  <c:v>36</c:v>
                </c:pt>
                <c:pt idx="1181">
                  <c:v>49</c:v>
                </c:pt>
                <c:pt idx="1182">
                  <c:v>36</c:v>
                </c:pt>
                <c:pt idx="1183">
                  <c:v>36</c:v>
                </c:pt>
                <c:pt idx="1184">
                  <c:v>54</c:v>
                </c:pt>
                <c:pt idx="1185">
                  <c:v>43</c:v>
                </c:pt>
                <c:pt idx="1186">
                  <c:v>35</c:v>
                </c:pt>
                <c:pt idx="1187">
                  <c:v>38</c:v>
                </c:pt>
                <c:pt idx="1188">
                  <c:v>29</c:v>
                </c:pt>
                <c:pt idx="1189">
                  <c:v>33</c:v>
                </c:pt>
                <c:pt idx="1190">
                  <c:v>32</c:v>
                </c:pt>
                <c:pt idx="1191">
                  <c:v>31</c:v>
                </c:pt>
                <c:pt idx="1192">
                  <c:v>49</c:v>
                </c:pt>
                <c:pt idx="1193">
                  <c:v>38</c:v>
                </c:pt>
                <c:pt idx="1194">
                  <c:v>47</c:v>
                </c:pt>
                <c:pt idx="1195">
                  <c:v>49</c:v>
                </c:pt>
                <c:pt idx="1196">
                  <c:v>41</c:v>
                </c:pt>
                <c:pt idx="1197">
                  <c:v>20</c:v>
                </c:pt>
                <c:pt idx="1198">
                  <c:v>33</c:v>
                </c:pt>
                <c:pt idx="1199">
                  <c:v>36</c:v>
                </c:pt>
                <c:pt idx="1200">
                  <c:v>44</c:v>
                </c:pt>
                <c:pt idx="1201">
                  <c:v>23</c:v>
                </c:pt>
                <c:pt idx="1202">
                  <c:v>38</c:v>
                </c:pt>
                <c:pt idx="1203">
                  <c:v>53</c:v>
                </c:pt>
                <c:pt idx="1204">
                  <c:v>48</c:v>
                </c:pt>
                <c:pt idx="1205">
                  <c:v>32</c:v>
                </c:pt>
                <c:pt idx="1206">
                  <c:v>26</c:v>
                </c:pt>
                <c:pt idx="1207">
                  <c:v>55</c:v>
                </c:pt>
                <c:pt idx="1208">
                  <c:v>34</c:v>
                </c:pt>
                <c:pt idx="1209">
                  <c:v>60</c:v>
                </c:pt>
                <c:pt idx="1210">
                  <c:v>33</c:v>
                </c:pt>
                <c:pt idx="1211">
                  <c:v>37</c:v>
                </c:pt>
                <c:pt idx="1212">
                  <c:v>34</c:v>
                </c:pt>
                <c:pt idx="1213">
                  <c:v>23</c:v>
                </c:pt>
                <c:pt idx="1214">
                  <c:v>44</c:v>
                </c:pt>
                <c:pt idx="1215">
                  <c:v>35</c:v>
                </c:pt>
                <c:pt idx="1216">
                  <c:v>43</c:v>
                </c:pt>
                <c:pt idx="1217">
                  <c:v>24</c:v>
                </c:pt>
                <c:pt idx="1218">
                  <c:v>41</c:v>
                </c:pt>
                <c:pt idx="1219">
                  <c:v>29</c:v>
                </c:pt>
                <c:pt idx="1220">
                  <c:v>36</c:v>
                </c:pt>
                <c:pt idx="1221">
                  <c:v>45</c:v>
                </c:pt>
                <c:pt idx="1222">
                  <c:v>24</c:v>
                </c:pt>
                <c:pt idx="1223">
                  <c:v>47</c:v>
                </c:pt>
                <c:pt idx="1224">
                  <c:v>26</c:v>
                </c:pt>
                <c:pt idx="1225">
                  <c:v>45</c:v>
                </c:pt>
                <c:pt idx="1226">
                  <c:v>32</c:v>
                </c:pt>
                <c:pt idx="1227">
                  <c:v>31</c:v>
                </c:pt>
                <c:pt idx="1228">
                  <c:v>41</c:v>
                </c:pt>
                <c:pt idx="1229">
                  <c:v>40</c:v>
                </c:pt>
                <c:pt idx="1230">
                  <c:v>24</c:v>
                </c:pt>
                <c:pt idx="1231">
                  <c:v>46</c:v>
                </c:pt>
                <c:pt idx="1232">
                  <c:v>35</c:v>
                </c:pt>
                <c:pt idx="1233">
                  <c:v>30</c:v>
                </c:pt>
                <c:pt idx="1234">
                  <c:v>47</c:v>
                </c:pt>
                <c:pt idx="1235">
                  <c:v>46</c:v>
                </c:pt>
                <c:pt idx="1236">
                  <c:v>36</c:v>
                </c:pt>
                <c:pt idx="1237">
                  <c:v>32</c:v>
                </c:pt>
                <c:pt idx="1238">
                  <c:v>23</c:v>
                </c:pt>
                <c:pt idx="1239">
                  <c:v>31</c:v>
                </c:pt>
                <c:pt idx="1240">
                  <c:v>39</c:v>
                </c:pt>
                <c:pt idx="1241">
                  <c:v>32</c:v>
                </c:pt>
                <c:pt idx="1242">
                  <c:v>40</c:v>
                </c:pt>
                <c:pt idx="1243">
                  <c:v>45</c:v>
                </c:pt>
                <c:pt idx="1244">
                  <c:v>30</c:v>
                </c:pt>
                <c:pt idx="1245">
                  <c:v>24</c:v>
                </c:pt>
                <c:pt idx="1246">
                  <c:v>30</c:v>
                </c:pt>
                <c:pt idx="1247">
                  <c:v>31</c:v>
                </c:pt>
                <c:pt idx="1248">
                  <c:v>27</c:v>
                </c:pt>
                <c:pt idx="1249">
                  <c:v>29</c:v>
                </c:pt>
                <c:pt idx="1250">
                  <c:v>29</c:v>
                </c:pt>
                <c:pt idx="1251">
                  <c:v>30</c:v>
                </c:pt>
                <c:pt idx="1252">
                  <c:v>34</c:v>
                </c:pt>
                <c:pt idx="1253">
                  <c:v>33</c:v>
                </c:pt>
                <c:pt idx="1254">
                  <c:v>49</c:v>
                </c:pt>
                <c:pt idx="1255">
                  <c:v>33</c:v>
                </c:pt>
                <c:pt idx="1256">
                  <c:v>38</c:v>
                </c:pt>
                <c:pt idx="1257">
                  <c:v>31</c:v>
                </c:pt>
                <c:pt idx="1258">
                  <c:v>29</c:v>
                </c:pt>
                <c:pt idx="1259">
                  <c:v>30</c:v>
                </c:pt>
                <c:pt idx="1260">
                  <c:v>32</c:v>
                </c:pt>
                <c:pt idx="1261">
                  <c:v>38</c:v>
                </c:pt>
                <c:pt idx="1262">
                  <c:v>43</c:v>
                </c:pt>
                <c:pt idx="1263">
                  <c:v>42</c:v>
                </c:pt>
                <c:pt idx="1264">
                  <c:v>55</c:v>
                </c:pt>
                <c:pt idx="1265">
                  <c:v>33</c:v>
                </c:pt>
                <c:pt idx="1266">
                  <c:v>41</c:v>
                </c:pt>
                <c:pt idx="1267">
                  <c:v>34</c:v>
                </c:pt>
                <c:pt idx="1268">
                  <c:v>53</c:v>
                </c:pt>
                <c:pt idx="1269">
                  <c:v>43</c:v>
                </c:pt>
                <c:pt idx="1270">
                  <c:v>34</c:v>
                </c:pt>
                <c:pt idx="1271">
                  <c:v>21</c:v>
                </c:pt>
                <c:pt idx="1272">
                  <c:v>38</c:v>
                </c:pt>
                <c:pt idx="1273">
                  <c:v>22</c:v>
                </c:pt>
                <c:pt idx="1274">
                  <c:v>31</c:v>
                </c:pt>
                <c:pt idx="1275">
                  <c:v>51</c:v>
                </c:pt>
                <c:pt idx="1276">
                  <c:v>37</c:v>
                </c:pt>
                <c:pt idx="1277">
                  <c:v>46</c:v>
                </c:pt>
                <c:pt idx="1278">
                  <c:v>36</c:v>
                </c:pt>
                <c:pt idx="1279">
                  <c:v>44</c:v>
                </c:pt>
                <c:pt idx="1280">
                  <c:v>37</c:v>
                </c:pt>
                <c:pt idx="1281">
                  <c:v>35</c:v>
                </c:pt>
                <c:pt idx="1282">
                  <c:v>33</c:v>
                </c:pt>
                <c:pt idx="1283">
                  <c:v>28</c:v>
                </c:pt>
                <c:pt idx="1284">
                  <c:v>39</c:v>
                </c:pt>
                <c:pt idx="1285">
                  <c:v>46</c:v>
                </c:pt>
                <c:pt idx="1286">
                  <c:v>40</c:v>
                </c:pt>
                <c:pt idx="1287">
                  <c:v>42</c:v>
                </c:pt>
                <c:pt idx="1288">
                  <c:v>35</c:v>
                </c:pt>
                <c:pt idx="1289">
                  <c:v>38</c:v>
                </c:pt>
                <c:pt idx="1290">
                  <c:v>34</c:v>
                </c:pt>
                <c:pt idx="1291">
                  <c:v>37</c:v>
                </c:pt>
                <c:pt idx="1292">
                  <c:v>39</c:v>
                </c:pt>
                <c:pt idx="1293">
                  <c:v>43</c:v>
                </c:pt>
                <c:pt idx="1294">
                  <c:v>41</c:v>
                </c:pt>
                <c:pt idx="1295">
                  <c:v>41</c:v>
                </c:pt>
                <c:pt idx="1296">
                  <c:v>30</c:v>
                </c:pt>
                <c:pt idx="1297">
                  <c:v>26</c:v>
                </c:pt>
                <c:pt idx="1298">
                  <c:v>46</c:v>
                </c:pt>
                <c:pt idx="1299">
                  <c:v>40</c:v>
                </c:pt>
                <c:pt idx="1300">
                  <c:v>34</c:v>
                </c:pt>
                <c:pt idx="1301">
                  <c:v>58</c:v>
                </c:pt>
                <c:pt idx="1302">
                  <c:v>35</c:v>
                </c:pt>
                <c:pt idx="1303">
                  <c:v>47</c:v>
                </c:pt>
                <c:pt idx="1304">
                  <c:v>40</c:v>
                </c:pt>
                <c:pt idx="1305">
                  <c:v>54</c:v>
                </c:pt>
                <c:pt idx="1306">
                  <c:v>31</c:v>
                </c:pt>
                <c:pt idx="1307">
                  <c:v>28</c:v>
                </c:pt>
                <c:pt idx="1308">
                  <c:v>38</c:v>
                </c:pt>
                <c:pt idx="1309">
                  <c:v>26</c:v>
                </c:pt>
                <c:pt idx="1310">
                  <c:v>58</c:v>
                </c:pt>
                <c:pt idx="1311">
                  <c:v>18</c:v>
                </c:pt>
                <c:pt idx="1312">
                  <c:v>31</c:v>
                </c:pt>
                <c:pt idx="1313">
                  <c:v>29</c:v>
                </c:pt>
                <c:pt idx="1314">
                  <c:v>45</c:v>
                </c:pt>
                <c:pt idx="1315">
                  <c:v>36</c:v>
                </c:pt>
                <c:pt idx="1316">
                  <c:v>43</c:v>
                </c:pt>
                <c:pt idx="1317">
                  <c:v>27</c:v>
                </c:pt>
                <c:pt idx="1318">
                  <c:v>29</c:v>
                </c:pt>
                <c:pt idx="1319">
                  <c:v>32</c:v>
                </c:pt>
                <c:pt idx="1320">
                  <c:v>42</c:v>
                </c:pt>
                <c:pt idx="1321">
                  <c:v>47</c:v>
                </c:pt>
                <c:pt idx="1322">
                  <c:v>46</c:v>
                </c:pt>
                <c:pt idx="1323">
                  <c:v>28</c:v>
                </c:pt>
                <c:pt idx="1324">
                  <c:v>29</c:v>
                </c:pt>
                <c:pt idx="1325">
                  <c:v>42</c:v>
                </c:pt>
                <c:pt idx="1326">
                  <c:v>32</c:v>
                </c:pt>
                <c:pt idx="1327">
                  <c:v>46</c:v>
                </c:pt>
                <c:pt idx="1328">
                  <c:v>27</c:v>
                </c:pt>
                <c:pt idx="1329">
                  <c:v>29</c:v>
                </c:pt>
                <c:pt idx="1330">
                  <c:v>43</c:v>
                </c:pt>
                <c:pt idx="1331">
                  <c:v>48</c:v>
                </c:pt>
                <c:pt idx="1332">
                  <c:v>29</c:v>
                </c:pt>
                <c:pt idx="1333">
                  <c:v>46</c:v>
                </c:pt>
                <c:pt idx="1334">
                  <c:v>27</c:v>
                </c:pt>
                <c:pt idx="1335">
                  <c:v>39</c:v>
                </c:pt>
                <c:pt idx="1336">
                  <c:v>55</c:v>
                </c:pt>
                <c:pt idx="1337">
                  <c:v>28</c:v>
                </c:pt>
                <c:pt idx="1338">
                  <c:v>30</c:v>
                </c:pt>
                <c:pt idx="1339">
                  <c:v>22</c:v>
                </c:pt>
                <c:pt idx="1340">
                  <c:v>36</c:v>
                </c:pt>
                <c:pt idx="1341">
                  <c:v>31</c:v>
                </c:pt>
                <c:pt idx="1342">
                  <c:v>34</c:v>
                </c:pt>
                <c:pt idx="1343">
                  <c:v>29</c:v>
                </c:pt>
                <c:pt idx="1344">
                  <c:v>37</c:v>
                </c:pt>
                <c:pt idx="1345">
                  <c:v>35</c:v>
                </c:pt>
                <c:pt idx="1346">
                  <c:v>45</c:v>
                </c:pt>
                <c:pt idx="1347">
                  <c:v>36</c:v>
                </c:pt>
                <c:pt idx="1348">
                  <c:v>40</c:v>
                </c:pt>
                <c:pt idx="1349">
                  <c:v>26</c:v>
                </c:pt>
                <c:pt idx="1350">
                  <c:v>27</c:v>
                </c:pt>
                <c:pt idx="1351">
                  <c:v>48</c:v>
                </c:pt>
                <c:pt idx="1352">
                  <c:v>44</c:v>
                </c:pt>
                <c:pt idx="1353">
                  <c:v>34</c:v>
                </c:pt>
                <c:pt idx="1354">
                  <c:v>56</c:v>
                </c:pt>
                <c:pt idx="1355">
                  <c:v>36</c:v>
                </c:pt>
                <c:pt idx="1356">
                  <c:v>41</c:v>
                </c:pt>
                <c:pt idx="1357">
                  <c:v>42</c:v>
                </c:pt>
                <c:pt idx="1358">
                  <c:v>31</c:v>
                </c:pt>
                <c:pt idx="1359">
                  <c:v>34</c:v>
                </c:pt>
                <c:pt idx="1360">
                  <c:v>31</c:v>
                </c:pt>
                <c:pt idx="1361">
                  <c:v>26</c:v>
                </c:pt>
                <c:pt idx="1362">
                  <c:v>45</c:v>
                </c:pt>
                <c:pt idx="1363">
                  <c:v>33</c:v>
                </c:pt>
                <c:pt idx="1364">
                  <c:v>28</c:v>
                </c:pt>
                <c:pt idx="1365">
                  <c:v>29</c:v>
                </c:pt>
                <c:pt idx="1366">
                  <c:v>39</c:v>
                </c:pt>
                <c:pt idx="1367">
                  <c:v>27</c:v>
                </c:pt>
                <c:pt idx="1368">
                  <c:v>34</c:v>
                </c:pt>
                <c:pt idx="1369">
                  <c:v>28</c:v>
                </c:pt>
                <c:pt idx="1370">
                  <c:v>47</c:v>
                </c:pt>
                <c:pt idx="1371">
                  <c:v>56</c:v>
                </c:pt>
                <c:pt idx="1372">
                  <c:v>39</c:v>
                </c:pt>
                <c:pt idx="1373">
                  <c:v>38</c:v>
                </c:pt>
                <c:pt idx="1374">
                  <c:v>58</c:v>
                </c:pt>
                <c:pt idx="1375">
                  <c:v>32</c:v>
                </c:pt>
                <c:pt idx="1376">
                  <c:v>38</c:v>
                </c:pt>
                <c:pt idx="1377">
                  <c:v>49</c:v>
                </c:pt>
                <c:pt idx="1378">
                  <c:v>42</c:v>
                </c:pt>
                <c:pt idx="1379">
                  <c:v>27</c:v>
                </c:pt>
                <c:pt idx="1380">
                  <c:v>35</c:v>
                </c:pt>
                <c:pt idx="1381">
                  <c:v>28</c:v>
                </c:pt>
                <c:pt idx="1382">
                  <c:v>31</c:v>
                </c:pt>
                <c:pt idx="1383">
                  <c:v>36</c:v>
                </c:pt>
                <c:pt idx="1384">
                  <c:v>34</c:v>
                </c:pt>
                <c:pt idx="1385">
                  <c:v>34</c:v>
                </c:pt>
                <c:pt idx="1386">
                  <c:v>26</c:v>
                </c:pt>
                <c:pt idx="1387">
                  <c:v>29</c:v>
                </c:pt>
                <c:pt idx="1388">
                  <c:v>32</c:v>
                </c:pt>
                <c:pt idx="1389">
                  <c:v>31</c:v>
                </c:pt>
                <c:pt idx="1390">
                  <c:v>28</c:v>
                </c:pt>
                <c:pt idx="1391">
                  <c:v>38</c:v>
                </c:pt>
                <c:pt idx="1392">
                  <c:v>35</c:v>
                </c:pt>
                <c:pt idx="1393">
                  <c:v>27</c:v>
                </c:pt>
                <c:pt idx="1394">
                  <c:v>32</c:v>
                </c:pt>
                <c:pt idx="1395">
                  <c:v>31</c:v>
                </c:pt>
                <c:pt idx="1396">
                  <c:v>53</c:v>
                </c:pt>
                <c:pt idx="1397">
                  <c:v>54</c:v>
                </c:pt>
                <c:pt idx="1398">
                  <c:v>33</c:v>
                </c:pt>
                <c:pt idx="1399">
                  <c:v>43</c:v>
                </c:pt>
                <c:pt idx="1400">
                  <c:v>38</c:v>
                </c:pt>
                <c:pt idx="1401">
                  <c:v>55</c:v>
                </c:pt>
                <c:pt idx="1402">
                  <c:v>31</c:v>
                </c:pt>
                <c:pt idx="1403">
                  <c:v>39</c:v>
                </c:pt>
                <c:pt idx="1404">
                  <c:v>42</c:v>
                </c:pt>
                <c:pt idx="1405">
                  <c:v>31</c:v>
                </c:pt>
                <c:pt idx="1406">
                  <c:v>54</c:v>
                </c:pt>
                <c:pt idx="1407">
                  <c:v>24</c:v>
                </c:pt>
                <c:pt idx="1408">
                  <c:v>23</c:v>
                </c:pt>
                <c:pt idx="1409">
                  <c:v>40</c:v>
                </c:pt>
                <c:pt idx="1410">
                  <c:v>40</c:v>
                </c:pt>
                <c:pt idx="1411">
                  <c:v>25</c:v>
                </c:pt>
                <c:pt idx="1412">
                  <c:v>30</c:v>
                </c:pt>
                <c:pt idx="1413">
                  <c:v>25</c:v>
                </c:pt>
                <c:pt idx="1414">
                  <c:v>47</c:v>
                </c:pt>
                <c:pt idx="1415">
                  <c:v>33</c:v>
                </c:pt>
                <c:pt idx="1416">
                  <c:v>38</c:v>
                </c:pt>
                <c:pt idx="1417">
                  <c:v>31</c:v>
                </c:pt>
                <c:pt idx="1418">
                  <c:v>38</c:v>
                </c:pt>
                <c:pt idx="1419">
                  <c:v>42</c:v>
                </c:pt>
                <c:pt idx="1420">
                  <c:v>41</c:v>
                </c:pt>
                <c:pt idx="1421">
                  <c:v>47</c:v>
                </c:pt>
                <c:pt idx="1422">
                  <c:v>35</c:v>
                </c:pt>
                <c:pt idx="1423">
                  <c:v>22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40</c:v>
                </c:pt>
                <c:pt idx="1428">
                  <c:v>32</c:v>
                </c:pt>
                <c:pt idx="1429">
                  <c:v>39</c:v>
                </c:pt>
                <c:pt idx="1430">
                  <c:v>38</c:v>
                </c:pt>
                <c:pt idx="1431">
                  <c:v>32</c:v>
                </c:pt>
                <c:pt idx="1432">
                  <c:v>37</c:v>
                </c:pt>
                <c:pt idx="1433">
                  <c:v>25</c:v>
                </c:pt>
                <c:pt idx="1434">
                  <c:v>52</c:v>
                </c:pt>
                <c:pt idx="1435">
                  <c:v>44</c:v>
                </c:pt>
                <c:pt idx="1436">
                  <c:v>21</c:v>
                </c:pt>
                <c:pt idx="1437">
                  <c:v>39</c:v>
                </c:pt>
                <c:pt idx="1438">
                  <c:v>23</c:v>
                </c:pt>
                <c:pt idx="1439">
                  <c:v>36</c:v>
                </c:pt>
                <c:pt idx="1440">
                  <c:v>36</c:v>
                </c:pt>
                <c:pt idx="1441">
                  <c:v>56</c:v>
                </c:pt>
                <c:pt idx="1442">
                  <c:v>29</c:v>
                </c:pt>
                <c:pt idx="1443">
                  <c:v>42</c:v>
                </c:pt>
                <c:pt idx="1444">
                  <c:v>56</c:v>
                </c:pt>
                <c:pt idx="1445">
                  <c:v>41</c:v>
                </c:pt>
                <c:pt idx="1446">
                  <c:v>34</c:v>
                </c:pt>
                <c:pt idx="1447">
                  <c:v>36</c:v>
                </c:pt>
                <c:pt idx="1448">
                  <c:v>41</c:v>
                </c:pt>
                <c:pt idx="1449">
                  <c:v>32</c:v>
                </c:pt>
                <c:pt idx="1450">
                  <c:v>35</c:v>
                </c:pt>
                <c:pt idx="1451">
                  <c:v>38</c:v>
                </c:pt>
                <c:pt idx="1452">
                  <c:v>50</c:v>
                </c:pt>
                <c:pt idx="1453">
                  <c:v>36</c:v>
                </c:pt>
                <c:pt idx="1454">
                  <c:v>45</c:v>
                </c:pt>
                <c:pt idx="1455">
                  <c:v>40</c:v>
                </c:pt>
                <c:pt idx="1456">
                  <c:v>35</c:v>
                </c:pt>
                <c:pt idx="1457">
                  <c:v>40</c:v>
                </c:pt>
                <c:pt idx="1458">
                  <c:v>35</c:v>
                </c:pt>
                <c:pt idx="1459">
                  <c:v>29</c:v>
                </c:pt>
                <c:pt idx="1460">
                  <c:v>29</c:v>
                </c:pt>
                <c:pt idx="1461">
                  <c:v>50</c:v>
                </c:pt>
                <c:pt idx="1462">
                  <c:v>39</c:v>
                </c:pt>
                <c:pt idx="1463">
                  <c:v>31</c:v>
                </c:pt>
                <c:pt idx="1464">
                  <c:v>26</c:v>
                </c:pt>
                <c:pt idx="1465">
                  <c:v>36</c:v>
                </c:pt>
                <c:pt idx="1466">
                  <c:v>39</c:v>
                </c:pt>
                <c:pt idx="1467">
                  <c:v>27</c:v>
                </c:pt>
                <c:pt idx="1468">
                  <c:v>49</c:v>
                </c:pt>
                <c:pt idx="1469">
                  <c:v>34</c:v>
                </c:pt>
              </c:numCache>
            </c:numRef>
          </c:xVal>
          <c:yVal>
            <c:numRef>
              <c:f>Dataset!$Q$2:$Q$1471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A-457C-ABC0-37925D714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470016"/>
        <c:axId val="2033246704"/>
      </c:scatterChart>
      <c:valAx>
        <c:axId val="44347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46704"/>
        <c:crosses val="autoZero"/>
        <c:crossBetween val="midCat"/>
      </c:valAx>
      <c:valAx>
        <c:axId val="2033246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</a:t>
                </a:r>
                <a:r>
                  <a:rPr lang="en-US" baseline="0"/>
                  <a:t> Satisfaction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7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 Dashboard.xlsx]Medium level answers!PivotTable1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</a:t>
            </a:r>
            <a:r>
              <a:rPr lang="en-US" baseline="0"/>
              <a:t> of Training on Employee Attrition</a:t>
            </a:r>
            <a:endParaRPr lang="en-US"/>
          </a:p>
        </c:rich>
      </c:tx>
      <c:layout>
        <c:manualLayout>
          <c:xMode val="edge"/>
          <c:yMode val="edge"/>
          <c:x val="0.17605555555555555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3928937007874014"/>
          <c:y val="0.27458114610673667"/>
          <c:w val="0.40976618547681543"/>
          <c:h val="0.52549613589967925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'Medium level answers'!$C$53:$C$54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'Medium level answers'!$B$55:$B$62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'Medium level answers'!$C$55:$C$62</c:f>
              <c:numCache>
                <c:formatCode>General</c:formatCode>
                <c:ptCount val="7"/>
                <c:pt idx="0">
                  <c:v>39</c:v>
                </c:pt>
                <c:pt idx="1">
                  <c:v>62</c:v>
                </c:pt>
                <c:pt idx="2">
                  <c:v>449</c:v>
                </c:pt>
                <c:pt idx="3">
                  <c:v>422</c:v>
                </c:pt>
                <c:pt idx="4">
                  <c:v>97</c:v>
                </c:pt>
                <c:pt idx="5">
                  <c:v>105</c:v>
                </c:pt>
                <c:pt idx="6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F-489C-9EB5-8A727DFF34B6}"/>
            </c:ext>
          </c:extLst>
        </c:ser>
        <c:ser>
          <c:idx val="1"/>
          <c:order val="1"/>
          <c:tx>
            <c:strRef>
              <c:f>'Medium level answers'!$D$53:$D$54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'Medium level answers'!$B$55:$B$62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'Medium level answers'!$D$55:$D$62</c:f>
              <c:numCache>
                <c:formatCode>General</c:formatCode>
                <c:ptCount val="7"/>
                <c:pt idx="0">
                  <c:v>15</c:v>
                </c:pt>
                <c:pt idx="1">
                  <c:v>9</c:v>
                </c:pt>
                <c:pt idx="2">
                  <c:v>98</c:v>
                </c:pt>
                <c:pt idx="3">
                  <c:v>69</c:v>
                </c:pt>
                <c:pt idx="4">
                  <c:v>26</c:v>
                </c:pt>
                <c:pt idx="5">
                  <c:v>14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F-489C-9EB5-8A727DFF34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62576944"/>
        <c:axId val="1925639535"/>
        <c:axId val="0"/>
      </c:bar3DChart>
      <c:catAx>
        <c:axId val="96257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Training</a:t>
                </a:r>
                <a:r>
                  <a:rPr lang="en-US" baseline="0"/>
                  <a:t> Time Last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639535"/>
        <c:crosses val="autoZero"/>
        <c:auto val="1"/>
        <c:lblAlgn val="ctr"/>
        <c:lblOffset val="100"/>
        <c:noMultiLvlLbl val="0"/>
      </c:catAx>
      <c:valAx>
        <c:axId val="1925639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No.of</a:t>
                </a:r>
                <a:r>
                  <a:rPr lang="en-US" baseline="0"/>
                  <a:t> Employees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57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Dataset!$AE$1</c:f>
              <c:strCache>
                <c:ptCount val="1"/>
                <c:pt idx="0">
                  <c:v>WorkLifeBalance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Dataset!$Y$2:$Y$1471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Dataset!$AE$2:$AE$1471</c:f>
              <c:numCache>
                <c:formatCode>General</c:formatCode>
                <c:ptCount val="147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3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2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1</c:v>
                </c:pt>
                <c:pt idx="464">
                  <c:v>4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4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2</c:v>
                </c:pt>
                <c:pt idx="641">
                  <c:v>3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1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2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1</c:v>
                </c:pt>
                <c:pt idx="691">
                  <c:v>3</c:v>
                </c:pt>
                <c:pt idx="692">
                  <c:v>4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4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3</c:v>
                </c:pt>
                <c:pt idx="724">
                  <c:v>3</c:v>
                </c:pt>
                <c:pt idx="725">
                  <c:v>1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3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3</c:v>
                </c:pt>
                <c:pt idx="818">
                  <c:v>3</c:v>
                </c:pt>
                <c:pt idx="819">
                  <c:v>1</c:v>
                </c:pt>
                <c:pt idx="820">
                  <c:v>3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2</c:v>
                </c:pt>
                <c:pt idx="832">
                  <c:v>3</c:v>
                </c:pt>
                <c:pt idx="833">
                  <c:v>3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3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3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4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2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4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2</c:v>
                </c:pt>
                <c:pt idx="948">
                  <c:v>3</c:v>
                </c:pt>
                <c:pt idx="949">
                  <c:v>3</c:v>
                </c:pt>
                <c:pt idx="950">
                  <c:v>2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4</c:v>
                </c:pt>
                <c:pt idx="1015">
                  <c:v>3</c:v>
                </c:pt>
                <c:pt idx="1016">
                  <c:v>4</c:v>
                </c:pt>
                <c:pt idx="1017">
                  <c:v>4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4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4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1</c:v>
                </c:pt>
                <c:pt idx="1037">
                  <c:v>4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4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4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2</c:v>
                </c:pt>
                <c:pt idx="1069">
                  <c:v>1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3</c:v>
                </c:pt>
                <c:pt idx="1077">
                  <c:v>1</c:v>
                </c:pt>
                <c:pt idx="1078">
                  <c:v>4</c:v>
                </c:pt>
                <c:pt idx="1079">
                  <c:v>3</c:v>
                </c:pt>
                <c:pt idx="1080">
                  <c:v>4</c:v>
                </c:pt>
                <c:pt idx="1081">
                  <c:v>1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3</c:v>
                </c:pt>
                <c:pt idx="1120">
                  <c:v>4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3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2</c:v>
                </c:pt>
                <c:pt idx="1191">
                  <c:v>3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3</c:v>
                </c:pt>
                <c:pt idx="1211">
                  <c:v>2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3</c:v>
                </c:pt>
                <c:pt idx="1223">
                  <c:v>1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4</c:v>
                </c:pt>
                <c:pt idx="1228">
                  <c:v>3</c:v>
                </c:pt>
                <c:pt idx="1229">
                  <c:v>3</c:v>
                </c:pt>
                <c:pt idx="1230">
                  <c:v>4</c:v>
                </c:pt>
                <c:pt idx="1231">
                  <c:v>3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1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3</c:v>
                </c:pt>
                <c:pt idx="1250">
                  <c:v>4</c:v>
                </c:pt>
                <c:pt idx="1251">
                  <c:v>3</c:v>
                </c:pt>
                <c:pt idx="1252">
                  <c:v>3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3</c:v>
                </c:pt>
                <c:pt idx="1267">
                  <c:v>3</c:v>
                </c:pt>
                <c:pt idx="1268">
                  <c:v>2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2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4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2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1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4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3</c:v>
                </c:pt>
                <c:pt idx="1376">
                  <c:v>4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1</c:v>
                </c:pt>
                <c:pt idx="1381">
                  <c:v>2</c:v>
                </c:pt>
                <c:pt idx="1382">
                  <c:v>4</c:v>
                </c:pt>
                <c:pt idx="1383">
                  <c:v>3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2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4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2</c:v>
                </c:pt>
                <c:pt idx="1454">
                  <c:v>3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38-44A0-AB38-1FBE581FC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572336"/>
        <c:axId val="1569473936"/>
      </c:scatterChart>
      <c:valAx>
        <c:axId val="158857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</a:t>
                </a:r>
                <a:r>
                  <a:rPr lang="en-US" baseline="0"/>
                  <a:t> Life Balance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73936"/>
        <c:crosses val="autoZero"/>
        <c:crossBetween val="midCat"/>
      </c:valAx>
      <c:valAx>
        <c:axId val="15694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Performance</a:t>
                </a:r>
                <a:r>
                  <a:rPr lang="en-US" baseline="0"/>
                  <a:t> rating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57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Dashboard.xlsx]Medium level answers!PivotTable2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</a:t>
            </a:r>
            <a:r>
              <a:rPr lang="en-US" baseline="0"/>
              <a:t>  Options for Attrition Employee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level answers'!$C$95:$C$96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level answers'!$B$97:$B$101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'Medium level answers'!$C$97:$C$101</c:f>
              <c:numCache>
                <c:formatCode>General</c:formatCode>
                <c:ptCount val="4"/>
                <c:pt idx="0">
                  <c:v>477</c:v>
                </c:pt>
                <c:pt idx="1">
                  <c:v>540</c:v>
                </c:pt>
                <c:pt idx="2">
                  <c:v>146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4-43A4-B1A2-1F916F0F55C7}"/>
            </c:ext>
          </c:extLst>
        </c:ser>
        <c:ser>
          <c:idx val="1"/>
          <c:order val="1"/>
          <c:tx>
            <c:strRef>
              <c:f>'Medium level answers'!$D$95:$D$96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level answers'!$B$97:$B$101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'Medium level answers'!$D$97:$D$101</c:f>
              <c:numCache>
                <c:formatCode>General</c:formatCode>
                <c:ptCount val="4"/>
                <c:pt idx="0">
                  <c:v>154</c:v>
                </c:pt>
                <c:pt idx="1">
                  <c:v>56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A4-43A4-B1A2-1F916F0F55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03901120"/>
        <c:axId val="1569484976"/>
      </c:barChart>
      <c:catAx>
        <c:axId val="170390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</a:t>
                </a:r>
                <a:r>
                  <a:rPr lang="en-US" baseline="0"/>
                  <a:t> Option Level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643635170603673"/>
              <c:y val="0.81127515310586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84976"/>
        <c:crosses val="autoZero"/>
        <c:auto val="1"/>
        <c:lblAlgn val="ctr"/>
        <c:lblOffset val="100"/>
        <c:noMultiLvlLbl val="0"/>
      </c:catAx>
      <c:valAx>
        <c:axId val="1569484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222222222222223E-2"/>
              <c:y val="0.25356846019247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0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Dataset!$AF$1</c:f>
              <c:strCache>
                <c:ptCount val="1"/>
                <c:pt idx="0">
                  <c:v>YearsAtCompany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Dataset!$Q$2:$Q$1471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xVal>
          <c:yVal>
            <c:numRef>
              <c:f>Dataset!$AF$2:$AF$1471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C2-493C-835C-E1270317D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904368"/>
        <c:axId val="1569416336"/>
      </c:scatterChart>
      <c:valAx>
        <c:axId val="170390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</a:t>
                </a:r>
                <a:r>
                  <a:rPr lang="en-US" baseline="0"/>
                  <a:t> Satisfaction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712379702537185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16336"/>
        <c:crosses val="autoZero"/>
        <c:crossBetween val="midCat"/>
      </c:valAx>
      <c:valAx>
        <c:axId val="156941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  <a:r>
                  <a:rPr lang="en-US" baseline="0"/>
                  <a:t> At Company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888888888888888E-2"/>
              <c:y val="0.30689049285505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0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Dataset!$AH$1</c:f>
              <c:strCache>
                <c:ptCount val="1"/>
                <c:pt idx="0">
                  <c:v>YearsSinceLastPromotion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Dataset!$Y$2:$Y$1471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Dataset!$AH$2:$AH$1471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15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8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9</c:v>
                </c:pt>
                <c:pt idx="62">
                  <c:v>13</c:v>
                </c:pt>
                <c:pt idx="63">
                  <c:v>7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</c:v>
                </c:pt>
                <c:pt idx="89">
                  <c:v>4</c:v>
                </c:pt>
                <c:pt idx="90">
                  <c:v>11</c:v>
                </c:pt>
                <c:pt idx="91">
                  <c:v>1</c:v>
                </c:pt>
                <c:pt idx="92">
                  <c:v>2</c:v>
                </c:pt>
                <c:pt idx="93">
                  <c:v>9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15</c:v>
                </c:pt>
                <c:pt idx="124">
                  <c:v>7</c:v>
                </c:pt>
                <c:pt idx="125">
                  <c:v>4</c:v>
                </c:pt>
                <c:pt idx="126">
                  <c:v>15</c:v>
                </c:pt>
                <c:pt idx="127">
                  <c:v>0</c:v>
                </c:pt>
                <c:pt idx="128">
                  <c:v>2</c:v>
                </c:pt>
                <c:pt idx="129">
                  <c:v>5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5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7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7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7</c:v>
                </c:pt>
                <c:pt idx="173">
                  <c:v>6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9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11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5</c:v>
                </c:pt>
                <c:pt idx="212">
                  <c:v>0</c:v>
                </c:pt>
                <c:pt idx="213">
                  <c:v>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12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0</c:v>
                </c:pt>
                <c:pt idx="223">
                  <c:v>5</c:v>
                </c:pt>
                <c:pt idx="224">
                  <c:v>1</c:v>
                </c:pt>
                <c:pt idx="225">
                  <c:v>0</c:v>
                </c:pt>
                <c:pt idx="226">
                  <c:v>5</c:v>
                </c:pt>
                <c:pt idx="227">
                  <c:v>4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7</c:v>
                </c:pt>
                <c:pt idx="257">
                  <c:v>3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7</c:v>
                </c:pt>
                <c:pt idx="262">
                  <c:v>0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7</c:v>
                </c:pt>
                <c:pt idx="267">
                  <c:v>1</c:v>
                </c:pt>
                <c:pt idx="268">
                  <c:v>4</c:v>
                </c:pt>
                <c:pt idx="269">
                  <c:v>10</c:v>
                </c:pt>
                <c:pt idx="270">
                  <c:v>4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6</c:v>
                </c:pt>
                <c:pt idx="277">
                  <c:v>7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11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5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7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4</c:v>
                </c:pt>
                <c:pt idx="296">
                  <c:v>0</c:v>
                </c:pt>
                <c:pt idx="297">
                  <c:v>6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</c:v>
                </c:pt>
                <c:pt idx="304">
                  <c:v>3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9</c:v>
                </c:pt>
                <c:pt idx="312">
                  <c:v>2</c:v>
                </c:pt>
                <c:pt idx="313">
                  <c:v>8</c:v>
                </c:pt>
                <c:pt idx="314">
                  <c:v>11</c:v>
                </c:pt>
                <c:pt idx="315">
                  <c:v>1</c:v>
                </c:pt>
                <c:pt idx="316">
                  <c:v>0</c:v>
                </c:pt>
                <c:pt idx="317">
                  <c:v>7</c:v>
                </c:pt>
                <c:pt idx="318">
                  <c:v>1</c:v>
                </c:pt>
                <c:pt idx="319">
                  <c:v>11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2</c:v>
                </c:pt>
                <c:pt idx="324">
                  <c:v>1</c:v>
                </c:pt>
                <c:pt idx="325">
                  <c:v>8</c:v>
                </c:pt>
                <c:pt idx="326">
                  <c:v>13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9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12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7</c:v>
                </c:pt>
                <c:pt idx="402">
                  <c:v>4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7</c:v>
                </c:pt>
                <c:pt idx="424">
                  <c:v>0</c:v>
                </c:pt>
                <c:pt idx="425">
                  <c:v>15</c:v>
                </c:pt>
                <c:pt idx="426">
                  <c:v>6</c:v>
                </c:pt>
                <c:pt idx="427">
                  <c:v>13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7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9</c:v>
                </c:pt>
                <c:pt idx="443">
                  <c:v>1</c:v>
                </c:pt>
                <c:pt idx="444">
                  <c:v>6</c:v>
                </c:pt>
                <c:pt idx="445">
                  <c:v>7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5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11</c:v>
                </c:pt>
                <c:pt idx="467">
                  <c:v>7</c:v>
                </c:pt>
                <c:pt idx="468">
                  <c:v>6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4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5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8</c:v>
                </c:pt>
                <c:pt idx="503">
                  <c:v>8</c:v>
                </c:pt>
                <c:pt idx="504">
                  <c:v>0</c:v>
                </c:pt>
                <c:pt idx="505">
                  <c:v>0</c:v>
                </c:pt>
                <c:pt idx="506">
                  <c:v>7</c:v>
                </c:pt>
                <c:pt idx="507">
                  <c:v>1</c:v>
                </c:pt>
                <c:pt idx="508">
                  <c:v>11</c:v>
                </c:pt>
                <c:pt idx="509">
                  <c:v>4</c:v>
                </c:pt>
                <c:pt idx="510">
                  <c:v>7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9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2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3</c:v>
                </c:pt>
                <c:pt idx="524">
                  <c:v>7</c:v>
                </c:pt>
                <c:pt idx="525">
                  <c:v>2</c:v>
                </c:pt>
                <c:pt idx="526">
                  <c:v>11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7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3</c:v>
                </c:pt>
                <c:pt idx="552">
                  <c:v>1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7</c:v>
                </c:pt>
                <c:pt idx="563">
                  <c:v>1</c:v>
                </c:pt>
                <c:pt idx="564">
                  <c:v>3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14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0</c:v>
                </c:pt>
                <c:pt idx="592">
                  <c:v>3</c:v>
                </c:pt>
                <c:pt idx="593">
                  <c:v>0</c:v>
                </c:pt>
                <c:pt idx="594">
                  <c:v>0</c:v>
                </c:pt>
                <c:pt idx="595">
                  <c:v>13</c:v>
                </c:pt>
                <c:pt idx="596">
                  <c:v>2</c:v>
                </c:pt>
                <c:pt idx="597">
                  <c:v>0</c:v>
                </c:pt>
                <c:pt idx="598">
                  <c:v>2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7</c:v>
                </c:pt>
                <c:pt idx="605">
                  <c:v>1</c:v>
                </c:pt>
                <c:pt idx="606">
                  <c:v>1</c:v>
                </c:pt>
                <c:pt idx="607">
                  <c:v>7</c:v>
                </c:pt>
                <c:pt idx="608">
                  <c:v>7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7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4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2</c:v>
                </c:pt>
                <c:pt idx="633">
                  <c:v>0</c:v>
                </c:pt>
                <c:pt idx="634">
                  <c:v>0</c:v>
                </c:pt>
                <c:pt idx="635">
                  <c:v>5</c:v>
                </c:pt>
                <c:pt idx="636">
                  <c:v>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3</c:v>
                </c:pt>
                <c:pt idx="641">
                  <c:v>5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0</c:v>
                </c:pt>
                <c:pt idx="649">
                  <c:v>3</c:v>
                </c:pt>
                <c:pt idx="650">
                  <c:v>2</c:v>
                </c:pt>
                <c:pt idx="651">
                  <c:v>7</c:v>
                </c:pt>
                <c:pt idx="652">
                  <c:v>0</c:v>
                </c:pt>
                <c:pt idx="653">
                  <c:v>14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7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0</c:v>
                </c:pt>
                <c:pt idx="689">
                  <c:v>0</c:v>
                </c:pt>
                <c:pt idx="690">
                  <c:v>8</c:v>
                </c:pt>
                <c:pt idx="691">
                  <c:v>0</c:v>
                </c:pt>
                <c:pt idx="692">
                  <c:v>6</c:v>
                </c:pt>
                <c:pt idx="693">
                  <c:v>3</c:v>
                </c:pt>
                <c:pt idx="694">
                  <c:v>1</c:v>
                </c:pt>
                <c:pt idx="695">
                  <c:v>11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7</c:v>
                </c:pt>
                <c:pt idx="700">
                  <c:v>0</c:v>
                </c:pt>
                <c:pt idx="701">
                  <c:v>15</c:v>
                </c:pt>
                <c:pt idx="702">
                  <c:v>7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4</c:v>
                </c:pt>
                <c:pt idx="737">
                  <c:v>2</c:v>
                </c:pt>
                <c:pt idx="738">
                  <c:v>11</c:v>
                </c:pt>
                <c:pt idx="739">
                  <c:v>2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4</c:v>
                </c:pt>
                <c:pt idx="744">
                  <c:v>0</c:v>
                </c:pt>
                <c:pt idx="745">
                  <c:v>6</c:v>
                </c:pt>
                <c:pt idx="746">
                  <c:v>5</c:v>
                </c:pt>
                <c:pt idx="747">
                  <c:v>0</c:v>
                </c:pt>
                <c:pt idx="748">
                  <c:v>2</c:v>
                </c:pt>
                <c:pt idx="749">
                  <c:v>6</c:v>
                </c:pt>
                <c:pt idx="750">
                  <c:v>11</c:v>
                </c:pt>
                <c:pt idx="751">
                  <c:v>0</c:v>
                </c:pt>
                <c:pt idx="752">
                  <c:v>15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0</c:v>
                </c:pt>
                <c:pt idx="768">
                  <c:v>7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0</c:v>
                </c:pt>
                <c:pt idx="773">
                  <c:v>7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0</c:v>
                </c:pt>
                <c:pt idx="798">
                  <c:v>2</c:v>
                </c:pt>
                <c:pt idx="799">
                  <c:v>13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4</c:v>
                </c:pt>
                <c:pt idx="806">
                  <c:v>4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11</c:v>
                </c:pt>
                <c:pt idx="814">
                  <c:v>4</c:v>
                </c:pt>
                <c:pt idx="815">
                  <c:v>2</c:v>
                </c:pt>
                <c:pt idx="816">
                  <c:v>0</c:v>
                </c:pt>
                <c:pt idx="817">
                  <c:v>0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13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4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</c:v>
                </c:pt>
                <c:pt idx="856">
                  <c:v>1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8</c:v>
                </c:pt>
                <c:pt idx="875">
                  <c:v>13</c:v>
                </c:pt>
                <c:pt idx="876">
                  <c:v>2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2</c:v>
                </c:pt>
                <c:pt idx="881">
                  <c:v>0</c:v>
                </c:pt>
                <c:pt idx="882">
                  <c:v>7</c:v>
                </c:pt>
                <c:pt idx="883">
                  <c:v>4</c:v>
                </c:pt>
                <c:pt idx="884">
                  <c:v>1</c:v>
                </c:pt>
                <c:pt idx="885">
                  <c:v>1</c:v>
                </c:pt>
                <c:pt idx="886">
                  <c:v>5</c:v>
                </c:pt>
                <c:pt idx="887">
                  <c:v>0</c:v>
                </c:pt>
                <c:pt idx="888">
                  <c:v>4</c:v>
                </c:pt>
                <c:pt idx="889">
                  <c:v>6</c:v>
                </c:pt>
                <c:pt idx="890">
                  <c:v>1</c:v>
                </c:pt>
                <c:pt idx="891">
                  <c:v>7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15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11</c:v>
                </c:pt>
                <c:pt idx="919">
                  <c:v>5</c:v>
                </c:pt>
                <c:pt idx="920">
                  <c:v>5</c:v>
                </c:pt>
                <c:pt idx="921">
                  <c:v>0</c:v>
                </c:pt>
                <c:pt idx="922">
                  <c:v>14</c:v>
                </c:pt>
                <c:pt idx="923">
                  <c:v>1</c:v>
                </c:pt>
                <c:pt idx="924">
                  <c:v>2</c:v>
                </c:pt>
                <c:pt idx="925">
                  <c:v>0</c:v>
                </c:pt>
                <c:pt idx="926">
                  <c:v>15</c:v>
                </c:pt>
                <c:pt idx="927">
                  <c:v>5</c:v>
                </c:pt>
                <c:pt idx="928">
                  <c:v>0</c:v>
                </c:pt>
                <c:pt idx="929">
                  <c:v>2</c:v>
                </c:pt>
                <c:pt idx="930">
                  <c:v>7</c:v>
                </c:pt>
                <c:pt idx="931">
                  <c:v>1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0</c:v>
                </c:pt>
                <c:pt idx="936">
                  <c:v>0</c:v>
                </c:pt>
                <c:pt idx="937">
                  <c:v>15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6</c:v>
                </c:pt>
                <c:pt idx="942">
                  <c:v>1</c:v>
                </c:pt>
                <c:pt idx="943">
                  <c:v>5</c:v>
                </c:pt>
                <c:pt idx="944">
                  <c:v>7</c:v>
                </c:pt>
                <c:pt idx="945">
                  <c:v>1</c:v>
                </c:pt>
                <c:pt idx="946">
                  <c:v>1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9</c:v>
                </c:pt>
                <c:pt idx="951">
                  <c:v>11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9</c:v>
                </c:pt>
                <c:pt idx="956">
                  <c:v>7</c:v>
                </c:pt>
                <c:pt idx="957">
                  <c:v>0</c:v>
                </c:pt>
                <c:pt idx="958">
                  <c:v>1</c:v>
                </c:pt>
                <c:pt idx="959">
                  <c:v>8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9</c:v>
                </c:pt>
                <c:pt idx="965">
                  <c:v>1</c:v>
                </c:pt>
                <c:pt idx="966">
                  <c:v>5</c:v>
                </c:pt>
                <c:pt idx="967">
                  <c:v>0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</c:v>
                </c:pt>
                <c:pt idx="976">
                  <c:v>15</c:v>
                </c:pt>
                <c:pt idx="977">
                  <c:v>0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6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7</c:v>
                </c:pt>
                <c:pt idx="1008">
                  <c:v>12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5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9</c:v>
                </c:pt>
                <c:pt idx="1031">
                  <c:v>4</c:v>
                </c:pt>
                <c:pt idx="1032">
                  <c:v>0</c:v>
                </c:pt>
                <c:pt idx="1033">
                  <c:v>4</c:v>
                </c:pt>
                <c:pt idx="1034">
                  <c:v>0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4</c:v>
                </c:pt>
                <c:pt idx="1041">
                  <c:v>1</c:v>
                </c:pt>
                <c:pt idx="1042">
                  <c:v>0</c:v>
                </c:pt>
                <c:pt idx="1043">
                  <c:v>8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3</c:v>
                </c:pt>
                <c:pt idx="1049">
                  <c:v>2</c:v>
                </c:pt>
                <c:pt idx="1050">
                  <c:v>5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6</c:v>
                </c:pt>
                <c:pt idx="1056">
                  <c:v>1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14</c:v>
                </c:pt>
                <c:pt idx="1079">
                  <c:v>2</c:v>
                </c:pt>
                <c:pt idx="1080">
                  <c:v>5</c:v>
                </c:pt>
                <c:pt idx="1081">
                  <c:v>3</c:v>
                </c:pt>
                <c:pt idx="1082">
                  <c:v>1</c:v>
                </c:pt>
                <c:pt idx="1083">
                  <c:v>1</c:v>
                </c:pt>
                <c:pt idx="1084">
                  <c:v>8</c:v>
                </c:pt>
                <c:pt idx="1085">
                  <c:v>7</c:v>
                </c:pt>
                <c:pt idx="1086">
                  <c:v>13</c:v>
                </c:pt>
                <c:pt idx="1087">
                  <c:v>5</c:v>
                </c:pt>
                <c:pt idx="1088">
                  <c:v>0</c:v>
                </c:pt>
                <c:pt idx="1089">
                  <c:v>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13</c:v>
                </c:pt>
                <c:pt idx="1094">
                  <c:v>7</c:v>
                </c:pt>
                <c:pt idx="1095">
                  <c:v>5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4</c:v>
                </c:pt>
                <c:pt idx="1101">
                  <c:v>2</c:v>
                </c:pt>
                <c:pt idx="1102">
                  <c:v>1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6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7</c:v>
                </c:pt>
                <c:pt idx="1115">
                  <c:v>0</c:v>
                </c:pt>
                <c:pt idx="1116">
                  <c:v>2</c:v>
                </c:pt>
                <c:pt idx="1117">
                  <c:v>2</c:v>
                </c:pt>
                <c:pt idx="1118">
                  <c:v>0</c:v>
                </c:pt>
                <c:pt idx="1119">
                  <c:v>7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7</c:v>
                </c:pt>
                <c:pt idx="1125">
                  <c:v>1</c:v>
                </c:pt>
                <c:pt idx="1126">
                  <c:v>0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6</c:v>
                </c:pt>
                <c:pt idx="1131">
                  <c:v>7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12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4</c:v>
                </c:pt>
                <c:pt idx="1144">
                  <c:v>0</c:v>
                </c:pt>
                <c:pt idx="1145">
                  <c:v>1</c:v>
                </c:pt>
                <c:pt idx="1146">
                  <c:v>7</c:v>
                </c:pt>
                <c:pt idx="1147">
                  <c:v>1</c:v>
                </c:pt>
                <c:pt idx="1148">
                  <c:v>7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3</c:v>
                </c:pt>
                <c:pt idx="1161">
                  <c:v>0</c:v>
                </c:pt>
                <c:pt idx="1162">
                  <c:v>6</c:v>
                </c:pt>
                <c:pt idx="1163">
                  <c:v>7</c:v>
                </c:pt>
                <c:pt idx="1164">
                  <c:v>3</c:v>
                </c:pt>
                <c:pt idx="1165">
                  <c:v>0</c:v>
                </c:pt>
                <c:pt idx="1166">
                  <c:v>2</c:v>
                </c:pt>
                <c:pt idx="1167">
                  <c:v>2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7</c:v>
                </c:pt>
                <c:pt idx="1180">
                  <c:v>1</c:v>
                </c:pt>
                <c:pt idx="1181">
                  <c:v>2</c:v>
                </c:pt>
                <c:pt idx="1182">
                  <c:v>1</c:v>
                </c:pt>
                <c:pt idx="1183">
                  <c:v>0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2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7</c:v>
                </c:pt>
                <c:pt idx="1205">
                  <c:v>0</c:v>
                </c:pt>
                <c:pt idx="1206">
                  <c:v>5</c:v>
                </c:pt>
                <c:pt idx="1207">
                  <c:v>1</c:v>
                </c:pt>
                <c:pt idx="1208">
                  <c:v>4</c:v>
                </c:pt>
                <c:pt idx="1209">
                  <c:v>0</c:v>
                </c:pt>
                <c:pt idx="1210">
                  <c:v>2</c:v>
                </c:pt>
                <c:pt idx="1211">
                  <c:v>1</c:v>
                </c:pt>
                <c:pt idx="1212">
                  <c:v>8</c:v>
                </c:pt>
                <c:pt idx="1213">
                  <c:v>0</c:v>
                </c:pt>
                <c:pt idx="1214">
                  <c:v>6</c:v>
                </c:pt>
                <c:pt idx="1215">
                  <c:v>1</c:v>
                </c:pt>
                <c:pt idx="1216">
                  <c:v>8</c:v>
                </c:pt>
                <c:pt idx="1217">
                  <c:v>0</c:v>
                </c:pt>
                <c:pt idx="1218">
                  <c:v>8</c:v>
                </c:pt>
                <c:pt idx="1219">
                  <c:v>1</c:v>
                </c:pt>
                <c:pt idx="1220">
                  <c:v>6</c:v>
                </c:pt>
                <c:pt idx="1221">
                  <c:v>14</c:v>
                </c:pt>
                <c:pt idx="1222">
                  <c:v>0</c:v>
                </c:pt>
                <c:pt idx="1223">
                  <c:v>14</c:v>
                </c:pt>
                <c:pt idx="1224">
                  <c:v>0</c:v>
                </c:pt>
                <c:pt idx="1225">
                  <c:v>8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0</c:v>
                </c:pt>
                <c:pt idx="1242">
                  <c:v>12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5</c:v>
                </c:pt>
                <c:pt idx="1275">
                  <c:v>2</c:v>
                </c:pt>
                <c:pt idx="1276">
                  <c:v>0</c:v>
                </c:pt>
                <c:pt idx="1277">
                  <c:v>2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7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2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3</c:v>
                </c:pt>
                <c:pt idx="1290">
                  <c:v>0</c:v>
                </c:pt>
                <c:pt idx="1291">
                  <c:v>0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13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0</c:v>
                </c:pt>
                <c:pt idx="1300">
                  <c:v>4</c:v>
                </c:pt>
                <c:pt idx="1301">
                  <c:v>14</c:v>
                </c:pt>
                <c:pt idx="1302">
                  <c:v>0</c:v>
                </c:pt>
                <c:pt idx="1303">
                  <c:v>14</c:v>
                </c:pt>
                <c:pt idx="1304">
                  <c:v>7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0</c:v>
                </c:pt>
                <c:pt idx="1316">
                  <c:v>7</c:v>
                </c:pt>
                <c:pt idx="1317">
                  <c:v>0</c:v>
                </c:pt>
                <c:pt idx="1318">
                  <c:v>3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2</c:v>
                </c:pt>
                <c:pt idx="1327">
                  <c:v>2</c:v>
                </c:pt>
                <c:pt idx="1328">
                  <c:v>5</c:v>
                </c:pt>
                <c:pt idx="1329">
                  <c:v>0</c:v>
                </c:pt>
                <c:pt idx="1330">
                  <c:v>6</c:v>
                </c:pt>
                <c:pt idx="1331">
                  <c:v>12</c:v>
                </c:pt>
                <c:pt idx="1332">
                  <c:v>1</c:v>
                </c:pt>
                <c:pt idx="1333">
                  <c:v>0</c:v>
                </c:pt>
                <c:pt idx="1334">
                  <c:v>7</c:v>
                </c:pt>
                <c:pt idx="1335">
                  <c:v>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3</c:v>
                </c:pt>
                <c:pt idx="1347">
                  <c:v>0</c:v>
                </c:pt>
                <c:pt idx="1348">
                  <c:v>11</c:v>
                </c:pt>
                <c:pt idx="1349">
                  <c:v>1</c:v>
                </c:pt>
                <c:pt idx="1350">
                  <c:v>0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5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7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6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7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0</c:v>
                </c:pt>
                <c:pt idx="1384">
                  <c:v>2</c:v>
                </c:pt>
                <c:pt idx="1385">
                  <c:v>1</c:v>
                </c:pt>
                <c:pt idx="1386">
                  <c:v>7</c:v>
                </c:pt>
                <c:pt idx="1387">
                  <c:v>0</c:v>
                </c:pt>
                <c:pt idx="1388">
                  <c:v>1</c:v>
                </c:pt>
                <c:pt idx="1389">
                  <c:v>8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0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11</c:v>
                </c:pt>
                <c:pt idx="1404">
                  <c:v>3</c:v>
                </c:pt>
                <c:pt idx="1405">
                  <c:v>4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9</c:v>
                </c:pt>
                <c:pt idx="1410">
                  <c:v>5</c:v>
                </c:pt>
                <c:pt idx="1411">
                  <c:v>1</c:v>
                </c:pt>
                <c:pt idx="1412">
                  <c:v>1</c:v>
                </c:pt>
                <c:pt idx="1413">
                  <c:v>0</c:v>
                </c:pt>
                <c:pt idx="1414">
                  <c:v>12</c:v>
                </c:pt>
                <c:pt idx="1415">
                  <c:v>0</c:v>
                </c:pt>
                <c:pt idx="1416">
                  <c:v>5</c:v>
                </c:pt>
                <c:pt idx="1417">
                  <c:v>1</c:v>
                </c:pt>
                <c:pt idx="1418">
                  <c:v>7</c:v>
                </c:pt>
                <c:pt idx="1419">
                  <c:v>1</c:v>
                </c:pt>
                <c:pt idx="1420">
                  <c:v>1</c:v>
                </c:pt>
                <c:pt idx="1421">
                  <c:v>5</c:v>
                </c:pt>
                <c:pt idx="1422">
                  <c:v>2</c:v>
                </c:pt>
                <c:pt idx="1423">
                  <c:v>1</c:v>
                </c:pt>
                <c:pt idx="1424">
                  <c:v>0</c:v>
                </c:pt>
                <c:pt idx="1425">
                  <c:v>8</c:v>
                </c:pt>
                <c:pt idx="1426">
                  <c:v>4</c:v>
                </c:pt>
                <c:pt idx="1427">
                  <c:v>0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5</c:v>
                </c:pt>
                <c:pt idx="1432">
                  <c:v>6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9</c:v>
                </c:pt>
                <c:pt idx="1445">
                  <c:v>0</c:v>
                </c:pt>
                <c:pt idx="1446">
                  <c:v>1</c:v>
                </c:pt>
                <c:pt idx="1447">
                  <c:v>11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9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3E-4FA0-B339-51AA7C5D3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882096"/>
        <c:axId val="1569469136"/>
      </c:scatterChart>
      <c:valAx>
        <c:axId val="170388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Performance</a:t>
                </a:r>
                <a:r>
                  <a:rPr lang="en-US" baseline="0"/>
                  <a:t> Rating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69136"/>
        <c:crosses val="autoZero"/>
        <c:crossBetween val="midCat"/>
      </c:valAx>
      <c:valAx>
        <c:axId val="15694691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  <a:r>
                  <a:rPr lang="en-US" baseline="0"/>
                  <a:t> Since Last Promotion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88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Dashboard.xlsx]Medium level answers!PivotTable3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</a:t>
            </a:r>
            <a:r>
              <a:rPr lang="en-US" baseline="0">
                <a:solidFill>
                  <a:schemeClr val="tx1"/>
                </a:solidFill>
              </a:rPr>
              <a:t> Jobsatisfaction by Business Travel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</c:spPr>
      </c:pivotFmt>
      <c:pivotFmt>
        <c:idx val="12"/>
        <c:spPr>
          <a:solidFill>
            <a:srgbClr val="00B0F0"/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level answers'!$C$138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6F-4995-8732-CCC718C431B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6F-4995-8732-CCC718C431B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6F-4995-8732-CCC718C431BB}"/>
              </c:ext>
            </c:extLst>
          </c:dPt>
          <c:cat>
            <c:strRef>
              <c:f>'Medium level answers'!$B$139:$B$142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'Medium level answers'!$C$139:$C$142</c:f>
              <c:numCache>
                <c:formatCode>General</c:formatCode>
                <c:ptCount val="3"/>
                <c:pt idx="0">
                  <c:v>2.7933333333333334</c:v>
                </c:pt>
                <c:pt idx="1">
                  <c:v>2.7906137184115525</c:v>
                </c:pt>
                <c:pt idx="2">
                  <c:v>2.7027804410354745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6F-4995-8732-CCC718C43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149824"/>
        <c:axId val="1569534896"/>
      </c:barChart>
      <c:catAx>
        <c:axId val="181614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34896"/>
        <c:crosses val="autoZero"/>
        <c:auto val="1"/>
        <c:lblAlgn val="ctr"/>
        <c:lblOffset val="100"/>
        <c:noMultiLvlLbl val="0"/>
      </c:catAx>
      <c:valAx>
        <c:axId val="156953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14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Dashboard.xlsx]Medium level answers!PivotTable16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Marrital</a:t>
            </a:r>
            <a:r>
              <a:rPr lang="en-US" baseline="0">
                <a:solidFill>
                  <a:schemeClr val="tx1"/>
                </a:solidFill>
              </a:rPr>
              <a:t> Status For Attrition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level answers'!$D$43:$D$44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level answers'!$C$45:$C$48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'Medium level answers'!$D$45:$D$48</c:f>
              <c:numCache>
                <c:formatCode>General</c:formatCode>
                <c:ptCount val="3"/>
                <c:pt idx="0">
                  <c:v>294</c:v>
                </c:pt>
                <c:pt idx="1">
                  <c:v>589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1-4861-9777-0961C9D47872}"/>
            </c:ext>
          </c:extLst>
        </c:ser>
        <c:ser>
          <c:idx val="1"/>
          <c:order val="1"/>
          <c:tx>
            <c:strRef>
              <c:f>'Medium level answers'!$E$43:$E$44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level answers'!$C$45:$C$48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'Medium level answers'!$E$45:$E$48</c:f>
              <c:numCache>
                <c:formatCode>General</c:formatCode>
                <c:ptCount val="3"/>
                <c:pt idx="0">
                  <c:v>33</c:v>
                </c:pt>
                <c:pt idx="1">
                  <c:v>84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61-4861-9777-0961C9D478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8110735"/>
        <c:axId val="214007663"/>
      </c:barChart>
      <c:catAx>
        <c:axId val="135811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07663"/>
        <c:crosses val="autoZero"/>
        <c:auto val="1"/>
        <c:lblAlgn val="ctr"/>
        <c:lblOffset val="100"/>
        <c:noMultiLvlLbl val="0"/>
      </c:catAx>
      <c:valAx>
        <c:axId val="214007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811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Dataset!$AE$1</c:f>
              <c:strCache>
                <c:ptCount val="1"/>
                <c:pt idx="0">
                  <c:v>WorkLifeBalance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Dataset!$Y$2:$Y$1471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Dataset!$AE$2:$AE$1471</c:f>
              <c:numCache>
                <c:formatCode>General</c:formatCode>
                <c:ptCount val="147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3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2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1</c:v>
                </c:pt>
                <c:pt idx="464">
                  <c:v>4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4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2</c:v>
                </c:pt>
                <c:pt idx="641">
                  <c:v>3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1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2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1</c:v>
                </c:pt>
                <c:pt idx="691">
                  <c:v>3</c:v>
                </c:pt>
                <c:pt idx="692">
                  <c:v>4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4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3</c:v>
                </c:pt>
                <c:pt idx="724">
                  <c:v>3</c:v>
                </c:pt>
                <c:pt idx="725">
                  <c:v>1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3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3</c:v>
                </c:pt>
                <c:pt idx="818">
                  <c:v>3</c:v>
                </c:pt>
                <c:pt idx="819">
                  <c:v>1</c:v>
                </c:pt>
                <c:pt idx="820">
                  <c:v>3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2</c:v>
                </c:pt>
                <c:pt idx="832">
                  <c:v>3</c:v>
                </c:pt>
                <c:pt idx="833">
                  <c:v>3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3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3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4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2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4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2</c:v>
                </c:pt>
                <c:pt idx="948">
                  <c:v>3</c:v>
                </c:pt>
                <c:pt idx="949">
                  <c:v>3</c:v>
                </c:pt>
                <c:pt idx="950">
                  <c:v>2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4</c:v>
                </c:pt>
                <c:pt idx="1015">
                  <c:v>3</c:v>
                </c:pt>
                <c:pt idx="1016">
                  <c:v>4</c:v>
                </c:pt>
                <c:pt idx="1017">
                  <c:v>4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4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4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1</c:v>
                </c:pt>
                <c:pt idx="1037">
                  <c:v>4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4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4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2</c:v>
                </c:pt>
                <c:pt idx="1069">
                  <c:v>1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3</c:v>
                </c:pt>
                <c:pt idx="1077">
                  <c:v>1</c:v>
                </c:pt>
                <c:pt idx="1078">
                  <c:v>4</c:v>
                </c:pt>
                <c:pt idx="1079">
                  <c:v>3</c:v>
                </c:pt>
                <c:pt idx="1080">
                  <c:v>4</c:v>
                </c:pt>
                <c:pt idx="1081">
                  <c:v>1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3</c:v>
                </c:pt>
                <c:pt idx="1120">
                  <c:v>4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3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2</c:v>
                </c:pt>
                <c:pt idx="1191">
                  <c:v>3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3</c:v>
                </c:pt>
                <c:pt idx="1211">
                  <c:v>2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3</c:v>
                </c:pt>
                <c:pt idx="1223">
                  <c:v>1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4</c:v>
                </c:pt>
                <c:pt idx="1228">
                  <c:v>3</c:v>
                </c:pt>
                <c:pt idx="1229">
                  <c:v>3</c:v>
                </c:pt>
                <c:pt idx="1230">
                  <c:v>4</c:v>
                </c:pt>
                <c:pt idx="1231">
                  <c:v>3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1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3</c:v>
                </c:pt>
                <c:pt idx="1250">
                  <c:v>4</c:v>
                </c:pt>
                <c:pt idx="1251">
                  <c:v>3</c:v>
                </c:pt>
                <c:pt idx="1252">
                  <c:v>3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3</c:v>
                </c:pt>
                <c:pt idx="1267">
                  <c:v>3</c:v>
                </c:pt>
                <c:pt idx="1268">
                  <c:v>2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2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4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2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1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4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3</c:v>
                </c:pt>
                <c:pt idx="1376">
                  <c:v>4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1</c:v>
                </c:pt>
                <c:pt idx="1381">
                  <c:v>2</c:v>
                </c:pt>
                <c:pt idx="1382">
                  <c:v>4</c:v>
                </c:pt>
                <c:pt idx="1383">
                  <c:v>3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2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4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2</c:v>
                </c:pt>
                <c:pt idx="1454">
                  <c:v>3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6F-4B18-8AB4-FB8FFA6F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572336"/>
        <c:axId val="1569473936"/>
      </c:scatterChart>
      <c:valAx>
        <c:axId val="158857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</a:t>
                </a:r>
                <a:r>
                  <a:rPr lang="en-US" baseline="0"/>
                  <a:t> Life Balance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73936"/>
        <c:crosses val="autoZero"/>
        <c:crossBetween val="midCat"/>
      </c:valAx>
      <c:valAx>
        <c:axId val="15694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Performance</a:t>
                </a:r>
                <a:r>
                  <a:rPr lang="en-US" baseline="0"/>
                  <a:t> rating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57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Dashboard.xlsx]Medium level answers!PivotTable2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</a:t>
            </a:r>
            <a:r>
              <a:rPr lang="en-US" baseline="0"/>
              <a:t>  Options for Attrition Employee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level answers'!$C$95:$C$96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level answers'!$B$97:$B$101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'Medium level answers'!$C$97:$C$101</c:f>
              <c:numCache>
                <c:formatCode>General</c:formatCode>
                <c:ptCount val="4"/>
                <c:pt idx="0">
                  <c:v>477</c:v>
                </c:pt>
                <c:pt idx="1">
                  <c:v>540</c:v>
                </c:pt>
                <c:pt idx="2">
                  <c:v>146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9-4F97-AA64-208A6812676D}"/>
            </c:ext>
          </c:extLst>
        </c:ser>
        <c:ser>
          <c:idx val="1"/>
          <c:order val="1"/>
          <c:tx>
            <c:strRef>
              <c:f>'Medium level answers'!$D$95:$D$96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level answers'!$B$97:$B$101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'Medium level answers'!$D$97:$D$101</c:f>
              <c:numCache>
                <c:formatCode>General</c:formatCode>
                <c:ptCount val="4"/>
                <c:pt idx="0">
                  <c:v>154</c:v>
                </c:pt>
                <c:pt idx="1">
                  <c:v>56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9-4F97-AA64-208A681267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03901120"/>
        <c:axId val="1569484976"/>
      </c:barChart>
      <c:catAx>
        <c:axId val="170390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</a:t>
                </a:r>
                <a:r>
                  <a:rPr lang="en-US" baseline="0"/>
                  <a:t> Option Level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643635170603673"/>
              <c:y val="0.81127515310586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84976"/>
        <c:crosses val="autoZero"/>
        <c:auto val="1"/>
        <c:lblAlgn val="ctr"/>
        <c:lblOffset val="100"/>
        <c:noMultiLvlLbl val="0"/>
      </c:catAx>
      <c:valAx>
        <c:axId val="1569484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222222222222223E-2"/>
              <c:y val="0.25356846019247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0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Dashboard.xlsx]Basic level answers!PivotTable11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Department</a:t>
            </a:r>
            <a:r>
              <a:rPr lang="en-US" baseline="0">
                <a:solidFill>
                  <a:schemeClr val="tx1"/>
                </a:solidFill>
              </a:rPr>
              <a:t> Wise Attrition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level answers'!$P$23:$P$24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level answers'!$O$25:$O$28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'Basic level answers'!$P$25:$P$28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9-486D-865D-EB89C7FA7BE3}"/>
            </c:ext>
          </c:extLst>
        </c:ser>
        <c:ser>
          <c:idx val="1"/>
          <c:order val="1"/>
          <c:tx>
            <c:strRef>
              <c:f>'Basic level answers'!$Q$23:$Q$24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level answers'!$O$25:$O$28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'Basic level answers'!$Q$25:$Q$28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C9-486D-865D-EB89C7FA7B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8170799"/>
        <c:axId val="213929423"/>
      </c:barChart>
      <c:catAx>
        <c:axId val="114817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9423"/>
        <c:crosses val="autoZero"/>
        <c:auto val="1"/>
        <c:lblAlgn val="ctr"/>
        <c:lblOffset val="100"/>
        <c:noMultiLvlLbl val="0"/>
      </c:catAx>
      <c:valAx>
        <c:axId val="2139294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817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Atrrition Rate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Dashboard!$AD$12</c:f>
              <c:strCache>
                <c:ptCount val="1"/>
                <c:pt idx="0">
                  <c:v>Atrrition 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06-4268-92C0-2496F44B21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06-4268-92C0-2496F44B21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Dashboard!$AC$13:$AC$14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Dashboard!$AD$13:$AD$14</c:f>
              <c:numCache>
                <c:formatCode>0%</c:formatCode>
                <c:ptCount val="2"/>
                <c:pt idx="0">
                  <c:v>0.14795918367346939</c:v>
                </c:pt>
                <c:pt idx="1">
                  <c:v>0.17006802721088435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7-48EC-86ED-798465D82D9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Dashboard.xlsx]Medium level answers!PivotTable3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Average</a:t>
            </a:r>
            <a:r>
              <a:rPr lang="en-US" baseline="0">
                <a:solidFill>
                  <a:schemeClr val="tx1"/>
                </a:solidFill>
              </a:rPr>
              <a:t> Jobsatisfaction by Business Travel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</c:spPr>
      </c:pivotFmt>
      <c:pivotFmt>
        <c:idx val="12"/>
        <c:spPr>
          <a:solidFill>
            <a:srgbClr val="00B0F0"/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level answers'!$C$138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30-4E03-9C6F-046A9AB7B10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30-4E03-9C6F-046A9AB7B1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30-4E03-9C6F-046A9AB7B10B}"/>
              </c:ext>
            </c:extLst>
          </c:dPt>
          <c:cat>
            <c:strRef>
              <c:f>'Medium level answers'!$B$139:$B$142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'Medium level answers'!$C$139:$C$142</c:f>
              <c:numCache>
                <c:formatCode>General</c:formatCode>
                <c:ptCount val="3"/>
                <c:pt idx="0">
                  <c:v>2.7933333333333334</c:v>
                </c:pt>
                <c:pt idx="1">
                  <c:v>2.7906137184115525</c:v>
                </c:pt>
                <c:pt idx="2">
                  <c:v>2.7027804410354745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30-4E03-9C6F-046A9AB7B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149824"/>
        <c:axId val="1569534896"/>
      </c:barChart>
      <c:catAx>
        <c:axId val="181614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34896"/>
        <c:crosses val="autoZero"/>
        <c:auto val="1"/>
        <c:lblAlgn val="ctr"/>
        <c:lblOffset val="100"/>
        <c:noMultiLvlLbl val="0"/>
      </c:catAx>
      <c:valAx>
        <c:axId val="156953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14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Dashboard.xlsx]Basic level answers!PivotTable3</c:name>
    <c:fmtId val="1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'Basic level answers'!$C$64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61-4DD5-A049-459F30FDAE3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61-4DD5-A049-459F30FDAE3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061-4DD5-A049-459F30FDAE3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061-4DD5-A049-459F30FDAE3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061-4DD5-A049-459F30FDAE3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061-4DD5-A049-459F30FDAE3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061-4DD5-A049-459F30FDAE3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061-4DD5-A049-459F30FDAE3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061-4DD5-A049-459F30FDAE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level answers'!$B$65:$B$74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'Basic level answers'!$C$65:$C$74</c:f>
              <c:numCache>
                <c:formatCode>General</c:formatCode>
                <c:ptCount val="9"/>
                <c:pt idx="0">
                  <c:v>2.7862595419847329</c:v>
                </c:pt>
                <c:pt idx="1">
                  <c:v>2.5576923076923075</c:v>
                </c:pt>
                <c:pt idx="2">
                  <c:v>2.6911196911196913</c:v>
                </c:pt>
                <c:pt idx="3">
                  <c:v>2.7058823529411766</c:v>
                </c:pt>
                <c:pt idx="4">
                  <c:v>2.682758620689655</c:v>
                </c:pt>
                <c:pt idx="5">
                  <c:v>2.7</c:v>
                </c:pt>
                <c:pt idx="6">
                  <c:v>2.7739726027397262</c:v>
                </c:pt>
                <c:pt idx="7">
                  <c:v>2.7546012269938651</c:v>
                </c:pt>
                <c:pt idx="8">
                  <c:v>2.7349397590361444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061-4DD5-A049-459F30FDAE3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'Basic level answers'!$B$47</c:f>
              <c:strCache>
                <c:ptCount val="1"/>
                <c:pt idx="0">
                  <c:v>Average Age who left Company</c:v>
                </c:pt>
              </c:strCache>
            </c:strRef>
          </c:tx>
          <c:explosion val="89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9E-4377-A2DA-CF60301869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'Basic level answers'!$B$48</c:f>
              <c:numCache>
                <c:formatCode>General</c:formatCode>
                <c:ptCount val="1"/>
                <c:pt idx="0">
                  <c:v>33.607594936708864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9E-4377-A2DA-CF6030186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_xlchart.v2.0</cx:f>
      </cx:strDim>
      <cx:numDim type="val">
        <cx:f dir="row">_xlchart.v2.1</cx:f>
      </cx:numDim>
    </cx:data>
  </cx:chartData>
  <cx:chart>
    <cx:title pos="t" align="ctr" overlay="0">
      <cx:tx>
        <cx:txData>
          <cx:v> HR Attrition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 HR Attrition</a:t>
          </a:r>
        </a:p>
      </cx:txPr>
    </cx:title>
    <cx:plotArea>
      <cx:plotAreaRegion>
        <cx:series layoutId="funnel" uniqueId="{B1AE1981-F78E-41F7-8FF7-21FF4290515B}"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_xlchart.v2.2</cx:f>
      </cx:strDim>
      <cx:numDim type="val">
        <cx:f dir="row">_xlchart.v2.3</cx:f>
      </cx:numDim>
    </cx:data>
  </cx:chartData>
  <cx:chart>
    <cx:title pos="t" align="ctr" overlay="0">
      <cx:tx>
        <cx:txData>
          <cx:v> HR Attrition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Calibri" panose="020F0502020204030204"/>
            </a:rPr>
            <a:t> HR Attrition</a:t>
          </a:r>
        </a:p>
      </cx:txPr>
      <cx:extLst>
        <cx:ext uri="ext:featex">
          <cx:featureExtension feature="mp" drop="onModelChange">
            <cx:offset top="0.03125" left="0.4583333432674408"/>
          </cx:featureExtension>
        </cx:ext>
      </cx:extLst>
    </cx:title>
    <cx:plotArea>
      <cx:plotAreaRegion>
        <cx:series layoutId="funnel" uniqueId="{B1AE1981-F78E-41F7-8FF7-21FF4290515B}"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microsoft.com/office/2014/relationships/chartEx" Target="../charts/chartEx2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180975</xdr:rowOff>
    </xdr:from>
    <xdr:to>
      <xdr:col>8</xdr:col>
      <xdr:colOff>314325</xdr:colOff>
      <xdr:row>17</xdr:row>
      <xdr:rowOff>66675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8837A42-CE3A-41A5-8132-479BBC273E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" y="561975"/>
              <a:ext cx="8686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295275</xdr:colOff>
      <xdr:row>45</xdr:row>
      <xdr:rowOff>180974</xdr:rowOff>
    </xdr:from>
    <xdr:to>
      <xdr:col>7</xdr:col>
      <xdr:colOff>504825</xdr:colOff>
      <xdr:row>55</xdr:row>
      <xdr:rowOff>138111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750F63-EE3D-4DF0-A3AD-C36C16147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62</xdr:row>
      <xdr:rowOff>104775</xdr:rowOff>
    </xdr:from>
    <xdr:to>
      <xdr:col>10</xdr:col>
      <xdr:colOff>438150</xdr:colOff>
      <xdr:row>76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BFE56A-C26B-441C-90FD-0E3DF86B8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76200</xdr:colOff>
      <xdr:row>113</xdr:row>
      <xdr:rowOff>9525</xdr:rowOff>
    </xdr:from>
    <xdr:to>
      <xdr:col>3</xdr:col>
      <xdr:colOff>552450</xdr:colOff>
      <xdr:row>127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219BF5-755B-44E7-B9FA-D80E35307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304800</xdr:colOff>
      <xdr:row>131</xdr:row>
      <xdr:rowOff>180975</xdr:rowOff>
    </xdr:from>
    <xdr:to>
      <xdr:col>11</xdr:col>
      <xdr:colOff>0</xdr:colOff>
      <xdr:row>146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128017-11CC-410B-A90B-478F7716A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257175</xdr:colOff>
      <xdr:row>152</xdr:row>
      <xdr:rowOff>138112</xdr:rowOff>
    </xdr:from>
    <xdr:to>
      <xdr:col>8</xdr:col>
      <xdr:colOff>133350</xdr:colOff>
      <xdr:row>167</xdr:row>
      <xdr:rowOff>23812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C2710C0-7A14-C20C-790D-FCA30801E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428625</xdr:colOff>
      <xdr:row>25</xdr:row>
      <xdr:rowOff>42862</xdr:rowOff>
    </xdr:from>
    <xdr:to>
      <xdr:col>6</xdr:col>
      <xdr:colOff>285750</xdr:colOff>
      <xdr:row>39</xdr:row>
      <xdr:rowOff>119062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6B077C2-579E-426A-CB4E-34CA825D8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381000</xdr:colOff>
      <xdr:row>83</xdr:row>
      <xdr:rowOff>185737</xdr:rowOff>
    </xdr:from>
    <xdr:to>
      <xdr:col>13</xdr:col>
      <xdr:colOff>76200</xdr:colOff>
      <xdr:row>98</xdr:row>
      <xdr:rowOff>71437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14A4B92-151F-3B83-DED4-AAC820188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22</xdr:row>
      <xdr:rowOff>161925</xdr:rowOff>
    </xdr:from>
    <xdr:to>
      <xdr:col>6</xdr:col>
      <xdr:colOff>314325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C3A8D8-7351-486D-8916-2FC5F2CCC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52</xdr:row>
      <xdr:rowOff>171450</xdr:rowOff>
    </xdr:from>
    <xdr:to>
      <xdr:col>13</xdr:col>
      <xdr:colOff>342900</xdr:colOff>
      <xdr:row>67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4DC678-5BD7-4A3D-B42D-903A1E3A5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72</xdr:row>
      <xdr:rowOff>9525</xdr:rowOff>
    </xdr:from>
    <xdr:to>
      <xdr:col>4</xdr:col>
      <xdr:colOff>323850</xdr:colOff>
      <xdr:row>86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59205B-EF79-4346-B6D7-84229780C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361950</xdr:colOff>
      <xdr:row>94</xdr:row>
      <xdr:rowOff>180975</xdr:rowOff>
    </xdr:from>
    <xdr:to>
      <xdr:col>13</xdr:col>
      <xdr:colOff>400050</xdr:colOff>
      <xdr:row>109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69280C-2FD3-470E-AA62-40BC2DFA0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209550</xdr:colOff>
      <xdr:row>117</xdr:row>
      <xdr:rowOff>9525</xdr:rowOff>
    </xdr:from>
    <xdr:to>
      <xdr:col>4</xdr:col>
      <xdr:colOff>333375</xdr:colOff>
      <xdr:row>131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D5CEEC-ED37-4FBF-A94C-49EE80B25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238125</xdr:colOff>
      <xdr:row>157</xdr:row>
      <xdr:rowOff>47625</xdr:rowOff>
    </xdr:from>
    <xdr:to>
      <xdr:col>4</xdr:col>
      <xdr:colOff>361950</xdr:colOff>
      <xdr:row>171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9B3038-855D-4F3B-95CA-F1E87E29E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171450</xdr:colOff>
      <xdr:row>137</xdr:row>
      <xdr:rowOff>19050</xdr:rowOff>
    </xdr:from>
    <xdr:to>
      <xdr:col>9</xdr:col>
      <xdr:colOff>342900</xdr:colOff>
      <xdr:row>151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E219448-BFA8-4BE0-A9D8-ACE66C35C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0</xdr:rowOff>
    </xdr:from>
    <xdr:to>
      <xdr:col>5</xdr:col>
      <xdr:colOff>76200</xdr:colOff>
      <xdr:row>58</xdr:row>
      <xdr:rowOff>116416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74F782C-00C3-5727-09E1-AE823053E08E}"/>
            </a:ext>
          </a:extLst>
        </xdr:cNvPr>
        <xdr:cNvSpPr/>
      </xdr:nvSpPr>
      <xdr:spPr>
        <a:xfrm>
          <a:off x="142875" y="0"/>
          <a:ext cx="3002492" cy="11165416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95250</xdr:colOff>
      <xdr:row>0</xdr:row>
      <xdr:rowOff>9523</xdr:rowOff>
    </xdr:from>
    <xdr:to>
      <xdr:col>24</xdr:col>
      <xdr:colOff>533400</xdr:colOff>
      <xdr:row>58</xdr:row>
      <xdr:rowOff>116417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FBE65BA-3512-3741-EAFB-B6548D7107AB}"/>
            </a:ext>
          </a:extLst>
        </xdr:cNvPr>
        <xdr:cNvSpPr/>
      </xdr:nvSpPr>
      <xdr:spPr>
        <a:xfrm>
          <a:off x="3164417" y="9523"/>
          <a:ext cx="12100983" cy="111558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219075</xdr:colOff>
      <xdr:row>1</xdr:row>
      <xdr:rowOff>76200</xdr:rowOff>
    </xdr:from>
    <xdr:to>
      <xdr:col>4</xdr:col>
      <xdr:colOff>600075</xdr:colOff>
      <xdr:row>5</xdr:row>
      <xdr:rowOff>161925</xdr:rowOff>
    </xdr:to>
    <xdr:sp macro="" textlink="Dataset!AS3">
      <xdr:nvSpPr>
        <xdr:cNvPr id="4" name="TextBox 3">
          <a:extLst>
            <a:ext uri="{FF2B5EF4-FFF2-40B4-BE49-F238E27FC236}">
              <a16:creationId xmlns:a16="http://schemas.microsoft.com/office/drawing/2014/main" id="{4D66091E-7B9E-59C8-77E8-163024D08D46}"/>
            </a:ext>
          </a:extLst>
        </xdr:cNvPr>
        <xdr:cNvSpPr txBox="1"/>
      </xdr:nvSpPr>
      <xdr:spPr>
        <a:xfrm>
          <a:off x="219075" y="266700"/>
          <a:ext cx="2819400" cy="8477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E34A3F1-88BC-440A-80E9-1AB91033E6A9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1469</a:t>
          </a:fld>
          <a:endParaRPr lang="en-US" sz="1800" b="1"/>
        </a:p>
      </xdr:txBody>
    </xdr:sp>
    <xdr:clientData/>
  </xdr:twoCellAnchor>
  <xdr:twoCellAnchor>
    <xdr:from>
      <xdr:col>0</xdr:col>
      <xdr:colOff>228600</xdr:colOff>
      <xdr:row>16</xdr:row>
      <xdr:rowOff>133350</xdr:rowOff>
    </xdr:from>
    <xdr:to>
      <xdr:col>4</xdr:col>
      <xdr:colOff>590549</xdr:colOff>
      <xdr:row>21</xdr:row>
      <xdr:rowOff>28575</xdr:rowOff>
    </xdr:to>
    <xdr:sp macro="" textlink="Dataset!AS14">
      <xdr:nvSpPr>
        <xdr:cNvPr id="5" name="TextBox 4">
          <a:extLst>
            <a:ext uri="{FF2B5EF4-FFF2-40B4-BE49-F238E27FC236}">
              <a16:creationId xmlns:a16="http://schemas.microsoft.com/office/drawing/2014/main" id="{2247A005-472B-41EA-BFD1-BAD48178BA3D}"/>
            </a:ext>
          </a:extLst>
        </xdr:cNvPr>
        <xdr:cNvSpPr txBox="1"/>
      </xdr:nvSpPr>
      <xdr:spPr>
        <a:xfrm>
          <a:off x="228600" y="3181350"/>
          <a:ext cx="2800349" cy="8477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ABAC4A4-1713-4BF2-8DBF-4E6D4E1CC293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882</a:t>
          </a:fld>
          <a:endParaRPr lang="en-US" sz="2000" b="1"/>
        </a:p>
      </xdr:txBody>
    </xdr:sp>
    <xdr:clientData/>
  </xdr:twoCellAnchor>
  <xdr:twoCellAnchor>
    <xdr:from>
      <xdr:col>0</xdr:col>
      <xdr:colOff>228601</xdr:colOff>
      <xdr:row>11</xdr:row>
      <xdr:rowOff>114300</xdr:rowOff>
    </xdr:from>
    <xdr:to>
      <xdr:col>4</xdr:col>
      <xdr:colOff>600075</xdr:colOff>
      <xdr:row>16</xdr:row>
      <xdr:rowOff>9525</xdr:rowOff>
    </xdr:to>
    <xdr:sp macro="" textlink="Dataset!AS11">
      <xdr:nvSpPr>
        <xdr:cNvPr id="6" name="TextBox 5">
          <a:extLst>
            <a:ext uri="{FF2B5EF4-FFF2-40B4-BE49-F238E27FC236}">
              <a16:creationId xmlns:a16="http://schemas.microsoft.com/office/drawing/2014/main" id="{08413F6F-7EA0-4997-84D4-ED7EE8BA91B8}"/>
            </a:ext>
          </a:extLst>
        </xdr:cNvPr>
        <xdr:cNvSpPr txBox="1"/>
      </xdr:nvSpPr>
      <xdr:spPr>
        <a:xfrm>
          <a:off x="228601" y="2209800"/>
          <a:ext cx="2809874" cy="8477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8842056-2589-49A7-A465-0585487F782A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588</a:t>
          </a:fld>
          <a:endParaRPr lang="en-US" sz="2000" b="1"/>
        </a:p>
      </xdr:txBody>
    </xdr:sp>
    <xdr:clientData/>
  </xdr:twoCellAnchor>
  <xdr:twoCellAnchor>
    <xdr:from>
      <xdr:col>0</xdr:col>
      <xdr:colOff>219075</xdr:colOff>
      <xdr:row>6</xdr:row>
      <xdr:rowOff>123825</xdr:rowOff>
    </xdr:from>
    <xdr:to>
      <xdr:col>4</xdr:col>
      <xdr:colOff>600074</xdr:colOff>
      <xdr:row>11</xdr:row>
      <xdr:rowOff>19050</xdr:rowOff>
    </xdr:to>
    <xdr:sp macro="" textlink="Dataset!AS7">
      <xdr:nvSpPr>
        <xdr:cNvPr id="7" name="TextBox 6">
          <a:extLst>
            <a:ext uri="{FF2B5EF4-FFF2-40B4-BE49-F238E27FC236}">
              <a16:creationId xmlns:a16="http://schemas.microsoft.com/office/drawing/2014/main" id="{650DDFC3-D326-483A-8C33-88F792D7963D}"/>
            </a:ext>
          </a:extLst>
        </xdr:cNvPr>
        <xdr:cNvSpPr txBox="1"/>
      </xdr:nvSpPr>
      <xdr:spPr>
        <a:xfrm>
          <a:off x="219075" y="1266825"/>
          <a:ext cx="2819399" cy="8477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DB468BE-708F-456B-B97C-5D36163C768D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</a:t>
          </a:fld>
          <a:endParaRPr lang="en-US" sz="2000" b="1"/>
        </a:p>
      </xdr:txBody>
    </xdr:sp>
    <xdr:clientData/>
  </xdr:twoCellAnchor>
  <xdr:twoCellAnchor>
    <xdr:from>
      <xdr:col>0</xdr:col>
      <xdr:colOff>209550</xdr:colOff>
      <xdr:row>1</xdr:row>
      <xdr:rowOff>76200</xdr:rowOff>
    </xdr:from>
    <xdr:to>
      <xdr:col>4</xdr:col>
      <xdr:colOff>600075</xdr:colOff>
      <xdr:row>2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F524893-2518-4486-DDEC-DD006165CBBA}"/>
            </a:ext>
          </a:extLst>
        </xdr:cNvPr>
        <xdr:cNvSpPr txBox="1"/>
      </xdr:nvSpPr>
      <xdr:spPr>
        <a:xfrm>
          <a:off x="209550" y="266700"/>
          <a:ext cx="2828925" cy="2286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Total Employees</a:t>
          </a:r>
        </a:p>
      </xdr:txBody>
    </xdr:sp>
    <xdr:clientData/>
  </xdr:twoCellAnchor>
  <xdr:twoCellAnchor>
    <xdr:from>
      <xdr:col>0</xdr:col>
      <xdr:colOff>219075</xdr:colOff>
      <xdr:row>6</xdr:row>
      <xdr:rowOff>123825</xdr:rowOff>
    </xdr:from>
    <xdr:to>
      <xdr:col>4</xdr:col>
      <xdr:colOff>600075</xdr:colOff>
      <xdr:row>7</xdr:row>
      <xdr:rowOff>171450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024E481-D6DF-429E-B28D-673AFE354876}"/>
            </a:ext>
          </a:extLst>
        </xdr:cNvPr>
        <xdr:cNvSpPr txBox="1"/>
      </xdr:nvSpPr>
      <xdr:spPr>
        <a:xfrm>
          <a:off x="219075" y="1266825"/>
          <a:ext cx="2819400" cy="23812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No.</a:t>
          </a:r>
          <a:r>
            <a:rPr lang="en-US" sz="1600" b="1" baseline="0"/>
            <a:t> of Departments</a:t>
          </a:r>
          <a:endParaRPr lang="en-US" sz="1600" b="1"/>
        </a:p>
      </xdr:txBody>
    </xdr:sp>
    <xdr:clientData/>
  </xdr:twoCellAnchor>
  <xdr:twoCellAnchor>
    <xdr:from>
      <xdr:col>0</xdr:col>
      <xdr:colOff>228600</xdr:colOff>
      <xdr:row>11</xdr:row>
      <xdr:rowOff>114300</xdr:rowOff>
    </xdr:from>
    <xdr:to>
      <xdr:col>5</xdr:col>
      <xdr:colOff>0</xdr:colOff>
      <xdr:row>12</xdr:row>
      <xdr:rowOff>142875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6277A97-E1B0-4FA5-A661-504B8D2F0E14}"/>
            </a:ext>
          </a:extLst>
        </xdr:cNvPr>
        <xdr:cNvSpPr txBox="1"/>
      </xdr:nvSpPr>
      <xdr:spPr>
        <a:xfrm>
          <a:off x="228600" y="2209800"/>
          <a:ext cx="2819400" cy="21907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Total Female</a:t>
          </a:r>
          <a:r>
            <a:rPr lang="en-US" sz="1600" b="1" baseline="0"/>
            <a:t> Staff</a:t>
          </a:r>
          <a:endParaRPr lang="en-US" sz="1600" b="1"/>
        </a:p>
      </xdr:txBody>
    </xdr:sp>
    <xdr:clientData/>
  </xdr:twoCellAnchor>
  <xdr:twoCellAnchor>
    <xdr:from>
      <xdr:col>0</xdr:col>
      <xdr:colOff>219075</xdr:colOff>
      <xdr:row>16</xdr:row>
      <xdr:rowOff>123825</xdr:rowOff>
    </xdr:from>
    <xdr:to>
      <xdr:col>4</xdr:col>
      <xdr:colOff>600075</xdr:colOff>
      <xdr:row>18</xdr:row>
      <xdr:rowOff>47624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EC08A42-EF7E-43BF-8215-F7EB546D9525}"/>
            </a:ext>
          </a:extLst>
        </xdr:cNvPr>
        <xdr:cNvSpPr txBox="1"/>
      </xdr:nvSpPr>
      <xdr:spPr>
        <a:xfrm>
          <a:off x="219075" y="3171825"/>
          <a:ext cx="2819400" cy="3047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Total Male</a:t>
          </a:r>
          <a:r>
            <a:rPr lang="en-US" sz="1600" b="1" baseline="0"/>
            <a:t> Staff</a:t>
          </a:r>
          <a:endParaRPr lang="en-US" sz="1600" b="1"/>
        </a:p>
      </xdr:txBody>
    </xdr:sp>
    <xdr:clientData/>
  </xdr:twoCellAnchor>
  <xdr:twoCellAnchor>
    <xdr:from>
      <xdr:col>5</xdr:col>
      <xdr:colOff>152400</xdr:colOff>
      <xdr:row>27</xdr:row>
      <xdr:rowOff>133350</xdr:rowOff>
    </xdr:from>
    <xdr:to>
      <xdr:col>24</xdr:col>
      <xdr:colOff>476250</xdr:colOff>
      <xdr:row>39</xdr:row>
      <xdr:rowOff>57149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3794D236-6828-45C2-A3BD-D187BC318B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0" y="5276850"/>
              <a:ext cx="11906250" cy="2209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180974</xdr:colOff>
      <xdr:row>3</xdr:row>
      <xdr:rowOff>28576</xdr:rowOff>
    </xdr:from>
    <xdr:to>
      <xdr:col>18</xdr:col>
      <xdr:colOff>304799</xdr:colOff>
      <xdr:row>14</xdr:row>
      <xdr:rowOff>47626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D90240F-CE77-4B89-9321-86950EE46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400050</xdr:colOff>
      <xdr:row>3</xdr:row>
      <xdr:rowOff>19050</xdr:rowOff>
    </xdr:from>
    <xdr:to>
      <xdr:col>24</xdr:col>
      <xdr:colOff>495301</xdr:colOff>
      <xdr:row>14</xdr:row>
      <xdr:rowOff>47625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B23576B-F582-44E9-8646-5BC24C4CF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133350</xdr:colOff>
      <xdr:row>15</xdr:row>
      <xdr:rowOff>0</xdr:rowOff>
    </xdr:from>
    <xdr:to>
      <xdr:col>12</xdr:col>
      <xdr:colOff>419099</xdr:colOff>
      <xdr:row>27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0B63ED3-1425-4ED5-A6FA-6D3D24D70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466725</xdr:colOff>
      <xdr:row>14</xdr:row>
      <xdr:rowOff>171449</xdr:rowOff>
    </xdr:from>
    <xdr:to>
      <xdr:col>18</xdr:col>
      <xdr:colOff>561975</xdr:colOff>
      <xdr:row>27</xdr:row>
      <xdr:rowOff>104775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C5ECC00-29DA-488C-8165-6011683E7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19050</xdr:colOff>
      <xdr:row>14</xdr:row>
      <xdr:rowOff>166687</xdr:rowOff>
    </xdr:from>
    <xdr:to>
      <xdr:col>24</xdr:col>
      <xdr:colOff>485775</xdr:colOff>
      <xdr:row>27</xdr:row>
      <xdr:rowOff>114300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171E50A-6707-9B9B-0FF3-998700F8C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142875</xdr:colOff>
      <xdr:row>3</xdr:row>
      <xdr:rowOff>19051</xdr:rowOff>
    </xdr:from>
    <xdr:to>
      <xdr:col>11</xdr:col>
      <xdr:colOff>95250</xdr:colOff>
      <xdr:row>14</xdr:row>
      <xdr:rowOff>38101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9FD4491-5D54-4139-9B45-3C7A6E5BD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228600</xdr:colOff>
      <xdr:row>21</xdr:row>
      <xdr:rowOff>152400</xdr:rowOff>
    </xdr:from>
    <xdr:to>
      <xdr:col>4</xdr:col>
      <xdr:colOff>590549</xdr:colOff>
      <xdr:row>26</xdr:row>
      <xdr:rowOff>47625</xdr:rowOff>
    </xdr:to>
    <xdr:sp macro="" textlink="'Basic level answers'!C176">
      <xdr:nvSpPr>
        <xdr:cNvPr id="21" name="TextBox 20">
          <a:extLst>
            <a:ext uri="{FF2B5EF4-FFF2-40B4-BE49-F238E27FC236}">
              <a16:creationId xmlns:a16="http://schemas.microsoft.com/office/drawing/2014/main" id="{3A4D5223-64BB-4EB7-A8A7-FC8D52510A8B}"/>
            </a:ext>
          </a:extLst>
        </xdr:cNvPr>
        <xdr:cNvSpPr txBox="1"/>
      </xdr:nvSpPr>
      <xdr:spPr>
        <a:xfrm>
          <a:off x="228600" y="4152900"/>
          <a:ext cx="2800349" cy="8477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9D99700-C401-4F71-9031-FBF1A0473FE8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7.01</a:t>
          </a:fld>
          <a:endParaRPr lang="en-US" sz="18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228600</xdr:colOff>
      <xdr:row>21</xdr:row>
      <xdr:rowOff>152400</xdr:rowOff>
    </xdr:from>
    <xdr:to>
      <xdr:col>5</xdr:col>
      <xdr:colOff>0</xdr:colOff>
      <xdr:row>23</xdr:row>
      <xdr:rowOff>47625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F600757-08A1-4D8A-9216-90022780EA4F}"/>
            </a:ext>
          </a:extLst>
        </xdr:cNvPr>
        <xdr:cNvSpPr txBox="1"/>
      </xdr:nvSpPr>
      <xdr:spPr>
        <a:xfrm>
          <a:off x="228600" y="4152900"/>
          <a:ext cx="2819400" cy="27622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Average</a:t>
          </a:r>
          <a:r>
            <a:rPr lang="en-US" sz="1400" b="1" baseline="0"/>
            <a:t> No.of Years At Company</a:t>
          </a:r>
          <a:endParaRPr lang="en-US" sz="1400" b="1"/>
        </a:p>
      </xdr:txBody>
    </xdr:sp>
    <xdr:clientData/>
  </xdr:twoCellAnchor>
  <xdr:twoCellAnchor>
    <xdr:from>
      <xdr:col>0</xdr:col>
      <xdr:colOff>219075</xdr:colOff>
      <xdr:row>27</xdr:row>
      <xdr:rowOff>0</xdr:rowOff>
    </xdr:from>
    <xdr:to>
      <xdr:col>4</xdr:col>
      <xdr:colOff>581024</xdr:colOff>
      <xdr:row>31</xdr:row>
      <xdr:rowOff>85725</xdr:rowOff>
    </xdr:to>
    <xdr:sp macro="" textlink="'Basic level answers'!B48">
      <xdr:nvSpPr>
        <xdr:cNvPr id="23" name="TextBox 22">
          <a:extLst>
            <a:ext uri="{FF2B5EF4-FFF2-40B4-BE49-F238E27FC236}">
              <a16:creationId xmlns:a16="http://schemas.microsoft.com/office/drawing/2014/main" id="{9A19D7E8-30D2-45FA-A0AD-2AA23B2A6688}"/>
            </a:ext>
          </a:extLst>
        </xdr:cNvPr>
        <xdr:cNvSpPr txBox="1"/>
      </xdr:nvSpPr>
      <xdr:spPr>
        <a:xfrm>
          <a:off x="219075" y="5143500"/>
          <a:ext cx="2800349" cy="8477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455F916-62F1-46A4-A04D-9790EDC1AD29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33.60759494</a:t>
          </a:fld>
          <a:endParaRPr lang="en-US" sz="18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209550</xdr:colOff>
      <xdr:row>27</xdr:row>
      <xdr:rowOff>0</xdr:rowOff>
    </xdr:from>
    <xdr:to>
      <xdr:col>4</xdr:col>
      <xdr:colOff>590550</xdr:colOff>
      <xdr:row>28</xdr:row>
      <xdr:rowOff>114299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6D12E69-33EA-4FE0-BEF6-CB4AC478DAC9}"/>
            </a:ext>
          </a:extLst>
        </xdr:cNvPr>
        <xdr:cNvSpPr txBox="1"/>
      </xdr:nvSpPr>
      <xdr:spPr>
        <a:xfrm>
          <a:off x="209550" y="5143500"/>
          <a:ext cx="2819400" cy="3047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Average</a:t>
          </a:r>
          <a:r>
            <a:rPr lang="en-US" sz="1400" b="1" baseline="0"/>
            <a:t> Age Who left Company</a:t>
          </a:r>
          <a:endParaRPr lang="en-US" sz="1400" b="1"/>
        </a:p>
      </xdr:txBody>
    </xdr:sp>
    <xdr:clientData/>
  </xdr:twoCellAnchor>
  <xdr:twoCellAnchor>
    <xdr:from>
      <xdr:col>0</xdr:col>
      <xdr:colOff>219075</xdr:colOff>
      <xdr:row>32</xdr:row>
      <xdr:rowOff>0</xdr:rowOff>
    </xdr:from>
    <xdr:to>
      <xdr:col>4</xdr:col>
      <xdr:colOff>581024</xdr:colOff>
      <xdr:row>36</xdr:row>
      <xdr:rowOff>85725</xdr:rowOff>
    </xdr:to>
    <xdr:sp macro="" textlink="'Basic level answers'!C105">
      <xdr:nvSpPr>
        <xdr:cNvPr id="25" name="TextBox 24">
          <a:extLst>
            <a:ext uri="{FF2B5EF4-FFF2-40B4-BE49-F238E27FC236}">
              <a16:creationId xmlns:a16="http://schemas.microsoft.com/office/drawing/2014/main" id="{74A6D56D-C816-4B79-9096-9A250AC3D828}"/>
            </a:ext>
          </a:extLst>
        </xdr:cNvPr>
        <xdr:cNvSpPr txBox="1"/>
      </xdr:nvSpPr>
      <xdr:spPr>
        <a:xfrm>
          <a:off x="219075" y="6096000"/>
          <a:ext cx="2800349" cy="8477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D1C1F99-C158-409E-8C06-03F562E051AF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4787.09</a:t>
          </a:fld>
          <a:endParaRPr lang="en-US" sz="18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209550</xdr:colOff>
      <xdr:row>32</xdr:row>
      <xdr:rowOff>0</xdr:rowOff>
    </xdr:from>
    <xdr:to>
      <xdr:col>4</xdr:col>
      <xdr:colOff>590550</xdr:colOff>
      <xdr:row>33</xdr:row>
      <xdr:rowOff>114299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0F8922C-8E0D-484D-9A33-83E48F0B4C58}"/>
            </a:ext>
          </a:extLst>
        </xdr:cNvPr>
        <xdr:cNvSpPr txBox="1"/>
      </xdr:nvSpPr>
      <xdr:spPr>
        <a:xfrm>
          <a:off x="209550" y="6096000"/>
          <a:ext cx="2819400" cy="3047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baseline="0"/>
            <a:t>Monthly Income of Attrition Employee</a:t>
          </a:r>
          <a:endParaRPr lang="en-US" sz="1200" b="1"/>
        </a:p>
      </xdr:txBody>
    </xdr:sp>
    <xdr:clientData/>
  </xdr:twoCellAnchor>
  <xdr:twoCellAnchor>
    <xdr:from>
      <xdr:col>6</xdr:col>
      <xdr:colOff>59531</xdr:colOff>
      <xdr:row>0</xdr:row>
      <xdr:rowOff>107155</xdr:rowOff>
    </xdr:from>
    <xdr:to>
      <xdr:col>23</xdr:col>
      <xdr:colOff>547688</xdr:colOff>
      <xdr:row>2</xdr:row>
      <xdr:rowOff>154780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ADF65FC-9723-6D45-884D-0B113DFD69A5}"/>
            </a:ext>
          </a:extLst>
        </xdr:cNvPr>
        <xdr:cNvSpPr txBox="1"/>
      </xdr:nvSpPr>
      <xdr:spPr>
        <a:xfrm>
          <a:off x="3702844" y="107155"/>
          <a:ext cx="10810875" cy="42862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>
              <a:solidFill>
                <a:schemeClr val="bg1"/>
              </a:solidFill>
            </a:rPr>
            <a:t>HR Ananlysis Dashboard</a:t>
          </a:r>
        </a:p>
      </xdr:txBody>
    </xdr:sp>
    <xdr:clientData/>
  </xdr:twoCellAnchor>
  <xdr:twoCellAnchor>
    <xdr:from>
      <xdr:col>5</xdr:col>
      <xdr:colOff>148168</xdr:colOff>
      <xdr:row>39</xdr:row>
      <xdr:rowOff>136523</xdr:rowOff>
    </xdr:from>
    <xdr:to>
      <xdr:col>12</xdr:col>
      <xdr:colOff>423335</xdr:colOff>
      <xdr:row>57</xdr:row>
      <xdr:rowOff>169333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BAF1C7-8348-4A70-8FC3-08CDDD365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560918</xdr:colOff>
      <xdr:row>39</xdr:row>
      <xdr:rowOff>127000</xdr:rowOff>
    </xdr:from>
    <xdr:to>
      <xdr:col>24</xdr:col>
      <xdr:colOff>476250</xdr:colOff>
      <xdr:row>57</xdr:row>
      <xdr:rowOff>158750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8485C26-B352-46AE-B434-D363DE245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y Kulkarni" refreshedDate="46287.789393865743" createdVersion="8" refreshedVersion="8" minRefreshableVersion="3" recordCount="1470" xr:uid="{FFD8BCC3-52AB-4F43-AB46-CAE131CB5521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n v="1"/>
    <n v="2"/>
    <s v="Life Sciences"/>
    <n v="1"/>
    <n v="1"/>
    <n v="2"/>
    <x v="0"/>
    <n v="94"/>
    <x v="0"/>
    <n v="2"/>
    <x v="0"/>
    <n v="4"/>
    <x v="0"/>
    <n v="5993"/>
    <n v="19479"/>
    <n v="8"/>
    <s v="Y"/>
    <s v="Yes"/>
    <n v="11"/>
    <x v="0"/>
    <n v="1"/>
    <n v="80"/>
    <x v="0"/>
    <n v="8"/>
    <x v="0"/>
    <n v="1"/>
    <n v="6"/>
    <n v="4"/>
    <n v="0"/>
    <n v="5"/>
  </r>
  <r>
    <n v="49"/>
    <x v="1"/>
    <x v="1"/>
    <n v="279"/>
    <x v="1"/>
    <n v="8"/>
    <n v="1"/>
    <s v="Life Sciences"/>
    <n v="1"/>
    <n v="2"/>
    <n v="3"/>
    <x v="1"/>
    <n v="61"/>
    <x v="1"/>
    <n v="2"/>
    <x v="1"/>
    <n v="2"/>
    <x v="1"/>
    <n v="5130"/>
    <n v="24907"/>
    <n v="1"/>
    <s v="Y"/>
    <s v="No"/>
    <n v="23"/>
    <x v="1"/>
    <n v="4"/>
    <n v="80"/>
    <x v="1"/>
    <n v="10"/>
    <x v="1"/>
    <n v="3"/>
    <n v="10"/>
    <n v="7"/>
    <n v="1"/>
    <n v="7"/>
  </r>
  <r>
    <n v="37"/>
    <x v="0"/>
    <x v="0"/>
    <n v="1373"/>
    <x v="1"/>
    <n v="2"/>
    <n v="2"/>
    <s v="Other"/>
    <n v="1"/>
    <n v="4"/>
    <n v="4"/>
    <x v="1"/>
    <n v="92"/>
    <x v="1"/>
    <n v="1"/>
    <x v="2"/>
    <n v="3"/>
    <x v="0"/>
    <n v="2090"/>
    <n v="2396"/>
    <n v="6"/>
    <s v="Y"/>
    <s v="Yes"/>
    <n v="15"/>
    <x v="0"/>
    <n v="2"/>
    <n v="80"/>
    <x v="0"/>
    <n v="7"/>
    <x v="1"/>
    <n v="3"/>
    <n v="0"/>
    <n v="0"/>
    <n v="0"/>
    <n v="0"/>
  </r>
  <r>
    <n v="33"/>
    <x v="1"/>
    <x v="1"/>
    <n v="1392"/>
    <x v="1"/>
    <n v="3"/>
    <n v="4"/>
    <s v="Life Sciences"/>
    <n v="1"/>
    <n v="5"/>
    <n v="4"/>
    <x v="0"/>
    <n v="56"/>
    <x v="0"/>
    <n v="1"/>
    <x v="1"/>
    <n v="3"/>
    <x v="1"/>
    <n v="2909"/>
    <n v="23159"/>
    <n v="1"/>
    <s v="Y"/>
    <s v="Yes"/>
    <n v="11"/>
    <x v="0"/>
    <n v="3"/>
    <n v="80"/>
    <x v="0"/>
    <n v="8"/>
    <x v="1"/>
    <n v="3"/>
    <n v="8"/>
    <n v="7"/>
    <n v="3"/>
    <n v="0"/>
  </r>
  <r>
    <n v="27"/>
    <x v="1"/>
    <x v="0"/>
    <n v="591"/>
    <x v="1"/>
    <n v="2"/>
    <n v="1"/>
    <s v="Medical"/>
    <n v="1"/>
    <n v="7"/>
    <n v="1"/>
    <x v="1"/>
    <n v="40"/>
    <x v="0"/>
    <n v="1"/>
    <x v="2"/>
    <n v="2"/>
    <x v="1"/>
    <n v="3468"/>
    <n v="16632"/>
    <n v="9"/>
    <s v="Y"/>
    <s v="No"/>
    <n v="12"/>
    <x v="0"/>
    <n v="4"/>
    <n v="80"/>
    <x v="1"/>
    <n v="6"/>
    <x v="1"/>
    <n v="3"/>
    <n v="2"/>
    <n v="2"/>
    <n v="2"/>
    <n v="2"/>
  </r>
  <r>
    <n v="32"/>
    <x v="1"/>
    <x v="1"/>
    <n v="1005"/>
    <x v="1"/>
    <n v="2"/>
    <n v="2"/>
    <s v="Life Sciences"/>
    <n v="1"/>
    <n v="8"/>
    <n v="4"/>
    <x v="1"/>
    <n v="79"/>
    <x v="0"/>
    <n v="1"/>
    <x v="2"/>
    <n v="4"/>
    <x v="0"/>
    <n v="3068"/>
    <n v="11864"/>
    <n v="0"/>
    <s v="Y"/>
    <s v="No"/>
    <n v="13"/>
    <x v="0"/>
    <n v="3"/>
    <n v="80"/>
    <x v="0"/>
    <n v="8"/>
    <x v="2"/>
    <n v="2"/>
    <n v="7"/>
    <n v="7"/>
    <n v="3"/>
    <n v="6"/>
  </r>
  <r>
    <n v="59"/>
    <x v="1"/>
    <x v="0"/>
    <n v="1324"/>
    <x v="1"/>
    <n v="3"/>
    <n v="3"/>
    <s v="Medical"/>
    <n v="1"/>
    <n v="10"/>
    <n v="3"/>
    <x v="0"/>
    <n v="81"/>
    <x v="2"/>
    <n v="1"/>
    <x v="2"/>
    <n v="1"/>
    <x v="1"/>
    <n v="2670"/>
    <n v="9964"/>
    <n v="4"/>
    <s v="Y"/>
    <s v="Yes"/>
    <n v="20"/>
    <x v="1"/>
    <n v="1"/>
    <n v="80"/>
    <x v="2"/>
    <n v="12"/>
    <x v="1"/>
    <n v="2"/>
    <n v="1"/>
    <n v="0"/>
    <n v="0"/>
    <n v="0"/>
  </r>
  <r>
    <n v="30"/>
    <x v="1"/>
    <x v="0"/>
    <n v="1358"/>
    <x v="1"/>
    <n v="24"/>
    <n v="1"/>
    <s v="Life Sciences"/>
    <n v="1"/>
    <n v="11"/>
    <n v="4"/>
    <x v="1"/>
    <n v="67"/>
    <x v="0"/>
    <n v="1"/>
    <x v="2"/>
    <n v="3"/>
    <x v="2"/>
    <n v="2693"/>
    <n v="13335"/>
    <n v="1"/>
    <s v="Y"/>
    <s v="No"/>
    <n v="22"/>
    <x v="1"/>
    <n v="2"/>
    <n v="80"/>
    <x v="1"/>
    <n v="1"/>
    <x v="2"/>
    <n v="3"/>
    <n v="1"/>
    <n v="0"/>
    <n v="0"/>
    <n v="0"/>
  </r>
  <r>
    <n v="38"/>
    <x v="1"/>
    <x v="1"/>
    <n v="216"/>
    <x v="1"/>
    <n v="23"/>
    <n v="3"/>
    <s v="Life Sciences"/>
    <n v="1"/>
    <n v="12"/>
    <n v="4"/>
    <x v="1"/>
    <n v="44"/>
    <x v="1"/>
    <n v="3"/>
    <x v="3"/>
    <n v="3"/>
    <x v="0"/>
    <n v="9526"/>
    <n v="8787"/>
    <n v="0"/>
    <s v="Y"/>
    <s v="No"/>
    <n v="21"/>
    <x v="1"/>
    <n v="2"/>
    <n v="80"/>
    <x v="0"/>
    <n v="10"/>
    <x v="2"/>
    <n v="3"/>
    <n v="9"/>
    <n v="7"/>
    <n v="1"/>
    <n v="8"/>
  </r>
  <r>
    <n v="36"/>
    <x v="1"/>
    <x v="0"/>
    <n v="1299"/>
    <x v="1"/>
    <n v="27"/>
    <n v="3"/>
    <s v="Medical"/>
    <n v="1"/>
    <n v="13"/>
    <n v="3"/>
    <x v="1"/>
    <n v="94"/>
    <x v="0"/>
    <n v="2"/>
    <x v="4"/>
    <n v="3"/>
    <x v="1"/>
    <n v="5237"/>
    <n v="16577"/>
    <n v="6"/>
    <s v="Y"/>
    <s v="No"/>
    <n v="13"/>
    <x v="0"/>
    <n v="2"/>
    <n v="80"/>
    <x v="3"/>
    <n v="17"/>
    <x v="1"/>
    <n v="2"/>
    <n v="7"/>
    <n v="7"/>
    <n v="7"/>
    <n v="7"/>
  </r>
  <r>
    <n v="35"/>
    <x v="1"/>
    <x v="0"/>
    <n v="809"/>
    <x v="1"/>
    <n v="16"/>
    <n v="3"/>
    <s v="Medical"/>
    <n v="1"/>
    <n v="14"/>
    <n v="1"/>
    <x v="1"/>
    <n v="84"/>
    <x v="2"/>
    <n v="1"/>
    <x v="2"/>
    <n v="2"/>
    <x v="1"/>
    <n v="2426"/>
    <n v="16479"/>
    <n v="0"/>
    <s v="Y"/>
    <s v="No"/>
    <n v="13"/>
    <x v="0"/>
    <n v="3"/>
    <n v="80"/>
    <x v="1"/>
    <n v="6"/>
    <x v="3"/>
    <n v="3"/>
    <n v="5"/>
    <n v="4"/>
    <n v="0"/>
    <n v="3"/>
  </r>
  <r>
    <n v="29"/>
    <x v="1"/>
    <x v="0"/>
    <n v="153"/>
    <x v="1"/>
    <n v="15"/>
    <n v="2"/>
    <s v="Life Sciences"/>
    <n v="1"/>
    <n v="15"/>
    <n v="4"/>
    <x v="0"/>
    <n v="49"/>
    <x v="1"/>
    <n v="2"/>
    <x v="2"/>
    <n v="3"/>
    <x v="0"/>
    <n v="4193"/>
    <n v="12682"/>
    <n v="0"/>
    <s v="Y"/>
    <s v="Yes"/>
    <n v="12"/>
    <x v="0"/>
    <n v="4"/>
    <n v="80"/>
    <x v="0"/>
    <n v="10"/>
    <x v="1"/>
    <n v="3"/>
    <n v="9"/>
    <n v="5"/>
    <n v="0"/>
    <n v="8"/>
  </r>
  <r>
    <n v="31"/>
    <x v="1"/>
    <x v="0"/>
    <n v="670"/>
    <x v="1"/>
    <n v="26"/>
    <n v="1"/>
    <s v="Life Sciences"/>
    <n v="1"/>
    <n v="16"/>
    <n v="1"/>
    <x v="1"/>
    <n v="31"/>
    <x v="0"/>
    <n v="1"/>
    <x v="1"/>
    <n v="3"/>
    <x v="2"/>
    <n v="2911"/>
    <n v="15170"/>
    <n v="1"/>
    <s v="Y"/>
    <s v="No"/>
    <n v="17"/>
    <x v="0"/>
    <n v="4"/>
    <n v="80"/>
    <x v="1"/>
    <n v="5"/>
    <x v="4"/>
    <n v="2"/>
    <n v="5"/>
    <n v="2"/>
    <n v="4"/>
    <n v="3"/>
  </r>
  <r>
    <n v="34"/>
    <x v="1"/>
    <x v="0"/>
    <n v="1346"/>
    <x v="1"/>
    <n v="19"/>
    <n v="2"/>
    <s v="Medical"/>
    <n v="1"/>
    <n v="18"/>
    <n v="2"/>
    <x v="1"/>
    <n v="93"/>
    <x v="0"/>
    <n v="1"/>
    <x v="2"/>
    <n v="4"/>
    <x v="2"/>
    <n v="2661"/>
    <n v="8758"/>
    <n v="0"/>
    <s v="Y"/>
    <s v="No"/>
    <n v="11"/>
    <x v="0"/>
    <n v="3"/>
    <n v="80"/>
    <x v="1"/>
    <n v="3"/>
    <x v="2"/>
    <n v="3"/>
    <n v="2"/>
    <n v="2"/>
    <n v="1"/>
    <n v="2"/>
  </r>
  <r>
    <n v="28"/>
    <x v="0"/>
    <x v="0"/>
    <n v="103"/>
    <x v="1"/>
    <n v="24"/>
    <n v="3"/>
    <s v="Life Sciences"/>
    <n v="1"/>
    <n v="19"/>
    <n v="3"/>
    <x v="1"/>
    <n v="50"/>
    <x v="1"/>
    <n v="1"/>
    <x v="2"/>
    <n v="3"/>
    <x v="0"/>
    <n v="2028"/>
    <n v="12947"/>
    <n v="5"/>
    <s v="Y"/>
    <s v="Yes"/>
    <n v="14"/>
    <x v="0"/>
    <n v="2"/>
    <n v="80"/>
    <x v="0"/>
    <n v="6"/>
    <x v="5"/>
    <n v="3"/>
    <n v="4"/>
    <n v="2"/>
    <n v="0"/>
    <n v="3"/>
  </r>
  <r>
    <n v="29"/>
    <x v="1"/>
    <x v="0"/>
    <n v="1389"/>
    <x v="1"/>
    <n v="21"/>
    <n v="4"/>
    <s v="Life Sciences"/>
    <n v="1"/>
    <n v="20"/>
    <n v="2"/>
    <x v="0"/>
    <n v="51"/>
    <x v="2"/>
    <n v="3"/>
    <x v="3"/>
    <n v="1"/>
    <x v="2"/>
    <n v="9980"/>
    <n v="10195"/>
    <n v="1"/>
    <s v="Y"/>
    <s v="No"/>
    <n v="11"/>
    <x v="0"/>
    <n v="3"/>
    <n v="80"/>
    <x v="1"/>
    <n v="10"/>
    <x v="4"/>
    <n v="3"/>
    <n v="10"/>
    <n v="9"/>
    <n v="8"/>
    <n v="8"/>
  </r>
  <r>
    <n v="32"/>
    <x v="1"/>
    <x v="0"/>
    <n v="334"/>
    <x v="1"/>
    <n v="5"/>
    <n v="2"/>
    <s v="Life Sciences"/>
    <n v="1"/>
    <n v="21"/>
    <n v="1"/>
    <x v="1"/>
    <n v="80"/>
    <x v="2"/>
    <n v="1"/>
    <x v="1"/>
    <n v="2"/>
    <x v="2"/>
    <n v="3298"/>
    <n v="15053"/>
    <n v="0"/>
    <s v="Y"/>
    <s v="Yes"/>
    <n v="12"/>
    <x v="0"/>
    <n v="4"/>
    <n v="80"/>
    <x v="3"/>
    <n v="7"/>
    <x v="3"/>
    <n v="2"/>
    <n v="6"/>
    <n v="2"/>
    <n v="0"/>
    <n v="5"/>
  </r>
  <r>
    <n v="22"/>
    <x v="1"/>
    <x v="2"/>
    <n v="1123"/>
    <x v="1"/>
    <n v="16"/>
    <n v="2"/>
    <s v="Medical"/>
    <n v="1"/>
    <n v="22"/>
    <n v="4"/>
    <x v="1"/>
    <n v="96"/>
    <x v="2"/>
    <n v="1"/>
    <x v="2"/>
    <n v="4"/>
    <x v="2"/>
    <n v="2935"/>
    <n v="7324"/>
    <n v="1"/>
    <s v="Y"/>
    <s v="Yes"/>
    <n v="13"/>
    <x v="0"/>
    <n v="2"/>
    <n v="80"/>
    <x v="3"/>
    <n v="1"/>
    <x v="2"/>
    <n v="2"/>
    <n v="1"/>
    <n v="0"/>
    <n v="0"/>
    <n v="0"/>
  </r>
  <r>
    <n v="53"/>
    <x v="1"/>
    <x v="0"/>
    <n v="1219"/>
    <x v="0"/>
    <n v="2"/>
    <n v="4"/>
    <s v="Life Sciences"/>
    <n v="1"/>
    <n v="23"/>
    <n v="1"/>
    <x v="0"/>
    <n v="78"/>
    <x v="1"/>
    <n v="4"/>
    <x v="5"/>
    <n v="4"/>
    <x v="1"/>
    <n v="15427"/>
    <n v="22021"/>
    <n v="2"/>
    <s v="Y"/>
    <s v="No"/>
    <n v="16"/>
    <x v="0"/>
    <n v="3"/>
    <n v="80"/>
    <x v="0"/>
    <n v="31"/>
    <x v="1"/>
    <n v="3"/>
    <n v="25"/>
    <n v="8"/>
    <n v="3"/>
    <n v="7"/>
  </r>
  <r>
    <n v="38"/>
    <x v="1"/>
    <x v="0"/>
    <n v="371"/>
    <x v="1"/>
    <n v="2"/>
    <n v="3"/>
    <s v="Life Sciences"/>
    <n v="1"/>
    <n v="24"/>
    <n v="4"/>
    <x v="1"/>
    <n v="45"/>
    <x v="0"/>
    <n v="1"/>
    <x v="1"/>
    <n v="4"/>
    <x v="0"/>
    <n v="3944"/>
    <n v="4306"/>
    <n v="5"/>
    <s v="Y"/>
    <s v="Yes"/>
    <n v="11"/>
    <x v="0"/>
    <n v="3"/>
    <n v="80"/>
    <x v="0"/>
    <n v="6"/>
    <x v="1"/>
    <n v="3"/>
    <n v="3"/>
    <n v="2"/>
    <n v="1"/>
    <n v="2"/>
  </r>
  <r>
    <n v="24"/>
    <x v="1"/>
    <x v="2"/>
    <n v="673"/>
    <x v="1"/>
    <n v="11"/>
    <n v="2"/>
    <s v="Other"/>
    <n v="1"/>
    <n v="26"/>
    <n v="1"/>
    <x v="0"/>
    <n v="96"/>
    <x v="2"/>
    <n v="2"/>
    <x v="3"/>
    <n v="3"/>
    <x v="2"/>
    <n v="4011"/>
    <n v="8232"/>
    <n v="0"/>
    <s v="Y"/>
    <s v="No"/>
    <n v="18"/>
    <x v="0"/>
    <n v="4"/>
    <n v="80"/>
    <x v="1"/>
    <n v="5"/>
    <x v="3"/>
    <n v="2"/>
    <n v="4"/>
    <n v="2"/>
    <n v="1"/>
    <n v="3"/>
  </r>
  <r>
    <n v="36"/>
    <x v="0"/>
    <x v="0"/>
    <n v="1218"/>
    <x v="0"/>
    <n v="9"/>
    <n v="4"/>
    <s v="Life Sciences"/>
    <n v="1"/>
    <n v="27"/>
    <n v="3"/>
    <x v="1"/>
    <n v="82"/>
    <x v="1"/>
    <n v="1"/>
    <x v="6"/>
    <n v="1"/>
    <x v="0"/>
    <n v="3407"/>
    <n v="6986"/>
    <n v="7"/>
    <s v="Y"/>
    <s v="No"/>
    <n v="23"/>
    <x v="1"/>
    <n v="2"/>
    <n v="80"/>
    <x v="0"/>
    <n v="10"/>
    <x v="5"/>
    <n v="3"/>
    <n v="5"/>
    <n v="3"/>
    <n v="0"/>
    <n v="3"/>
  </r>
  <r>
    <n v="34"/>
    <x v="1"/>
    <x v="0"/>
    <n v="419"/>
    <x v="1"/>
    <n v="7"/>
    <n v="4"/>
    <s v="Life Sciences"/>
    <n v="1"/>
    <n v="28"/>
    <n v="1"/>
    <x v="0"/>
    <n v="53"/>
    <x v="0"/>
    <n v="3"/>
    <x v="7"/>
    <n v="2"/>
    <x v="0"/>
    <n v="11994"/>
    <n v="21293"/>
    <n v="0"/>
    <s v="Y"/>
    <s v="No"/>
    <n v="11"/>
    <x v="0"/>
    <n v="3"/>
    <n v="80"/>
    <x v="0"/>
    <n v="13"/>
    <x v="5"/>
    <n v="3"/>
    <n v="12"/>
    <n v="6"/>
    <n v="2"/>
    <n v="11"/>
  </r>
  <r>
    <n v="21"/>
    <x v="1"/>
    <x v="0"/>
    <n v="391"/>
    <x v="1"/>
    <n v="15"/>
    <n v="2"/>
    <s v="Life Sciences"/>
    <n v="1"/>
    <n v="30"/>
    <n v="3"/>
    <x v="1"/>
    <n v="96"/>
    <x v="0"/>
    <n v="1"/>
    <x v="1"/>
    <n v="4"/>
    <x v="0"/>
    <n v="1232"/>
    <n v="19281"/>
    <n v="1"/>
    <s v="Y"/>
    <s v="No"/>
    <n v="14"/>
    <x v="0"/>
    <n v="4"/>
    <n v="80"/>
    <x v="0"/>
    <n v="0"/>
    <x v="6"/>
    <n v="3"/>
    <n v="0"/>
    <n v="0"/>
    <n v="0"/>
    <n v="0"/>
  </r>
  <r>
    <n v="34"/>
    <x v="0"/>
    <x v="0"/>
    <n v="699"/>
    <x v="1"/>
    <n v="6"/>
    <n v="1"/>
    <s v="Medical"/>
    <n v="1"/>
    <n v="31"/>
    <n v="2"/>
    <x v="1"/>
    <n v="83"/>
    <x v="0"/>
    <n v="1"/>
    <x v="1"/>
    <n v="1"/>
    <x v="0"/>
    <n v="2960"/>
    <n v="17102"/>
    <n v="2"/>
    <s v="Y"/>
    <s v="No"/>
    <n v="11"/>
    <x v="0"/>
    <n v="3"/>
    <n v="80"/>
    <x v="0"/>
    <n v="8"/>
    <x v="2"/>
    <n v="3"/>
    <n v="4"/>
    <n v="2"/>
    <n v="1"/>
    <n v="3"/>
  </r>
  <r>
    <n v="53"/>
    <x v="1"/>
    <x v="0"/>
    <n v="1282"/>
    <x v="1"/>
    <n v="5"/>
    <n v="3"/>
    <s v="Other"/>
    <n v="1"/>
    <n v="32"/>
    <n v="3"/>
    <x v="0"/>
    <n v="58"/>
    <x v="0"/>
    <n v="5"/>
    <x v="5"/>
    <n v="3"/>
    <x v="2"/>
    <n v="19094"/>
    <n v="10735"/>
    <n v="4"/>
    <s v="Y"/>
    <s v="No"/>
    <n v="11"/>
    <x v="0"/>
    <n v="4"/>
    <n v="80"/>
    <x v="1"/>
    <n v="26"/>
    <x v="1"/>
    <n v="2"/>
    <n v="14"/>
    <n v="13"/>
    <n v="4"/>
    <n v="8"/>
  </r>
  <r>
    <n v="32"/>
    <x v="0"/>
    <x v="1"/>
    <n v="1125"/>
    <x v="1"/>
    <n v="16"/>
    <n v="1"/>
    <s v="Life Sciences"/>
    <n v="1"/>
    <n v="33"/>
    <n v="2"/>
    <x v="0"/>
    <n v="72"/>
    <x v="3"/>
    <n v="1"/>
    <x v="1"/>
    <n v="1"/>
    <x v="0"/>
    <n v="3919"/>
    <n v="4681"/>
    <n v="1"/>
    <s v="Y"/>
    <s v="Yes"/>
    <n v="22"/>
    <x v="1"/>
    <n v="2"/>
    <n v="80"/>
    <x v="0"/>
    <n v="10"/>
    <x v="3"/>
    <n v="3"/>
    <n v="10"/>
    <n v="2"/>
    <n v="6"/>
    <n v="7"/>
  </r>
  <r>
    <n v="42"/>
    <x v="1"/>
    <x v="0"/>
    <n v="691"/>
    <x v="0"/>
    <n v="8"/>
    <n v="4"/>
    <s v="Marketing"/>
    <n v="1"/>
    <n v="35"/>
    <n v="3"/>
    <x v="1"/>
    <n v="48"/>
    <x v="0"/>
    <n v="2"/>
    <x v="0"/>
    <n v="2"/>
    <x v="1"/>
    <n v="6825"/>
    <n v="21173"/>
    <n v="0"/>
    <s v="Y"/>
    <s v="No"/>
    <n v="11"/>
    <x v="0"/>
    <n v="4"/>
    <n v="80"/>
    <x v="1"/>
    <n v="10"/>
    <x v="2"/>
    <n v="3"/>
    <n v="9"/>
    <n v="7"/>
    <n v="4"/>
    <n v="2"/>
  </r>
  <r>
    <n v="44"/>
    <x v="1"/>
    <x v="0"/>
    <n v="477"/>
    <x v="1"/>
    <n v="7"/>
    <n v="4"/>
    <s v="Medical"/>
    <n v="1"/>
    <n v="36"/>
    <n v="1"/>
    <x v="0"/>
    <n v="42"/>
    <x v="1"/>
    <n v="3"/>
    <x v="4"/>
    <n v="4"/>
    <x v="1"/>
    <n v="10248"/>
    <n v="2094"/>
    <n v="3"/>
    <s v="Y"/>
    <s v="No"/>
    <n v="14"/>
    <x v="0"/>
    <n v="4"/>
    <n v="80"/>
    <x v="1"/>
    <n v="24"/>
    <x v="5"/>
    <n v="3"/>
    <n v="22"/>
    <n v="6"/>
    <n v="5"/>
    <n v="17"/>
  </r>
  <r>
    <n v="46"/>
    <x v="1"/>
    <x v="0"/>
    <n v="705"/>
    <x v="0"/>
    <n v="2"/>
    <n v="4"/>
    <s v="Marketing"/>
    <n v="1"/>
    <n v="38"/>
    <n v="2"/>
    <x v="0"/>
    <n v="83"/>
    <x v="0"/>
    <n v="5"/>
    <x v="5"/>
    <n v="1"/>
    <x v="0"/>
    <n v="18947"/>
    <n v="22822"/>
    <n v="3"/>
    <s v="Y"/>
    <s v="No"/>
    <n v="12"/>
    <x v="0"/>
    <n v="4"/>
    <n v="80"/>
    <x v="0"/>
    <n v="22"/>
    <x v="2"/>
    <n v="2"/>
    <n v="2"/>
    <n v="2"/>
    <n v="2"/>
    <n v="1"/>
  </r>
  <r>
    <n v="33"/>
    <x v="1"/>
    <x v="0"/>
    <n v="924"/>
    <x v="1"/>
    <n v="2"/>
    <n v="3"/>
    <s v="Medical"/>
    <n v="1"/>
    <n v="39"/>
    <n v="3"/>
    <x v="1"/>
    <n v="78"/>
    <x v="0"/>
    <n v="1"/>
    <x v="2"/>
    <n v="4"/>
    <x v="0"/>
    <n v="2496"/>
    <n v="6670"/>
    <n v="4"/>
    <s v="Y"/>
    <s v="No"/>
    <n v="11"/>
    <x v="0"/>
    <n v="4"/>
    <n v="80"/>
    <x v="0"/>
    <n v="7"/>
    <x v="1"/>
    <n v="3"/>
    <n v="1"/>
    <n v="1"/>
    <n v="0"/>
    <n v="0"/>
  </r>
  <r>
    <n v="44"/>
    <x v="1"/>
    <x v="0"/>
    <n v="1459"/>
    <x v="1"/>
    <n v="10"/>
    <n v="4"/>
    <s v="Other"/>
    <n v="1"/>
    <n v="40"/>
    <n v="4"/>
    <x v="1"/>
    <n v="41"/>
    <x v="0"/>
    <n v="2"/>
    <x v="4"/>
    <n v="4"/>
    <x v="1"/>
    <n v="6465"/>
    <n v="19121"/>
    <n v="2"/>
    <s v="Y"/>
    <s v="Yes"/>
    <n v="13"/>
    <x v="0"/>
    <n v="4"/>
    <n v="80"/>
    <x v="0"/>
    <n v="9"/>
    <x v="3"/>
    <n v="4"/>
    <n v="4"/>
    <n v="2"/>
    <n v="1"/>
    <n v="3"/>
  </r>
  <r>
    <n v="30"/>
    <x v="1"/>
    <x v="0"/>
    <n v="125"/>
    <x v="1"/>
    <n v="9"/>
    <n v="2"/>
    <s v="Medical"/>
    <n v="1"/>
    <n v="41"/>
    <n v="4"/>
    <x v="1"/>
    <n v="83"/>
    <x v="1"/>
    <n v="1"/>
    <x v="2"/>
    <n v="3"/>
    <x v="0"/>
    <n v="2206"/>
    <n v="16117"/>
    <n v="1"/>
    <s v="Y"/>
    <s v="No"/>
    <n v="13"/>
    <x v="0"/>
    <n v="1"/>
    <n v="80"/>
    <x v="0"/>
    <n v="10"/>
    <x v="3"/>
    <n v="3"/>
    <n v="10"/>
    <n v="0"/>
    <n v="1"/>
    <n v="8"/>
  </r>
  <r>
    <n v="39"/>
    <x v="0"/>
    <x v="0"/>
    <n v="895"/>
    <x v="0"/>
    <n v="5"/>
    <n v="3"/>
    <s v="Technical Degree"/>
    <n v="1"/>
    <n v="42"/>
    <n v="4"/>
    <x v="1"/>
    <n v="56"/>
    <x v="0"/>
    <n v="2"/>
    <x v="6"/>
    <n v="4"/>
    <x v="1"/>
    <n v="2086"/>
    <n v="3335"/>
    <n v="3"/>
    <s v="Y"/>
    <s v="No"/>
    <n v="14"/>
    <x v="0"/>
    <n v="3"/>
    <n v="80"/>
    <x v="1"/>
    <n v="19"/>
    <x v="6"/>
    <n v="4"/>
    <n v="1"/>
    <n v="0"/>
    <n v="0"/>
    <n v="0"/>
  </r>
  <r>
    <n v="24"/>
    <x v="0"/>
    <x v="0"/>
    <n v="813"/>
    <x v="1"/>
    <n v="1"/>
    <n v="3"/>
    <s v="Medical"/>
    <n v="1"/>
    <n v="45"/>
    <n v="2"/>
    <x v="1"/>
    <n v="61"/>
    <x v="0"/>
    <n v="1"/>
    <x v="1"/>
    <n v="4"/>
    <x v="1"/>
    <n v="2293"/>
    <n v="3020"/>
    <n v="2"/>
    <s v="Y"/>
    <s v="Yes"/>
    <n v="16"/>
    <x v="0"/>
    <n v="1"/>
    <n v="80"/>
    <x v="1"/>
    <n v="6"/>
    <x v="2"/>
    <n v="2"/>
    <n v="2"/>
    <n v="0"/>
    <n v="2"/>
    <n v="0"/>
  </r>
  <r>
    <n v="43"/>
    <x v="1"/>
    <x v="0"/>
    <n v="1273"/>
    <x v="1"/>
    <n v="2"/>
    <n v="2"/>
    <s v="Medical"/>
    <n v="1"/>
    <n v="46"/>
    <n v="4"/>
    <x v="0"/>
    <n v="72"/>
    <x v="2"/>
    <n v="1"/>
    <x v="1"/>
    <n v="3"/>
    <x v="2"/>
    <n v="2645"/>
    <n v="21923"/>
    <n v="1"/>
    <s v="Y"/>
    <s v="No"/>
    <n v="12"/>
    <x v="0"/>
    <n v="4"/>
    <n v="80"/>
    <x v="3"/>
    <n v="6"/>
    <x v="1"/>
    <n v="2"/>
    <n v="5"/>
    <n v="3"/>
    <n v="1"/>
    <n v="4"/>
  </r>
  <r>
    <n v="50"/>
    <x v="0"/>
    <x v="0"/>
    <n v="869"/>
    <x v="0"/>
    <n v="3"/>
    <n v="2"/>
    <s v="Marketing"/>
    <n v="1"/>
    <n v="47"/>
    <n v="1"/>
    <x v="1"/>
    <n v="86"/>
    <x v="1"/>
    <n v="1"/>
    <x v="6"/>
    <n v="3"/>
    <x v="1"/>
    <n v="2683"/>
    <n v="3810"/>
    <n v="1"/>
    <s v="Y"/>
    <s v="Yes"/>
    <n v="14"/>
    <x v="0"/>
    <n v="3"/>
    <n v="80"/>
    <x v="0"/>
    <n v="3"/>
    <x v="2"/>
    <n v="3"/>
    <n v="3"/>
    <n v="2"/>
    <n v="0"/>
    <n v="2"/>
  </r>
  <r>
    <n v="35"/>
    <x v="1"/>
    <x v="0"/>
    <n v="890"/>
    <x v="0"/>
    <n v="2"/>
    <n v="3"/>
    <s v="Marketing"/>
    <n v="1"/>
    <n v="49"/>
    <n v="4"/>
    <x v="0"/>
    <n v="97"/>
    <x v="0"/>
    <n v="1"/>
    <x v="6"/>
    <n v="4"/>
    <x v="1"/>
    <n v="2014"/>
    <n v="9687"/>
    <n v="1"/>
    <s v="Y"/>
    <s v="No"/>
    <n v="13"/>
    <x v="0"/>
    <n v="1"/>
    <n v="80"/>
    <x v="0"/>
    <n v="2"/>
    <x v="1"/>
    <n v="3"/>
    <n v="2"/>
    <n v="2"/>
    <n v="2"/>
    <n v="2"/>
  </r>
  <r>
    <n v="36"/>
    <x v="1"/>
    <x v="0"/>
    <n v="852"/>
    <x v="1"/>
    <n v="5"/>
    <n v="4"/>
    <s v="Life Sciences"/>
    <n v="1"/>
    <n v="51"/>
    <n v="2"/>
    <x v="0"/>
    <n v="82"/>
    <x v="1"/>
    <n v="1"/>
    <x v="1"/>
    <n v="1"/>
    <x v="1"/>
    <n v="3419"/>
    <n v="13072"/>
    <n v="9"/>
    <s v="Y"/>
    <s v="Yes"/>
    <n v="14"/>
    <x v="0"/>
    <n v="4"/>
    <n v="80"/>
    <x v="1"/>
    <n v="6"/>
    <x v="1"/>
    <n v="4"/>
    <n v="1"/>
    <n v="1"/>
    <n v="0"/>
    <n v="0"/>
  </r>
  <r>
    <n v="33"/>
    <x v="1"/>
    <x v="1"/>
    <n v="1141"/>
    <x v="0"/>
    <n v="1"/>
    <n v="3"/>
    <s v="Life Sciences"/>
    <n v="1"/>
    <n v="52"/>
    <n v="3"/>
    <x v="0"/>
    <n v="42"/>
    <x v="2"/>
    <n v="2"/>
    <x v="0"/>
    <n v="1"/>
    <x v="1"/>
    <n v="5376"/>
    <n v="3193"/>
    <n v="2"/>
    <s v="Y"/>
    <s v="No"/>
    <n v="19"/>
    <x v="0"/>
    <n v="1"/>
    <n v="80"/>
    <x v="3"/>
    <n v="10"/>
    <x v="1"/>
    <n v="3"/>
    <n v="5"/>
    <n v="3"/>
    <n v="1"/>
    <n v="3"/>
  </r>
  <r>
    <n v="35"/>
    <x v="1"/>
    <x v="0"/>
    <n v="464"/>
    <x v="1"/>
    <n v="4"/>
    <n v="2"/>
    <s v="Other"/>
    <n v="1"/>
    <n v="53"/>
    <n v="3"/>
    <x v="1"/>
    <n v="75"/>
    <x v="0"/>
    <n v="1"/>
    <x v="2"/>
    <n v="4"/>
    <x v="2"/>
    <n v="1951"/>
    <n v="10910"/>
    <n v="1"/>
    <s v="Y"/>
    <s v="No"/>
    <n v="12"/>
    <x v="0"/>
    <n v="3"/>
    <n v="80"/>
    <x v="1"/>
    <n v="1"/>
    <x v="1"/>
    <n v="3"/>
    <n v="1"/>
    <n v="0"/>
    <n v="0"/>
    <n v="0"/>
  </r>
  <r>
    <n v="27"/>
    <x v="1"/>
    <x v="0"/>
    <n v="1240"/>
    <x v="1"/>
    <n v="2"/>
    <n v="4"/>
    <s v="Life Sciences"/>
    <n v="1"/>
    <n v="54"/>
    <n v="4"/>
    <x v="0"/>
    <n v="33"/>
    <x v="0"/>
    <n v="1"/>
    <x v="2"/>
    <n v="1"/>
    <x v="2"/>
    <n v="2341"/>
    <n v="19715"/>
    <n v="1"/>
    <s v="Y"/>
    <s v="No"/>
    <n v="13"/>
    <x v="0"/>
    <n v="4"/>
    <n v="80"/>
    <x v="1"/>
    <n v="1"/>
    <x v="6"/>
    <n v="3"/>
    <n v="1"/>
    <n v="0"/>
    <n v="0"/>
    <n v="0"/>
  </r>
  <r>
    <n v="26"/>
    <x v="0"/>
    <x v="0"/>
    <n v="1357"/>
    <x v="1"/>
    <n v="25"/>
    <n v="3"/>
    <s v="Life Sciences"/>
    <n v="1"/>
    <n v="55"/>
    <n v="1"/>
    <x v="1"/>
    <n v="48"/>
    <x v="3"/>
    <n v="1"/>
    <x v="2"/>
    <n v="3"/>
    <x v="0"/>
    <n v="2293"/>
    <n v="10558"/>
    <n v="1"/>
    <s v="Y"/>
    <s v="No"/>
    <n v="12"/>
    <x v="0"/>
    <n v="3"/>
    <n v="80"/>
    <x v="0"/>
    <n v="1"/>
    <x v="2"/>
    <n v="2"/>
    <n v="1"/>
    <n v="0"/>
    <n v="0"/>
    <n v="1"/>
  </r>
  <r>
    <n v="27"/>
    <x v="1"/>
    <x v="1"/>
    <n v="994"/>
    <x v="0"/>
    <n v="8"/>
    <n v="3"/>
    <s v="Life Sciences"/>
    <n v="1"/>
    <n v="56"/>
    <n v="4"/>
    <x v="1"/>
    <n v="37"/>
    <x v="0"/>
    <n v="3"/>
    <x v="0"/>
    <n v="3"/>
    <x v="0"/>
    <n v="8726"/>
    <n v="2975"/>
    <n v="1"/>
    <s v="Y"/>
    <s v="No"/>
    <n v="15"/>
    <x v="0"/>
    <n v="4"/>
    <n v="80"/>
    <x v="0"/>
    <n v="9"/>
    <x v="0"/>
    <n v="3"/>
    <n v="9"/>
    <n v="8"/>
    <n v="1"/>
    <n v="7"/>
  </r>
  <r>
    <n v="30"/>
    <x v="1"/>
    <x v="1"/>
    <n v="721"/>
    <x v="1"/>
    <n v="1"/>
    <n v="2"/>
    <s v="Medical"/>
    <n v="1"/>
    <n v="57"/>
    <n v="3"/>
    <x v="0"/>
    <n v="58"/>
    <x v="0"/>
    <n v="2"/>
    <x v="2"/>
    <n v="4"/>
    <x v="0"/>
    <n v="4011"/>
    <n v="10781"/>
    <n v="1"/>
    <s v="Y"/>
    <s v="No"/>
    <n v="23"/>
    <x v="1"/>
    <n v="4"/>
    <n v="80"/>
    <x v="0"/>
    <n v="12"/>
    <x v="2"/>
    <n v="3"/>
    <n v="12"/>
    <n v="8"/>
    <n v="3"/>
    <n v="7"/>
  </r>
  <r>
    <n v="41"/>
    <x v="0"/>
    <x v="0"/>
    <n v="1360"/>
    <x v="1"/>
    <n v="12"/>
    <n v="3"/>
    <s v="Technical Degree"/>
    <n v="1"/>
    <n v="58"/>
    <n v="2"/>
    <x v="0"/>
    <n v="49"/>
    <x v="0"/>
    <n v="5"/>
    <x v="7"/>
    <n v="3"/>
    <x v="1"/>
    <n v="19545"/>
    <n v="16280"/>
    <n v="1"/>
    <s v="Y"/>
    <s v="No"/>
    <n v="12"/>
    <x v="0"/>
    <n v="4"/>
    <n v="80"/>
    <x v="0"/>
    <n v="23"/>
    <x v="0"/>
    <n v="3"/>
    <n v="22"/>
    <n v="15"/>
    <n v="15"/>
    <n v="8"/>
  </r>
  <r>
    <n v="34"/>
    <x v="1"/>
    <x v="2"/>
    <n v="1065"/>
    <x v="0"/>
    <n v="23"/>
    <n v="4"/>
    <s v="Marketing"/>
    <n v="1"/>
    <n v="60"/>
    <n v="2"/>
    <x v="1"/>
    <n v="72"/>
    <x v="0"/>
    <n v="2"/>
    <x v="0"/>
    <n v="3"/>
    <x v="0"/>
    <n v="4568"/>
    <n v="10034"/>
    <n v="0"/>
    <s v="Y"/>
    <s v="No"/>
    <n v="20"/>
    <x v="1"/>
    <n v="3"/>
    <n v="80"/>
    <x v="0"/>
    <n v="10"/>
    <x v="2"/>
    <n v="3"/>
    <n v="9"/>
    <n v="5"/>
    <n v="8"/>
    <n v="7"/>
  </r>
  <r>
    <n v="37"/>
    <x v="1"/>
    <x v="0"/>
    <n v="408"/>
    <x v="1"/>
    <n v="19"/>
    <n v="2"/>
    <s v="Life Sciences"/>
    <n v="1"/>
    <n v="61"/>
    <n v="2"/>
    <x v="1"/>
    <n v="73"/>
    <x v="0"/>
    <n v="1"/>
    <x v="1"/>
    <n v="2"/>
    <x v="1"/>
    <n v="3022"/>
    <n v="10227"/>
    <n v="4"/>
    <s v="Y"/>
    <s v="No"/>
    <n v="21"/>
    <x v="1"/>
    <n v="1"/>
    <n v="80"/>
    <x v="0"/>
    <n v="8"/>
    <x v="4"/>
    <n v="3"/>
    <n v="1"/>
    <n v="0"/>
    <n v="0"/>
    <n v="0"/>
  </r>
  <r>
    <n v="46"/>
    <x v="1"/>
    <x v="1"/>
    <n v="1211"/>
    <x v="0"/>
    <n v="5"/>
    <n v="4"/>
    <s v="Marketing"/>
    <n v="1"/>
    <n v="62"/>
    <n v="1"/>
    <x v="1"/>
    <n v="98"/>
    <x v="0"/>
    <n v="2"/>
    <x v="0"/>
    <n v="4"/>
    <x v="0"/>
    <n v="5772"/>
    <n v="20445"/>
    <n v="4"/>
    <s v="Y"/>
    <s v="Yes"/>
    <n v="21"/>
    <x v="1"/>
    <n v="3"/>
    <n v="80"/>
    <x v="0"/>
    <n v="14"/>
    <x v="5"/>
    <n v="3"/>
    <n v="9"/>
    <n v="6"/>
    <n v="0"/>
    <n v="8"/>
  </r>
  <r>
    <n v="35"/>
    <x v="1"/>
    <x v="0"/>
    <n v="1229"/>
    <x v="1"/>
    <n v="8"/>
    <n v="1"/>
    <s v="Life Sciences"/>
    <n v="1"/>
    <n v="63"/>
    <n v="4"/>
    <x v="1"/>
    <n v="36"/>
    <x v="2"/>
    <n v="1"/>
    <x v="2"/>
    <n v="4"/>
    <x v="1"/>
    <n v="2269"/>
    <n v="4892"/>
    <n v="1"/>
    <s v="Y"/>
    <s v="No"/>
    <n v="19"/>
    <x v="0"/>
    <n v="4"/>
    <n v="80"/>
    <x v="0"/>
    <n v="1"/>
    <x v="2"/>
    <n v="3"/>
    <n v="1"/>
    <n v="0"/>
    <n v="0"/>
    <n v="1"/>
  </r>
  <r>
    <n v="48"/>
    <x v="0"/>
    <x v="0"/>
    <n v="626"/>
    <x v="1"/>
    <n v="1"/>
    <n v="2"/>
    <s v="Life Sciences"/>
    <n v="1"/>
    <n v="64"/>
    <n v="1"/>
    <x v="1"/>
    <n v="98"/>
    <x v="1"/>
    <n v="3"/>
    <x v="2"/>
    <n v="3"/>
    <x v="0"/>
    <n v="5381"/>
    <n v="19294"/>
    <n v="9"/>
    <s v="Y"/>
    <s v="Yes"/>
    <n v="13"/>
    <x v="0"/>
    <n v="4"/>
    <n v="80"/>
    <x v="0"/>
    <n v="23"/>
    <x v="2"/>
    <n v="3"/>
    <n v="1"/>
    <n v="0"/>
    <n v="0"/>
    <n v="0"/>
  </r>
  <r>
    <n v="28"/>
    <x v="0"/>
    <x v="0"/>
    <n v="1434"/>
    <x v="1"/>
    <n v="5"/>
    <n v="4"/>
    <s v="Technical Degree"/>
    <n v="1"/>
    <n v="65"/>
    <n v="3"/>
    <x v="1"/>
    <n v="50"/>
    <x v="0"/>
    <n v="1"/>
    <x v="2"/>
    <n v="3"/>
    <x v="0"/>
    <n v="3441"/>
    <n v="11179"/>
    <n v="1"/>
    <s v="Y"/>
    <s v="Yes"/>
    <n v="13"/>
    <x v="0"/>
    <n v="3"/>
    <n v="80"/>
    <x v="0"/>
    <n v="2"/>
    <x v="1"/>
    <n v="2"/>
    <n v="2"/>
    <n v="2"/>
    <n v="2"/>
    <n v="2"/>
  </r>
  <r>
    <n v="44"/>
    <x v="1"/>
    <x v="0"/>
    <n v="1488"/>
    <x v="0"/>
    <n v="1"/>
    <n v="5"/>
    <s v="Marketing"/>
    <n v="1"/>
    <n v="68"/>
    <n v="2"/>
    <x v="0"/>
    <n v="75"/>
    <x v="0"/>
    <n v="2"/>
    <x v="0"/>
    <n v="1"/>
    <x v="2"/>
    <n v="5454"/>
    <n v="4009"/>
    <n v="5"/>
    <s v="Y"/>
    <s v="Yes"/>
    <n v="21"/>
    <x v="1"/>
    <n v="3"/>
    <n v="80"/>
    <x v="1"/>
    <n v="9"/>
    <x v="2"/>
    <n v="2"/>
    <n v="4"/>
    <n v="3"/>
    <n v="1"/>
    <n v="3"/>
  </r>
  <r>
    <n v="35"/>
    <x v="1"/>
    <x v="2"/>
    <n v="1097"/>
    <x v="1"/>
    <n v="11"/>
    <n v="2"/>
    <s v="Medical"/>
    <n v="1"/>
    <n v="70"/>
    <n v="3"/>
    <x v="1"/>
    <n v="79"/>
    <x v="1"/>
    <n v="3"/>
    <x v="4"/>
    <n v="1"/>
    <x v="1"/>
    <n v="9884"/>
    <n v="8302"/>
    <n v="2"/>
    <s v="Y"/>
    <s v="Yes"/>
    <n v="13"/>
    <x v="0"/>
    <n v="3"/>
    <n v="80"/>
    <x v="1"/>
    <n v="10"/>
    <x v="1"/>
    <n v="3"/>
    <n v="4"/>
    <n v="0"/>
    <n v="2"/>
    <n v="3"/>
  </r>
  <r>
    <n v="26"/>
    <x v="1"/>
    <x v="0"/>
    <n v="1443"/>
    <x v="0"/>
    <n v="23"/>
    <n v="3"/>
    <s v="Marketing"/>
    <n v="1"/>
    <n v="72"/>
    <n v="3"/>
    <x v="0"/>
    <n v="47"/>
    <x v="1"/>
    <n v="2"/>
    <x v="0"/>
    <n v="4"/>
    <x v="1"/>
    <n v="4157"/>
    <n v="21436"/>
    <n v="7"/>
    <s v="Y"/>
    <s v="Yes"/>
    <n v="19"/>
    <x v="0"/>
    <n v="3"/>
    <n v="80"/>
    <x v="1"/>
    <n v="5"/>
    <x v="2"/>
    <n v="2"/>
    <n v="2"/>
    <n v="2"/>
    <n v="0"/>
    <n v="0"/>
  </r>
  <r>
    <n v="33"/>
    <x v="1"/>
    <x v="1"/>
    <n v="515"/>
    <x v="1"/>
    <n v="1"/>
    <n v="2"/>
    <s v="Life Sciences"/>
    <n v="1"/>
    <n v="73"/>
    <n v="1"/>
    <x v="0"/>
    <n v="98"/>
    <x v="0"/>
    <n v="3"/>
    <x v="7"/>
    <n v="4"/>
    <x v="0"/>
    <n v="13458"/>
    <n v="15146"/>
    <n v="1"/>
    <s v="Y"/>
    <s v="Yes"/>
    <n v="12"/>
    <x v="0"/>
    <n v="3"/>
    <n v="80"/>
    <x v="0"/>
    <n v="15"/>
    <x v="4"/>
    <n v="3"/>
    <n v="15"/>
    <n v="14"/>
    <n v="8"/>
    <n v="12"/>
  </r>
  <r>
    <n v="35"/>
    <x v="1"/>
    <x v="1"/>
    <n v="853"/>
    <x v="0"/>
    <n v="18"/>
    <n v="5"/>
    <s v="Life Sciences"/>
    <n v="1"/>
    <n v="74"/>
    <n v="2"/>
    <x v="1"/>
    <n v="71"/>
    <x v="0"/>
    <n v="3"/>
    <x v="0"/>
    <n v="1"/>
    <x v="1"/>
    <n v="9069"/>
    <n v="11031"/>
    <n v="1"/>
    <s v="Y"/>
    <s v="No"/>
    <n v="22"/>
    <x v="1"/>
    <n v="4"/>
    <n v="80"/>
    <x v="1"/>
    <n v="9"/>
    <x v="1"/>
    <n v="2"/>
    <n v="9"/>
    <n v="8"/>
    <n v="1"/>
    <n v="8"/>
  </r>
  <r>
    <n v="35"/>
    <x v="1"/>
    <x v="0"/>
    <n v="1142"/>
    <x v="1"/>
    <n v="23"/>
    <n v="4"/>
    <s v="Medical"/>
    <n v="1"/>
    <n v="75"/>
    <n v="3"/>
    <x v="0"/>
    <n v="30"/>
    <x v="0"/>
    <n v="1"/>
    <x v="2"/>
    <n v="1"/>
    <x v="1"/>
    <n v="4014"/>
    <n v="16002"/>
    <n v="3"/>
    <s v="Y"/>
    <s v="Yes"/>
    <n v="15"/>
    <x v="0"/>
    <n v="3"/>
    <n v="80"/>
    <x v="1"/>
    <n v="4"/>
    <x v="1"/>
    <n v="3"/>
    <n v="2"/>
    <n v="2"/>
    <n v="2"/>
    <n v="2"/>
  </r>
  <r>
    <n v="31"/>
    <x v="1"/>
    <x v="0"/>
    <n v="655"/>
    <x v="1"/>
    <n v="7"/>
    <n v="4"/>
    <s v="Life Sciences"/>
    <n v="1"/>
    <n v="76"/>
    <n v="4"/>
    <x v="1"/>
    <n v="48"/>
    <x v="0"/>
    <n v="2"/>
    <x v="2"/>
    <n v="4"/>
    <x v="2"/>
    <n v="5915"/>
    <n v="9528"/>
    <n v="3"/>
    <s v="Y"/>
    <s v="No"/>
    <n v="22"/>
    <x v="1"/>
    <n v="4"/>
    <n v="80"/>
    <x v="1"/>
    <n v="10"/>
    <x v="1"/>
    <n v="2"/>
    <n v="7"/>
    <n v="7"/>
    <n v="1"/>
    <n v="7"/>
  </r>
  <r>
    <n v="37"/>
    <x v="1"/>
    <x v="0"/>
    <n v="1115"/>
    <x v="1"/>
    <n v="1"/>
    <n v="4"/>
    <s v="Life Sciences"/>
    <n v="1"/>
    <n v="77"/>
    <n v="1"/>
    <x v="1"/>
    <n v="51"/>
    <x v="1"/>
    <n v="2"/>
    <x v="3"/>
    <n v="3"/>
    <x v="2"/>
    <n v="5993"/>
    <n v="2689"/>
    <n v="1"/>
    <s v="Y"/>
    <s v="No"/>
    <n v="18"/>
    <x v="0"/>
    <n v="3"/>
    <n v="80"/>
    <x v="1"/>
    <n v="7"/>
    <x v="2"/>
    <n v="4"/>
    <n v="7"/>
    <n v="5"/>
    <n v="0"/>
    <n v="7"/>
  </r>
  <r>
    <n v="32"/>
    <x v="1"/>
    <x v="0"/>
    <n v="427"/>
    <x v="1"/>
    <n v="1"/>
    <n v="3"/>
    <s v="Medical"/>
    <n v="1"/>
    <n v="78"/>
    <n v="1"/>
    <x v="1"/>
    <n v="33"/>
    <x v="0"/>
    <n v="2"/>
    <x v="3"/>
    <n v="4"/>
    <x v="1"/>
    <n v="6162"/>
    <n v="10877"/>
    <n v="1"/>
    <s v="Y"/>
    <s v="Yes"/>
    <n v="22"/>
    <x v="1"/>
    <n v="2"/>
    <n v="80"/>
    <x v="1"/>
    <n v="9"/>
    <x v="1"/>
    <n v="3"/>
    <n v="9"/>
    <n v="8"/>
    <n v="7"/>
    <n v="8"/>
  </r>
  <r>
    <n v="38"/>
    <x v="1"/>
    <x v="1"/>
    <n v="653"/>
    <x v="1"/>
    <n v="29"/>
    <n v="5"/>
    <s v="Life Sciences"/>
    <n v="1"/>
    <n v="79"/>
    <n v="4"/>
    <x v="0"/>
    <n v="50"/>
    <x v="0"/>
    <n v="2"/>
    <x v="2"/>
    <n v="4"/>
    <x v="0"/>
    <n v="2406"/>
    <n v="5456"/>
    <n v="1"/>
    <s v="Y"/>
    <s v="No"/>
    <n v="11"/>
    <x v="0"/>
    <n v="4"/>
    <n v="80"/>
    <x v="0"/>
    <n v="10"/>
    <x v="2"/>
    <n v="3"/>
    <n v="10"/>
    <n v="3"/>
    <n v="9"/>
    <n v="9"/>
  </r>
  <r>
    <n v="50"/>
    <x v="1"/>
    <x v="0"/>
    <n v="989"/>
    <x v="1"/>
    <n v="7"/>
    <n v="2"/>
    <s v="Medical"/>
    <n v="1"/>
    <n v="80"/>
    <n v="2"/>
    <x v="0"/>
    <n v="43"/>
    <x v="1"/>
    <n v="5"/>
    <x v="7"/>
    <n v="3"/>
    <x v="2"/>
    <n v="18740"/>
    <n v="16701"/>
    <n v="5"/>
    <s v="Y"/>
    <s v="Yes"/>
    <n v="12"/>
    <x v="0"/>
    <n v="4"/>
    <n v="80"/>
    <x v="1"/>
    <n v="29"/>
    <x v="2"/>
    <n v="2"/>
    <n v="27"/>
    <n v="3"/>
    <n v="13"/>
    <n v="8"/>
  </r>
  <r>
    <n v="59"/>
    <x v="1"/>
    <x v="0"/>
    <n v="1435"/>
    <x v="0"/>
    <n v="25"/>
    <n v="3"/>
    <s v="Life Sciences"/>
    <n v="1"/>
    <n v="81"/>
    <n v="1"/>
    <x v="0"/>
    <n v="99"/>
    <x v="0"/>
    <n v="3"/>
    <x v="0"/>
    <n v="1"/>
    <x v="0"/>
    <n v="7637"/>
    <n v="2354"/>
    <n v="7"/>
    <s v="Y"/>
    <s v="No"/>
    <n v="11"/>
    <x v="0"/>
    <n v="4"/>
    <n v="80"/>
    <x v="0"/>
    <n v="28"/>
    <x v="1"/>
    <n v="2"/>
    <n v="21"/>
    <n v="16"/>
    <n v="7"/>
    <n v="9"/>
  </r>
  <r>
    <n v="36"/>
    <x v="1"/>
    <x v="0"/>
    <n v="1223"/>
    <x v="1"/>
    <n v="8"/>
    <n v="3"/>
    <s v="Technical Degree"/>
    <n v="1"/>
    <n v="83"/>
    <n v="3"/>
    <x v="0"/>
    <n v="59"/>
    <x v="0"/>
    <n v="3"/>
    <x v="4"/>
    <n v="3"/>
    <x v="2"/>
    <n v="10096"/>
    <n v="8202"/>
    <n v="1"/>
    <s v="Y"/>
    <s v="No"/>
    <n v="13"/>
    <x v="0"/>
    <n v="2"/>
    <n v="80"/>
    <x v="2"/>
    <n v="17"/>
    <x v="2"/>
    <n v="3"/>
    <n v="17"/>
    <n v="14"/>
    <n v="12"/>
    <n v="8"/>
  </r>
  <r>
    <n v="55"/>
    <x v="1"/>
    <x v="0"/>
    <n v="836"/>
    <x v="1"/>
    <n v="8"/>
    <n v="3"/>
    <s v="Medical"/>
    <n v="1"/>
    <n v="84"/>
    <n v="4"/>
    <x v="0"/>
    <n v="33"/>
    <x v="0"/>
    <n v="4"/>
    <x v="5"/>
    <n v="3"/>
    <x v="2"/>
    <n v="14756"/>
    <n v="19730"/>
    <n v="2"/>
    <s v="Y"/>
    <s v="Yes"/>
    <n v="14"/>
    <x v="0"/>
    <n v="3"/>
    <n v="80"/>
    <x v="2"/>
    <n v="21"/>
    <x v="2"/>
    <n v="3"/>
    <n v="5"/>
    <n v="0"/>
    <n v="0"/>
    <n v="2"/>
  </r>
  <r>
    <n v="36"/>
    <x v="1"/>
    <x v="1"/>
    <n v="1195"/>
    <x v="1"/>
    <n v="11"/>
    <n v="3"/>
    <s v="Life Sciences"/>
    <n v="1"/>
    <n v="85"/>
    <n v="2"/>
    <x v="1"/>
    <n v="95"/>
    <x v="1"/>
    <n v="2"/>
    <x v="3"/>
    <n v="2"/>
    <x v="0"/>
    <n v="6499"/>
    <n v="22656"/>
    <n v="1"/>
    <s v="Y"/>
    <s v="No"/>
    <n v="13"/>
    <x v="0"/>
    <n v="3"/>
    <n v="80"/>
    <x v="0"/>
    <n v="6"/>
    <x v="1"/>
    <n v="3"/>
    <n v="6"/>
    <n v="5"/>
    <n v="0"/>
    <n v="3"/>
  </r>
  <r>
    <n v="45"/>
    <x v="1"/>
    <x v="0"/>
    <n v="1339"/>
    <x v="1"/>
    <n v="7"/>
    <n v="3"/>
    <s v="Life Sciences"/>
    <n v="1"/>
    <n v="86"/>
    <n v="2"/>
    <x v="1"/>
    <n v="59"/>
    <x v="0"/>
    <n v="3"/>
    <x v="1"/>
    <n v="1"/>
    <x v="2"/>
    <n v="9724"/>
    <n v="18787"/>
    <n v="2"/>
    <s v="Y"/>
    <s v="No"/>
    <n v="17"/>
    <x v="0"/>
    <n v="3"/>
    <n v="80"/>
    <x v="1"/>
    <n v="25"/>
    <x v="2"/>
    <n v="3"/>
    <n v="1"/>
    <n v="0"/>
    <n v="0"/>
    <n v="0"/>
  </r>
  <r>
    <n v="35"/>
    <x v="1"/>
    <x v="1"/>
    <n v="664"/>
    <x v="1"/>
    <n v="1"/>
    <n v="3"/>
    <s v="Medical"/>
    <n v="1"/>
    <n v="88"/>
    <n v="2"/>
    <x v="1"/>
    <n v="79"/>
    <x v="0"/>
    <n v="1"/>
    <x v="1"/>
    <n v="1"/>
    <x v="1"/>
    <n v="2194"/>
    <n v="5868"/>
    <n v="4"/>
    <s v="Y"/>
    <s v="No"/>
    <n v="13"/>
    <x v="0"/>
    <n v="4"/>
    <n v="80"/>
    <x v="1"/>
    <n v="5"/>
    <x v="2"/>
    <n v="2"/>
    <n v="3"/>
    <n v="2"/>
    <n v="1"/>
    <n v="2"/>
  </r>
  <r>
    <n v="36"/>
    <x v="0"/>
    <x v="0"/>
    <n v="318"/>
    <x v="1"/>
    <n v="9"/>
    <n v="3"/>
    <s v="Medical"/>
    <n v="1"/>
    <n v="90"/>
    <n v="4"/>
    <x v="1"/>
    <n v="79"/>
    <x v="1"/>
    <n v="1"/>
    <x v="1"/>
    <n v="3"/>
    <x v="1"/>
    <n v="3388"/>
    <n v="21777"/>
    <n v="0"/>
    <s v="Y"/>
    <s v="Yes"/>
    <n v="17"/>
    <x v="0"/>
    <n v="1"/>
    <n v="80"/>
    <x v="1"/>
    <n v="2"/>
    <x v="0"/>
    <n v="2"/>
    <n v="1"/>
    <n v="0"/>
    <n v="0"/>
    <n v="0"/>
  </r>
  <r>
    <n v="59"/>
    <x v="1"/>
    <x v="1"/>
    <n v="1225"/>
    <x v="0"/>
    <n v="1"/>
    <n v="1"/>
    <s v="Life Sciences"/>
    <n v="1"/>
    <n v="91"/>
    <n v="1"/>
    <x v="0"/>
    <n v="57"/>
    <x v="1"/>
    <n v="2"/>
    <x v="0"/>
    <n v="3"/>
    <x v="0"/>
    <n v="5473"/>
    <n v="24668"/>
    <n v="7"/>
    <s v="Y"/>
    <s v="No"/>
    <n v="11"/>
    <x v="0"/>
    <n v="4"/>
    <n v="80"/>
    <x v="0"/>
    <n v="20"/>
    <x v="2"/>
    <n v="2"/>
    <n v="4"/>
    <n v="3"/>
    <n v="1"/>
    <n v="3"/>
  </r>
  <r>
    <n v="29"/>
    <x v="1"/>
    <x v="0"/>
    <n v="1328"/>
    <x v="1"/>
    <n v="2"/>
    <n v="3"/>
    <s v="Life Sciences"/>
    <n v="1"/>
    <n v="94"/>
    <n v="3"/>
    <x v="1"/>
    <n v="76"/>
    <x v="0"/>
    <n v="1"/>
    <x v="1"/>
    <n v="2"/>
    <x v="1"/>
    <n v="2703"/>
    <n v="4956"/>
    <n v="0"/>
    <s v="Y"/>
    <s v="No"/>
    <n v="23"/>
    <x v="1"/>
    <n v="4"/>
    <n v="80"/>
    <x v="1"/>
    <n v="6"/>
    <x v="1"/>
    <n v="3"/>
    <n v="5"/>
    <n v="4"/>
    <n v="0"/>
    <n v="4"/>
  </r>
  <r>
    <n v="31"/>
    <x v="1"/>
    <x v="0"/>
    <n v="1082"/>
    <x v="1"/>
    <n v="1"/>
    <n v="4"/>
    <s v="Medical"/>
    <n v="1"/>
    <n v="95"/>
    <n v="3"/>
    <x v="1"/>
    <n v="87"/>
    <x v="0"/>
    <n v="1"/>
    <x v="1"/>
    <n v="2"/>
    <x v="0"/>
    <n v="2501"/>
    <n v="18775"/>
    <n v="1"/>
    <s v="Y"/>
    <s v="No"/>
    <n v="17"/>
    <x v="0"/>
    <n v="2"/>
    <n v="80"/>
    <x v="0"/>
    <n v="1"/>
    <x v="5"/>
    <n v="3"/>
    <n v="1"/>
    <n v="1"/>
    <n v="1"/>
    <n v="0"/>
  </r>
  <r>
    <n v="32"/>
    <x v="1"/>
    <x v="0"/>
    <n v="548"/>
    <x v="1"/>
    <n v="1"/>
    <n v="3"/>
    <s v="Life Sciences"/>
    <n v="1"/>
    <n v="96"/>
    <n v="2"/>
    <x v="1"/>
    <n v="66"/>
    <x v="0"/>
    <n v="2"/>
    <x v="1"/>
    <n v="2"/>
    <x v="1"/>
    <n v="6220"/>
    <n v="7346"/>
    <n v="1"/>
    <s v="Y"/>
    <s v="No"/>
    <n v="17"/>
    <x v="0"/>
    <n v="2"/>
    <n v="80"/>
    <x v="3"/>
    <n v="10"/>
    <x v="1"/>
    <n v="3"/>
    <n v="10"/>
    <n v="4"/>
    <n v="0"/>
    <n v="9"/>
  </r>
  <r>
    <n v="36"/>
    <x v="1"/>
    <x v="0"/>
    <n v="132"/>
    <x v="1"/>
    <n v="6"/>
    <n v="3"/>
    <s v="Life Sciences"/>
    <n v="1"/>
    <n v="97"/>
    <n v="2"/>
    <x v="0"/>
    <n v="55"/>
    <x v="2"/>
    <n v="1"/>
    <x v="2"/>
    <n v="4"/>
    <x v="1"/>
    <n v="3038"/>
    <n v="22002"/>
    <n v="3"/>
    <s v="Y"/>
    <s v="No"/>
    <n v="12"/>
    <x v="0"/>
    <n v="2"/>
    <n v="80"/>
    <x v="0"/>
    <n v="5"/>
    <x v="1"/>
    <n v="3"/>
    <n v="1"/>
    <n v="0"/>
    <n v="0"/>
    <n v="0"/>
  </r>
  <r>
    <n v="31"/>
    <x v="1"/>
    <x v="0"/>
    <n v="746"/>
    <x v="1"/>
    <n v="8"/>
    <n v="4"/>
    <s v="Life Sciences"/>
    <n v="1"/>
    <n v="98"/>
    <n v="3"/>
    <x v="0"/>
    <n v="61"/>
    <x v="0"/>
    <n v="2"/>
    <x v="3"/>
    <n v="4"/>
    <x v="0"/>
    <n v="4424"/>
    <n v="20682"/>
    <n v="1"/>
    <s v="Y"/>
    <s v="No"/>
    <n v="23"/>
    <x v="1"/>
    <n v="4"/>
    <n v="80"/>
    <x v="0"/>
    <n v="11"/>
    <x v="2"/>
    <n v="3"/>
    <n v="11"/>
    <n v="7"/>
    <n v="1"/>
    <n v="8"/>
  </r>
  <r>
    <n v="35"/>
    <x v="1"/>
    <x v="0"/>
    <n v="776"/>
    <x v="0"/>
    <n v="1"/>
    <n v="4"/>
    <s v="Marketing"/>
    <n v="1"/>
    <n v="100"/>
    <n v="3"/>
    <x v="1"/>
    <n v="32"/>
    <x v="1"/>
    <n v="2"/>
    <x v="0"/>
    <n v="1"/>
    <x v="0"/>
    <n v="4312"/>
    <n v="23016"/>
    <n v="0"/>
    <s v="Y"/>
    <s v="No"/>
    <n v="14"/>
    <x v="0"/>
    <n v="2"/>
    <n v="80"/>
    <x v="0"/>
    <n v="16"/>
    <x v="2"/>
    <n v="3"/>
    <n v="15"/>
    <n v="13"/>
    <n v="2"/>
    <n v="8"/>
  </r>
  <r>
    <n v="45"/>
    <x v="1"/>
    <x v="0"/>
    <n v="193"/>
    <x v="1"/>
    <n v="6"/>
    <n v="4"/>
    <s v="Other"/>
    <n v="1"/>
    <n v="101"/>
    <n v="4"/>
    <x v="1"/>
    <n v="52"/>
    <x v="0"/>
    <n v="3"/>
    <x v="7"/>
    <n v="1"/>
    <x v="1"/>
    <n v="13245"/>
    <n v="15067"/>
    <n v="4"/>
    <s v="Y"/>
    <s v="Yes"/>
    <n v="14"/>
    <x v="0"/>
    <n v="2"/>
    <n v="80"/>
    <x v="0"/>
    <n v="17"/>
    <x v="1"/>
    <n v="4"/>
    <n v="0"/>
    <n v="0"/>
    <n v="0"/>
    <n v="0"/>
  </r>
  <r>
    <n v="37"/>
    <x v="1"/>
    <x v="0"/>
    <n v="397"/>
    <x v="1"/>
    <n v="7"/>
    <n v="4"/>
    <s v="Medical"/>
    <n v="1"/>
    <n v="102"/>
    <n v="1"/>
    <x v="1"/>
    <n v="30"/>
    <x v="0"/>
    <n v="3"/>
    <x v="7"/>
    <n v="3"/>
    <x v="0"/>
    <n v="13664"/>
    <n v="25258"/>
    <n v="4"/>
    <s v="Y"/>
    <s v="No"/>
    <n v="13"/>
    <x v="0"/>
    <n v="1"/>
    <n v="80"/>
    <x v="0"/>
    <n v="16"/>
    <x v="1"/>
    <n v="4"/>
    <n v="5"/>
    <n v="2"/>
    <n v="0"/>
    <n v="2"/>
  </r>
  <r>
    <n v="46"/>
    <x v="1"/>
    <x v="0"/>
    <n v="945"/>
    <x v="2"/>
    <n v="5"/>
    <n v="2"/>
    <s v="Medical"/>
    <n v="1"/>
    <n v="103"/>
    <n v="2"/>
    <x v="1"/>
    <n v="80"/>
    <x v="0"/>
    <n v="2"/>
    <x v="8"/>
    <n v="2"/>
    <x v="2"/>
    <n v="5021"/>
    <n v="10425"/>
    <n v="8"/>
    <s v="Y"/>
    <s v="Yes"/>
    <n v="22"/>
    <x v="1"/>
    <n v="4"/>
    <n v="80"/>
    <x v="1"/>
    <n v="16"/>
    <x v="2"/>
    <n v="3"/>
    <n v="4"/>
    <n v="2"/>
    <n v="0"/>
    <n v="2"/>
  </r>
  <r>
    <n v="30"/>
    <x v="1"/>
    <x v="0"/>
    <n v="852"/>
    <x v="1"/>
    <n v="1"/>
    <n v="1"/>
    <s v="Life Sciences"/>
    <n v="1"/>
    <n v="104"/>
    <n v="4"/>
    <x v="1"/>
    <n v="55"/>
    <x v="1"/>
    <n v="2"/>
    <x v="2"/>
    <n v="4"/>
    <x v="1"/>
    <n v="5126"/>
    <n v="15998"/>
    <n v="1"/>
    <s v="Y"/>
    <s v="Yes"/>
    <n v="12"/>
    <x v="0"/>
    <n v="3"/>
    <n v="80"/>
    <x v="3"/>
    <n v="10"/>
    <x v="4"/>
    <n v="2"/>
    <n v="10"/>
    <n v="8"/>
    <n v="3"/>
    <n v="0"/>
  </r>
  <r>
    <n v="35"/>
    <x v="1"/>
    <x v="0"/>
    <n v="1214"/>
    <x v="1"/>
    <n v="1"/>
    <n v="3"/>
    <s v="Medical"/>
    <n v="1"/>
    <n v="105"/>
    <n v="2"/>
    <x v="1"/>
    <n v="30"/>
    <x v="1"/>
    <n v="1"/>
    <x v="1"/>
    <n v="3"/>
    <x v="0"/>
    <n v="2859"/>
    <n v="26278"/>
    <n v="1"/>
    <s v="Y"/>
    <s v="No"/>
    <n v="18"/>
    <x v="0"/>
    <n v="1"/>
    <n v="80"/>
    <x v="0"/>
    <n v="6"/>
    <x v="1"/>
    <n v="3"/>
    <n v="6"/>
    <n v="4"/>
    <n v="0"/>
    <n v="4"/>
  </r>
  <r>
    <n v="55"/>
    <x v="1"/>
    <x v="0"/>
    <n v="111"/>
    <x v="0"/>
    <n v="1"/>
    <n v="2"/>
    <s v="Life Sciences"/>
    <n v="1"/>
    <n v="106"/>
    <n v="1"/>
    <x v="1"/>
    <n v="70"/>
    <x v="0"/>
    <n v="3"/>
    <x v="0"/>
    <n v="4"/>
    <x v="1"/>
    <n v="10239"/>
    <n v="18092"/>
    <n v="3"/>
    <s v="Y"/>
    <s v="No"/>
    <n v="14"/>
    <x v="0"/>
    <n v="4"/>
    <n v="80"/>
    <x v="1"/>
    <n v="24"/>
    <x v="5"/>
    <n v="3"/>
    <n v="1"/>
    <n v="0"/>
    <n v="1"/>
    <n v="0"/>
  </r>
  <r>
    <n v="38"/>
    <x v="1"/>
    <x v="2"/>
    <n v="573"/>
    <x v="1"/>
    <n v="6"/>
    <n v="3"/>
    <s v="Medical"/>
    <n v="1"/>
    <n v="107"/>
    <n v="2"/>
    <x v="0"/>
    <n v="79"/>
    <x v="3"/>
    <n v="2"/>
    <x v="1"/>
    <n v="4"/>
    <x v="2"/>
    <n v="5329"/>
    <n v="15717"/>
    <n v="7"/>
    <s v="Y"/>
    <s v="Yes"/>
    <n v="12"/>
    <x v="0"/>
    <n v="4"/>
    <n v="80"/>
    <x v="2"/>
    <n v="17"/>
    <x v="1"/>
    <n v="3"/>
    <n v="13"/>
    <n v="11"/>
    <n v="1"/>
    <n v="9"/>
  </r>
  <r>
    <n v="34"/>
    <x v="1"/>
    <x v="0"/>
    <n v="1153"/>
    <x v="1"/>
    <n v="1"/>
    <n v="2"/>
    <s v="Medical"/>
    <n v="1"/>
    <n v="110"/>
    <n v="1"/>
    <x v="1"/>
    <n v="94"/>
    <x v="0"/>
    <n v="2"/>
    <x v="3"/>
    <n v="2"/>
    <x v="1"/>
    <n v="4325"/>
    <n v="17736"/>
    <n v="1"/>
    <s v="Y"/>
    <s v="No"/>
    <n v="15"/>
    <x v="0"/>
    <n v="3"/>
    <n v="80"/>
    <x v="0"/>
    <n v="5"/>
    <x v="2"/>
    <n v="3"/>
    <n v="5"/>
    <n v="2"/>
    <n v="1"/>
    <n v="3"/>
  </r>
  <r>
    <n v="56"/>
    <x v="1"/>
    <x v="0"/>
    <n v="1400"/>
    <x v="1"/>
    <n v="7"/>
    <n v="3"/>
    <s v="Life Sciences"/>
    <n v="1"/>
    <n v="112"/>
    <n v="4"/>
    <x v="1"/>
    <n v="49"/>
    <x v="3"/>
    <n v="3"/>
    <x v="3"/>
    <n v="4"/>
    <x v="0"/>
    <n v="7260"/>
    <n v="21698"/>
    <n v="4"/>
    <s v="Y"/>
    <s v="No"/>
    <n v="11"/>
    <x v="0"/>
    <n v="1"/>
    <n v="80"/>
    <x v="0"/>
    <n v="37"/>
    <x v="1"/>
    <n v="2"/>
    <n v="6"/>
    <n v="4"/>
    <n v="0"/>
    <n v="2"/>
  </r>
  <r>
    <n v="23"/>
    <x v="1"/>
    <x v="0"/>
    <n v="541"/>
    <x v="0"/>
    <n v="2"/>
    <n v="1"/>
    <s v="Technical Degree"/>
    <n v="1"/>
    <n v="113"/>
    <n v="3"/>
    <x v="1"/>
    <n v="62"/>
    <x v="0"/>
    <n v="1"/>
    <x v="6"/>
    <n v="1"/>
    <x v="2"/>
    <n v="2322"/>
    <n v="9518"/>
    <n v="3"/>
    <s v="Y"/>
    <s v="No"/>
    <n v="13"/>
    <x v="0"/>
    <n v="3"/>
    <n v="80"/>
    <x v="1"/>
    <n v="3"/>
    <x v="1"/>
    <n v="3"/>
    <n v="0"/>
    <n v="0"/>
    <n v="0"/>
    <n v="0"/>
  </r>
  <r>
    <n v="51"/>
    <x v="1"/>
    <x v="0"/>
    <n v="432"/>
    <x v="1"/>
    <n v="9"/>
    <n v="4"/>
    <s v="Life Sciences"/>
    <n v="1"/>
    <n v="116"/>
    <n v="4"/>
    <x v="1"/>
    <n v="96"/>
    <x v="0"/>
    <n v="1"/>
    <x v="2"/>
    <n v="4"/>
    <x v="1"/>
    <n v="2075"/>
    <n v="18725"/>
    <n v="3"/>
    <s v="Y"/>
    <s v="No"/>
    <n v="23"/>
    <x v="1"/>
    <n v="2"/>
    <n v="80"/>
    <x v="3"/>
    <n v="10"/>
    <x v="5"/>
    <n v="3"/>
    <n v="4"/>
    <n v="2"/>
    <n v="0"/>
    <n v="3"/>
  </r>
  <r>
    <n v="30"/>
    <x v="1"/>
    <x v="0"/>
    <n v="288"/>
    <x v="1"/>
    <n v="2"/>
    <n v="3"/>
    <s v="Life Sciences"/>
    <n v="1"/>
    <n v="117"/>
    <n v="3"/>
    <x v="1"/>
    <n v="99"/>
    <x v="1"/>
    <n v="2"/>
    <x v="4"/>
    <n v="4"/>
    <x v="1"/>
    <n v="4152"/>
    <n v="15830"/>
    <n v="1"/>
    <s v="Y"/>
    <s v="No"/>
    <n v="19"/>
    <x v="0"/>
    <n v="1"/>
    <n v="80"/>
    <x v="2"/>
    <n v="11"/>
    <x v="1"/>
    <n v="3"/>
    <n v="11"/>
    <n v="10"/>
    <n v="10"/>
    <n v="8"/>
  </r>
  <r>
    <n v="46"/>
    <x v="0"/>
    <x v="0"/>
    <n v="669"/>
    <x v="0"/>
    <n v="9"/>
    <n v="2"/>
    <s v="Medical"/>
    <n v="1"/>
    <n v="118"/>
    <n v="3"/>
    <x v="1"/>
    <n v="64"/>
    <x v="1"/>
    <n v="3"/>
    <x v="0"/>
    <n v="4"/>
    <x v="0"/>
    <n v="9619"/>
    <n v="13596"/>
    <n v="1"/>
    <s v="Y"/>
    <s v="No"/>
    <n v="16"/>
    <x v="0"/>
    <n v="4"/>
    <n v="80"/>
    <x v="0"/>
    <n v="9"/>
    <x v="1"/>
    <n v="3"/>
    <n v="9"/>
    <n v="8"/>
    <n v="4"/>
    <n v="7"/>
  </r>
  <r>
    <n v="40"/>
    <x v="1"/>
    <x v="1"/>
    <n v="530"/>
    <x v="1"/>
    <n v="1"/>
    <n v="4"/>
    <s v="Life Sciences"/>
    <n v="1"/>
    <n v="119"/>
    <n v="3"/>
    <x v="1"/>
    <n v="78"/>
    <x v="1"/>
    <n v="4"/>
    <x v="4"/>
    <n v="2"/>
    <x v="1"/>
    <n v="13503"/>
    <n v="14115"/>
    <n v="1"/>
    <s v="Y"/>
    <s v="No"/>
    <n v="22"/>
    <x v="1"/>
    <n v="4"/>
    <n v="80"/>
    <x v="1"/>
    <n v="22"/>
    <x v="1"/>
    <n v="2"/>
    <n v="22"/>
    <n v="3"/>
    <n v="11"/>
    <n v="11"/>
  </r>
  <r>
    <n v="51"/>
    <x v="1"/>
    <x v="0"/>
    <n v="632"/>
    <x v="0"/>
    <n v="21"/>
    <n v="4"/>
    <s v="Marketing"/>
    <n v="1"/>
    <n v="120"/>
    <n v="3"/>
    <x v="1"/>
    <n v="71"/>
    <x v="0"/>
    <n v="2"/>
    <x v="0"/>
    <n v="4"/>
    <x v="0"/>
    <n v="5441"/>
    <n v="8423"/>
    <n v="0"/>
    <s v="Y"/>
    <s v="Yes"/>
    <n v="22"/>
    <x v="1"/>
    <n v="4"/>
    <n v="80"/>
    <x v="0"/>
    <n v="11"/>
    <x v="2"/>
    <n v="1"/>
    <n v="10"/>
    <n v="7"/>
    <n v="1"/>
    <n v="0"/>
  </r>
  <r>
    <n v="30"/>
    <x v="1"/>
    <x v="0"/>
    <n v="1334"/>
    <x v="0"/>
    <n v="4"/>
    <n v="2"/>
    <s v="Medical"/>
    <n v="1"/>
    <n v="121"/>
    <n v="3"/>
    <x v="0"/>
    <n v="63"/>
    <x v="1"/>
    <n v="2"/>
    <x v="0"/>
    <n v="2"/>
    <x v="2"/>
    <n v="5209"/>
    <n v="19760"/>
    <n v="1"/>
    <s v="Y"/>
    <s v="Yes"/>
    <n v="12"/>
    <x v="0"/>
    <n v="2"/>
    <n v="80"/>
    <x v="2"/>
    <n v="11"/>
    <x v="5"/>
    <n v="2"/>
    <n v="11"/>
    <n v="8"/>
    <n v="2"/>
    <n v="7"/>
  </r>
  <r>
    <n v="46"/>
    <x v="1"/>
    <x v="1"/>
    <n v="638"/>
    <x v="1"/>
    <n v="1"/>
    <n v="3"/>
    <s v="Medical"/>
    <n v="1"/>
    <n v="124"/>
    <n v="3"/>
    <x v="1"/>
    <n v="40"/>
    <x v="1"/>
    <n v="3"/>
    <x v="4"/>
    <n v="1"/>
    <x v="1"/>
    <n v="10673"/>
    <n v="3142"/>
    <n v="2"/>
    <s v="Y"/>
    <s v="Yes"/>
    <n v="13"/>
    <x v="0"/>
    <n v="3"/>
    <n v="80"/>
    <x v="1"/>
    <n v="21"/>
    <x v="3"/>
    <n v="2"/>
    <n v="10"/>
    <n v="9"/>
    <n v="9"/>
    <n v="5"/>
  </r>
  <r>
    <n v="32"/>
    <x v="1"/>
    <x v="0"/>
    <n v="1093"/>
    <x v="0"/>
    <n v="6"/>
    <n v="4"/>
    <s v="Medical"/>
    <n v="1"/>
    <n v="125"/>
    <n v="2"/>
    <x v="1"/>
    <n v="87"/>
    <x v="0"/>
    <n v="2"/>
    <x v="0"/>
    <n v="3"/>
    <x v="0"/>
    <n v="5010"/>
    <n v="24301"/>
    <n v="1"/>
    <s v="Y"/>
    <s v="No"/>
    <n v="16"/>
    <x v="0"/>
    <n v="1"/>
    <n v="80"/>
    <x v="0"/>
    <n v="12"/>
    <x v="0"/>
    <n v="3"/>
    <n v="11"/>
    <n v="8"/>
    <n v="5"/>
    <n v="7"/>
  </r>
  <r>
    <n v="54"/>
    <x v="1"/>
    <x v="0"/>
    <n v="1217"/>
    <x v="1"/>
    <n v="2"/>
    <n v="4"/>
    <s v="Technical Degree"/>
    <n v="1"/>
    <n v="126"/>
    <n v="1"/>
    <x v="0"/>
    <n v="60"/>
    <x v="0"/>
    <n v="3"/>
    <x v="7"/>
    <n v="3"/>
    <x v="1"/>
    <n v="13549"/>
    <n v="24001"/>
    <n v="9"/>
    <s v="Y"/>
    <s v="No"/>
    <n v="12"/>
    <x v="0"/>
    <n v="1"/>
    <n v="80"/>
    <x v="1"/>
    <n v="16"/>
    <x v="3"/>
    <n v="1"/>
    <n v="4"/>
    <n v="3"/>
    <n v="0"/>
    <n v="3"/>
  </r>
  <r>
    <n v="24"/>
    <x v="1"/>
    <x v="0"/>
    <n v="1353"/>
    <x v="0"/>
    <n v="3"/>
    <n v="2"/>
    <s v="Other"/>
    <n v="1"/>
    <n v="128"/>
    <n v="1"/>
    <x v="0"/>
    <n v="33"/>
    <x v="0"/>
    <n v="2"/>
    <x v="0"/>
    <n v="3"/>
    <x v="1"/>
    <n v="4999"/>
    <n v="17519"/>
    <n v="0"/>
    <s v="Y"/>
    <s v="No"/>
    <n v="21"/>
    <x v="1"/>
    <n v="1"/>
    <n v="80"/>
    <x v="1"/>
    <n v="4"/>
    <x v="2"/>
    <n v="2"/>
    <n v="3"/>
    <n v="2"/>
    <n v="0"/>
    <n v="2"/>
  </r>
  <r>
    <n v="28"/>
    <x v="1"/>
    <x v="2"/>
    <n v="120"/>
    <x v="0"/>
    <n v="4"/>
    <n v="3"/>
    <s v="Medical"/>
    <n v="1"/>
    <n v="129"/>
    <n v="2"/>
    <x v="1"/>
    <n v="43"/>
    <x v="0"/>
    <n v="2"/>
    <x v="0"/>
    <n v="3"/>
    <x v="1"/>
    <n v="4221"/>
    <n v="8863"/>
    <n v="1"/>
    <s v="Y"/>
    <s v="No"/>
    <n v="15"/>
    <x v="0"/>
    <n v="2"/>
    <n v="80"/>
    <x v="0"/>
    <n v="5"/>
    <x v="1"/>
    <n v="4"/>
    <n v="5"/>
    <n v="4"/>
    <n v="0"/>
    <n v="4"/>
  </r>
  <r>
    <n v="58"/>
    <x v="1"/>
    <x v="0"/>
    <n v="682"/>
    <x v="0"/>
    <n v="10"/>
    <n v="4"/>
    <s v="Medical"/>
    <n v="1"/>
    <n v="131"/>
    <n v="4"/>
    <x v="1"/>
    <n v="37"/>
    <x v="0"/>
    <n v="4"/>
    <x v="0"/>
    <n v="3"/>
    <x v="0"/>
    <n v="13872"/>
    <n v="24409"/>
    <n v="0"/>
    <s v="Y"/>
    <s v="No"/>
    <n v="13"/>
    <x v="0"/>
    <n v="3"/>
    <n v="80"/>
    <x v="0"/>
    <n v="38"/>
    <x v="4"/>
    <n v="2"/>
    <n v="37"/>
    <n v="10"/>
    <n v="1"/>
    <n v="8"/>
  </r>
  <r>
    <n v="44"/>
    <x v="1"/>
    <x v="2"/>
    <n v="489"/>
    <x v="1"/>
    <n v="23"/>
    <n v="3"/>
    <s v="Medical"/>
    <n v="1"/>
    <n v="132"/>
    <n v="2"/>
    <x v="1"/>
    <n v="67"/>
    <x v="0"/>
    <n v="2"/>
    <x v="2"/>
    <n v="2"/>
    <x v="1"/>
    <n v="2042"/>
    <n v="25043"/>
    <n v="4"/>
    <s v="Y"/>
    <s v="No"/>
    <n v="12"/>
    <x v="0"/>
    <n v="3"/>
    <n v="80"/>
    <x v="1"/>
    <n v="17"/>
    <x v="1"/>
    <n v="4"/>
    <n v="3"/>
    <n v="2"/>
    <n v="1"/>
    <n v="2"/>
  </r>
  <r>
    <n v="37"/>
    <x v="0"/>
    <x v="0"/>
    <n v="807"/>
    <x v="2"/>
    <n v="6"/>
    <n v="4"/>
    <s v="Human Resources"/>
    <n v="1"/>
    <n v="133"/>
    <n v="3"/>
    <x v="1"/>
    <n v="63"/>
    <x v="0"/>
    <n v="1"/>
    <x v="8"/>
    <n v="1"/>
    <x v="2"/>
    <n v="2073"/>
    <n v="23648"/>
    <n v="4"/>
    <s v="Y"/>
    <s v="Yes"/>
    <n v="22"/>
    <x v="1"/>
    <n v="4"/>
    <n v="80"/>
    <x v="0"/>
    <n v="7"/>
    <x v="1"/>
    <n v="3"/>
    <n v="3"/>
    <n v="2"/>
    <n v="0"/>
    <n v="2"/>
  </r>
  <r>
    <n v="32"/>
    <x v="1"/>
    <x v="0"/>
    <n v="827"/>
    <x v="1"/>
    <n v="1"/>
    <n v="1"/>
    <s v="Life Sciences"/>
    <n v="1"/>
    <n v="134"/>
    <n v="4"/>
    <x v="1"/>
    <n v="71"/>
    <x v="0"/>
    <n v="1"/>
    <x v="1"/>
    <n v="1"/>
    <x v="0"/>
    <n v="2956"/>
    <n v="15178"/>
    <n v="1"/>
    <s v="Y"/>
    <s v="No"/>
    <n v="13"/>
    <x v="0"/>
    <n v="4"/>
    <n v="80"/>
    <x v="0"/>
    <n v="1"/>
    <x v="2"/>
    <n v="3"/>
    <n v="1"/>
    <n v="0"/>
    <n v="0"/>
    <n v="0"/>
  </r>
  <r>
    <n v="20"/>
    <x v="0"/>
    <x v="1"/>
    <n v="871"/>
    <x v="1"/>
    <n v="6"/>
    <n v="3"/>
    <s v="Life Sciences"/>
    <n v="1"/>
    <n v="137"/>
    <n v="4"/>
    <x v="0"/>
    <n v="66"/>
    <x v="1"/>
    <n v="1"/>
    <x v="2"/>
    <n v="4"/>
    <x v="0"/>
    <n v="2926"/>
    <n v="19783"/>
    <n v="1"/>
    <s v="Y"/>
    <s v="Yes"/>
    <n v="18"/>
    <x v="0"/>
    <n v="2"/>
    <n v="80"/>
    <x v="0"/>
    <n v="1"/>
    <x v="3"/>
    <n v="3"/>
    <n v="1"/>
    <n v="0"/>
    <n v="1"/>
    <n v="0"/>
  </r>
  <r>
    <n v="34"/>
    <x v="1"/>
    <x v="0"/>
    <n v="665"/>
    <x v="1"/>
    <n v="6"/>
    <n v="4"/>
    <s v="Other"/>
    <n v="1"/>
    <n v="138"/>
    <n v="1"/>
    <x v="0"/>
    <n v="41"/>
    <x v="0"/>
    <n v="2"/>
    <x v="1"/>
    <n v="3"/>
    <x v="0"/>
    <n v="4809"/>
    <n v="12482"/>
    <n v="1"/>
    <s v="Y"/>
    <s v="No"/>
    <n v="14"/>
    <x v="0"/>
    <n v="3"/>
    <n v="80"/>
    <x v="0"/>
    <n v="16"/>
    <x v="1"/>
    <n v="3"/>
    <n v="16"/>
    <n v="13"/>
    <n v="2"/>
    <n v="10"/>
  </r>
  <r>
    <n v="37"/>
    <x v="1"/>
    <x v="2"/>
    <n v="1040"/>
    <x v="1"/>
    <n v="2"/>
    <n v="2"/>
    <s v="Life Sciences"/>
    <n v="1"/>
    <n v="139"/>
    <n v="3"/>
    <x v="1"/>
    <n v="100"/>
    <x v="1"/>
    <n v="2"/>
    <x v="4"/>
    <n v="4"/>
    <x v="2"/>
    <n v="5163"/>
    <n v="15850"/>
    <n v="5"/>
    <s v="Y"/>
    <s v="No"/>
    <n v="14"/>
    <x v="0"/>
    <n v="4"/>
    <n v="80"/>
    <x v="1"/>
    <n v="17"/>
    <x v="2"/>
    <n v="4"/>
    <n v="1"/>
    <n v="0"/>
    <n v="0"/>
    <n v="0"/>
  </r>
  <r>
    <n v="59"/>
    <x v="1"/>
    <x v="2"/>
    <n v="1420"/>
    <x v="2"/>
    <n v="2"/>
    <n v="4"/>
    <s v="Human Resources"/>
    <n v="1"/>
    <n v="140"/>
    <n v="3"/>
    <x v="0"/>
    <n v="32"/>
    <x v="1"/>
    <n v="5"/>
    <x v="5"/>
    <n v="4"/>
    <x v="1"/>
    <n v="18844"/>
    <n v="21922"/>
    <n v="9"/>
    <s v="Y"/>
    <s v="No"/>
    <n v="21"/>
    <x v="1"/>
    <n v="4"/>
    <n v="80"/>
    <x v="1"/>
    <n v="30"/>
    <x v="1"/>
    <n v="3"/>
    <n v="3"/>
    <n v="2"/>
    <n v="2"/>
    <n v="2"/>
  </r>
  <r>
    <n v="50"/>
    <x v="1"/>
    <x v="1"/>
    <n v="1115"/>
    <x v="1"/>
    <n v="1"/>
    <n v="3"/>
    <s v="Life Sciences"/>
    <n v="1"/>
    <n v="141"/>
    <n v="1"/>
    <x v="0"/>
    <n v="73"/>
    <x v="0"/>
    <n v="5"/>
    <x v="7"/>
    <n v="2"/>
    <x v="1"/>
    <n v="18172"/>
    <n v="9755"/>
    <n v="3"/>
    <s v="Y"/>
    <s v="Yes"/>
    <n v="19"/>
    <x v="0"/>
    <n v="1"/>
    <n v="80"/>
    <x v="0"/>
    <n v="28"/>
    <x v="4"/>
    <n v="2"/>
    <n v="8"/>
    <n v="3"/>
    <n v="0"/>
    <n v="7"/>
  </r>
  <r>
    <n v="25"/>
    <x v="0"/>
    <x v="0"/>
    <n v="240"/>
    <x v="0"/>
    <n v="5"/>
    <n v="3"/>
    <s v="Marketing"/>
    <n v="1"/>
    <n v="142"/>
    <n v="3"/>
    <x v="1"/>
    <n v="46"/>
    <x v="1"/>
    <n v="2"/>
    <x v="0"/>
    <n v="3"/>
    <x v="0"/>
    <n v="5744"/>
    <n v="26959"/>
    <n v="1"/>
    <s v="Y"/>
    <s v="Yes"/>
    <n v="11"/>
    <x v="0"/>
    <n v="4"/>
    <n v="80"/>
    <x v="0"/>
    <n v="6"/>
    <x v="4"/>
    <n v="3"/>
    <n v="6"/>
    <n v="4"/>
    <n v="0"/>
    <n v="3"/>
  </r>
  <r>
    <n v="25"/>
    <x v="1"/>
    <x v="0"/>
    <n v="1280"/>
    <x v="1"/>
    <n v="7"/>
    <n v="1"/>
    <s v="Medical"/>
    <n v="1"/>
    <n v="143"/>
    <n v="4"/>
    <x v="1"/>
    <n v="64"/>
    <x v="1"/>
    <n v="1"/>
    <x v="1"/>
    <n v="4"/>
    <x v="1"/>
    <n v="2889"/>
    <n v="26897"/>
    <n v="1"/>
    <s v="Y"/>
    <s v="No"/>
    <n v="11"/>
    <x v="0"/>
    <n v="3"/>
    <n v="80"/>
    <x v="3"/>
    <n v="2"/>
    <x v="2"/>
    <n v="3"/>
    <n v="2"/>
    <n v="2"/>
    <n v="2"/>
    <n v="1"/>
  </r>
  <r>
    <n v="22"/>
    <x v="1"/>
    <x v="0"/>
    <n v="534"/>
    <x v="1"/>
    <n v="15"/>
    <n v="3"/>
    <s v="Medical"/>
    <n v="1"/>
    <n v="144"/>
    <n v="2"/>
    <x v="0"/>
    <n v="59"/>
    <x v="0"/>
    <n v="1"/>
    <x v="2"/>
    <n v="4"/>
    <x v="0"/>
    <n v="2871"/>
    <n v="23785"/>
    <n v="1"/>
    <s v="Y"/>
    <s v="No"/>
    <n v="15"/>
    <x v="0"/>
    <n v="3"/>
    <n v="80"/>
    <x v="0"/>
    <n v="1"/>
    <x v="3"/>
    <n v="3"/>
    <n v="0"/>
    <n v="0"/>
    <n v="0"/>
    <n v="0"/>
  </r>
  <r>
    <n v="51"/>
    <x v="1"/>
    <x v="1"/>
    <n v="1456"/>
    <x v="1"/>
    <n v="1"/>
    <n v="4"/>
    <s v="Medical"/>
    <n v="1"/>
    <n v="145"/>
    <n v="1"/>
    <x v="0"/>
    <n v="30"/>
    <x v="1"/>
    <n v="3"/>
    <x v="4"/>
    <n v="1"/>
    <x v="0"/>
    <n v="7484"/>
    <n v="25796"/>
    <n v="3"/>
    <s v="Y"/>
    <s v="No"/>
    <n v="20"/>
    <x v="1"/>
    <n v="3"/>
    <n v="80"/>
    <x v="0"/>
    <n v="23"/>
    <x v="4"/>
    <n v="2"/>
    <n v="13"/>
    <n v="12"/>
    <n v="12"/>
    <n v="8"/>
  </r>
  <r>
    <n v="34"/>
    <x v="0"/>
    <x v="1"/>
    <n v="658"/>
    <x v="1"/>
    <n v="7"/>
    <n v="3"/>
    <s v="Life Sciences"/>
    <n v="1"/>
    <n v="147"/>
    <n v="1"/>
    <x v="1"/>
    <n v="66"/>
    <x v="3"/>
    <n v="2"/>
    <x v="2"/>
    <n v="3"/>
    <x v="0"/>
    <n v="6074"/>
    <n v="22887"/>
    <n v="1"/>
    <s v="Y"/>
    <s v="Yes"/>
    <n v="24"/>
    <x v="1"/>
    <n v="4"/>
    <n v="80"/>
    <x v="0"/>
    <n v="9"/>
    <x v="1"/>
    <n v="3"/>
    <n v="9"/>
    <n v="7"/>
    <n v="0"/>
    <n v="6"/>
  </r>
  <r>
    <n v="54"/>
    <x v="1"/>
    <x v="2"/>
    <n v="142"/>
    <x v="2"/>
    <n v="26"/>
    <n v="3"/>
    <s v="Human Resources"/>
    <n v="1"/>
    <n v="148"/>
    <n v="4"/>
    <x v="0"/>
    <n v="30"/>
    <x v="2"/>
    <n v="4"/>
    <x v="5"/>
    <n v="4"/>
    <x v="0"/>
    <n v="17328"/>
    <n v="13871"/>
    <n v="2"/>
    <s v="Y"/>
    <s v="Yes"/>
    <n v="12"/>
    <x v="0"/>
    <n v="3"/>
    <n v="80"/>
    <x v="0"/>
    <n v="23"/>
    <x v="1"/>
    <n v="3"/>
    <n v="5"/>
    <n v="3"/>
    <n v="4"/>
    <n v="4"/>
  </r>
  <r>
    <n v="24"/>
    <x v="1"/>
    <x v="0"/>
    <n v="1127"/>
    <x v="1"/>
    <n v="18"/>
    <n v="1"/>
    <s v="Life Sciences"/>
    <n v="1"/>
    <n v="150"/>
    <n v="2"/>
    <x v="1"/>
    <n v="52"/>
    <x v="0"/>
    <n v="1"/>
    <x v="2"/>
    <n v="3"/>
    <x v="1"/>
    <n v="2774"/>
    <n v="13257"/>
    <n v="0"/>
    <s v="Y"/>
    <s v="No"/>
    <n v="12"/>
    <x v="0"/>
    <n v="3"/>
    <n v="80"/>
    <x v="1"/>
    <n v="6"/>
    <x v="2"/>
    <n v="3"/>
    <n v="5"/>
    <n v="3"/>
    <n v="1"/>
    <n v="2"/>
  </r>
  <r>
    <n v="34"/>
    <x v="1"/>
    <x v="0"/>
    <n v="1031"/>
    <x v="1"/>
    <n v="6"/>
    <n v="4"/>
    <s v="Life Sciences"/>
    <n v="1"/>
    <n v="151"/>
    <n v="3"/>
    <x v="0"/>
    <n v="45"/>
    <x v="1"/>
    <n v="2"/>
    <x v="1"/>
    <n v="2"/>
    <x v="2"/>
    <n v="4505"/>
    <n v="15000"/>
    <n v="6"/>
    <s v="Y"/>
    <s v="No"/>
    <n v="15"/>
    <x v="0"/>
    <n v="3"/>
    <n v="80"/>
    <x v="1"/>
    <n v="12"/>
    <x v="1"/>
    <n v="3"/>
    <n v="1"/>
    <n v="0"/>
    <n v="0"/>
    <n v="0"/>
  </r>
  <r>
    <n v="37"/>
    <x v="1"/>
    <x v="0"/>
    <n v="1189"/>
    <x v="0"/>
    <n v="3"/>
    <n v="3"/>
    <s v="Life Sciences"/>
    <n v="1"/>
    <n v="152"/>
    <n v="3"/>
    <x v="1"/>
    <n v="87"/>
    <x v="0"/>
    <n v="3"/>
    <x v="0"/>
    <n v="4"/>
    <x v="0"/>
    <n v="7428"/>
    <n v="14506"/>
    <n v="2"/>
    <s v="Y"/>
    <s v="No"/>
    <n v="12"/>
    <x v="0"/>
    <n v="1"/>
    <n v="80"/>
    <x v="0"/>
    <n v="12"/>
    <x v="1"/>
    <n v="3"/>
    <n v="5"/>
    <n v="3"/>
    <n v="1"/>
    <n v="3"/>
  </r>
  <r>
    <n v="34"/>
    <x v="1"/>
    <x v="0"/>
    <n v="1354"/>
    <x v="1"/>
    <n v="5"/>
    <n v="3"/>
    <s v="Medical"/>
    <n v="1"/>
    <n v="153"/>
    <n v="3"/>
    <x v="0"/>
    <n v="45"/>
    <x v="1"/>
    <n v="3"/>
    <x v="5"/>
    <n v="1"/>
    <x v="0"/>
    <n v="11631"/>
    <n v="5615"/>
    <n v="2"/>
    <s v="Y"/>
    <s v="No"/>
    <n v="12"/>
    <x v="0"/>
    <n v="4"/>
    <n v="80"/>
    <x v="0"/>
    <n v="14"/>
    <x v="6"/>
    <n v="3"/>
    <n v="11"/>
    <n v="10"/>
    <n v="5"/>
    <n v="8"/>
  </r>
  <r>
    <n v="36"/>
    <x v="1"/>
    <x v="1"/>
    <n v="1467"/>
    <x v="0"/>
    <n v="11"/>
    <n v="2"/>
    <s v="Technical Degree"/>
    <n v="1"/>
    <n v="154"/>
    <n v="2"/>
    <x v="0"/>
    <n v="92"/>
    <x v="0"/>
    <n v="3"/>
    <x v="0"/>
    <n v="4"/>
    <x v="1"/>
    <n v="9738"/>
    <n v="22952"/>
    <n v="0"/>
    <s v="Y"/>
    <s v="No"/>
    <n v="14"/>
    <x v="0"/>
    <n v="3"/>
    <n v="80"/>
    <x v="1"/>
    <n v="10"/>
    <x v="6"/>
    <n v="3"/>
    <n v="9"/>
    <n v="7"/>
    <n v="2"/>
    <n v="8"/>
  </r>
  <r>
    <n v="36"/>
    <x v="1"/>
    <x v="0"/>
    <n v="922"/>
    <x v="1"/>
    <n v="3"/>
    <n v="2"/>
    <s v="Life Sciences"/>
    <n v="1"/>
    <n v="155"/>
    <n v="1"/>
    <x v="0"/>
    <n v="39"/>
    <x v="0"/>
    <n v="1"/>
    <x v="2"/>
    <n v="4"/>
    <x v="2"/>
    <n v="2835"/>
    <n v="2561"/>
    <n v="5"/>
    <s v="Y"/>
    <s v="No"/>
    <n v="22"/>
    <x v="1"/>
    <n v="1"/>
    <n v="80"/>
    <x v="1"/>
    <n v="7"/>
    <x v="2"/>
    <n v="3"/>
    <n v="1"/>
    <n v="0"/>
    <n v="0"/>
    <n v="0"/>
  </r>
  <r>
    <n v="43"/>
    <x v="1"/>
    <x v="1"/>
    <n v="394"/>
    <x v="0"/>
    <n v="26"/>
    <n v="2"/>
    <s v="Life Sciences"/>
    <n v="1"/>
    <n v="158"/>
    <n v="3"/>
    <x v="1"/>
    <n v="92"/>
    <x v="0"/>
    <n v="4"/>
    <x v="5"/>
    <n v="4"/>
    <x v="1"/>
    <n v="16959"/>
    <n v="19494"/>
    <n v="1"/>
    <s v="Y"/>
    <s v="Yes"/>
    <n v="12"/>
    <x v="0"/>
    <n v="4"/>
    <n v="80"/>
    <x v="3"/>
    <n v="25"/>
    <x v="1"/>
    <n v="4"/>
    <n v="25"/>
    <n v="12"/>
    <n v="4"/>
    <n v="12"/>
  </r>
  <r>
    <n v="30"/>
    <x v="1"/>
    <x v="1"/>
    <n v="1312"/>
    <x v="1"/>
    <n v="23"/>
    <n v="3"/>
    <s v="Life Sciences"/>
    <n v="1"/>
    <n v="159"/>
    <n v="1"/>
    <x v="1"/>
    <n v="96"/>
    <x v="3"/>
    <n v="1"/>
    <x v="1"/>
    <n v="3"/>
    <x v="2"/>
    <n v="2613"/>
    <n v="22310"/>
    <n v="1"/>
    <s v="Y"/>
    <s v="No"/>
    <n v="25"/>
    <x v="1"/>
    <n v="3"/>
    <n v="80"/>
    <x v="2"/>
    <n v="10"/>
    <x v="2"/>
    <n v="2"/>
    <n v="10"/>
    <n v="7"/>
    <n v="0"/>
    <n v="9"/>
  </r>
  <r>
    <n v="33"/>
    <x v="1"/>
    <x v="2"/>
    <n v="750"/>
    <x v="0"/>
    <n v="22"/>
    <n v="2"/>
    <s v="Marketing"/>
    <n v="1"/>
    <n v="160"/>
    <n v="3"/>
    <x v="1"/>
    <n v="95"/>
    <x v="0"/>
    <n v="2"/>
    <x v="0"/>
    <n v="2"/>
    <x v="1"/>
    <n v="6146"/>
    <n v="15480"/>
    <n v="0"/>
    <s v="Y"/>
    <s v="No"/>
    <n v="13"/>
    <x v="0"/>
    <n v="1"/>
    <n v="80"/>
    <x v="1"/>
    <n v="8"/>
    <x v="2"/>
    <n v="4"/>
    <n v="7"/>
    <n v="7"/>
    <n v="0"/>
    <n v="7"/>
  </r>
  <r>
    <n v="56"/>
    <x v="0"/>
    <x v="0"/>
    <n v="441"/>
    <x v="1"/>
    <n v="14"/>
    <n v="4"/>
    <s v="Life Sciences"/>
    <n v="1"/>
    <n v="161"/>
    <n v="2"/>
    <x v="0"/>
    <n v="72"/>
    <x v="0"/>
    <n v="1"/>
    <x v="1"/>
    <n v="2"/>
    <x v="1"/>
    <n v="4963"/>
    <n v="4510"/>
    <n v="9"/>
    <s v="Y"/>
    <s v="Yes"/>
    <n v="18"/>
    <x v="0"/>
    <n v="1"/>
    <n v="80"/>
    <x v="2"/>
    <n v="7"/>
    <x v="2"/>
    <n v="3"/>
    <n v="5"/>
    <n v="4"/>
    <n v="4"/>
    <n v="3"/>
  </r>
  <r>
    <n v="51"/>
    <x v="1"/>
    <x v="0"/>
    <n v="684"/>
    <x v="1"/>
    <n v="6"/>
    <n v="3"/>
    <s v="Life Sciences"/>
    <n v="1"/>
    <n v="162"/>
    <n v="1"/>
    <x v="1"/>
    <n v="51"/>
    <x v="0"/>
    <n v="5"/>
    <x v="7"/>
    <n v="3"/>
    <x v="0"/>
    <n v="19537"/>
    <n v="6462"/>
    <n v="7"/>
    <s v="Y"/>
    <s v="No"/>
    <n v="13"/>
    <x v="0"/>
    <n v="3"/>
    <n v="80"/>
    <x v="0"/>
    <n v="23"/>
    <x v="3"/>
    <n v="3"/>
    <n v="20"/>
    <n v="18"/>
    <n v="15"/>
    <n v="15"/>
  </r>
  <r>
    <n v="31"/>
    <x v="0"/>
    <x v="0"/>
    <n v="249"/>
    <x v="0"/>
    <n v="6"/>
    <n v="4"/>
    <s v="Life Sciences"/>
    <n v="1"/>
    <n v="163"/>
    <n v="2"/>
    <x v="1"/>
    <n v="76"/>
    <x v="3"/>
    <n v="2"/>
    <x v="0"/>
    <n v="3"/>
    <x v="1"/>
    <n v="6172"/>
    <n v="20739"/>
    <n v="4"/>
    <s v="Y"/>
    <s v="Yes"/>
    <n v="18"/>
    <x v="0"/>
    <n v="2"/>
    <n v="80"/>
    <x v="0"/>
    <n v="12"/>
    <x v="1"/>
    <n v="2"/>
    <n v="7"/>
    <n v="7"/>
    <n v="7"/>
    <n v="7"/>
  </r>
  <r>
    <n v="26"/>
    <x v="1"/>
    <x v="0"/>
    <n v="841"/>
    <x v="1"/>
    <n v="6"/>
    <n v="3"/>
    <s v="Other"/>
    <n v="1"/>
    <n v="164"/>
    <n v="3"/>
    <x v="0"/>
    <n v="46"/>
    <x v="1"/>
    <n v="1"/>
    <x v="1"/>
    <n v="2"/>
    <x v="1"/>
    <n v="2368"/>
    <n v="23300"/>
    <n v="1"/>
    <s v="Y"/>
    <s v="No"/>
    <n v="19"/>
    <x v="0"/>
    <n v="3"/>
    <n v="80"/>
    <x v="0"/>
    <n v="5"/>
    <x v="1"/>
    <n v="2"/>
    <n v="5"/>
    <n v="4"/>
    <n v="4"/>
    <n v="3"/>
  </r>
  <r>
    <n v="58"/>
    <x v="0"/>
    <x v="0"/>
    <n v="147"/>
    <x v="1"/>
    <n v="23"/>
    <n v="4"/>
    <s v="Medical"/>
    <n v="1"/>
    <n v="165"/>
    <n v="4"/>
    <x v="0"/>
    <n v="94"/>
    <x v="0"/>
    <n v="3"/>
    <x v="4"/>
    <n v="4"/>
    <x v="1"/>
    <n v="10312"/>
    <n v="3465"/>
    <n v="1"/>
    <s v="Y"/>
    <s v="No"/>
    <n v="12"/>
    <x v="0"/>
    <n v="4"/>
    <n v="80"/>
    <x v="1"/>
    <n v="40"/>
    <x v="1"/>
    <n v="2"/>
    <n v="40"/>
    <n v="10"/>
    <n v="15"/>
    <n v="6"/>
  </r>
  <r>
    <n v="19"/>
    <x v="0"/>
    <x v="0"/>
    <n v="528"/>
    <x v="0"/>
    <n v="22"/>
    <n v="1"/>
    <s v="Marketing"/>
    <n v="1"/>
    <n v="167"/>
    <n v="4"/>
    <x v="1"/>
    <n v="50"/>
    <x v="0"/>
    <n v="1"/>
    <x v="6"/>
    <n v="3"/>
    <x v="0"/>
    <n v="1675"/>
    <n v="26820"/>
    <n v="1"/>
    <s v="Y"/>
    <s v="Yes"/>
    <n v="19"/>
    <x v="0"/>
    <n v="4"/>
    <n v="80"/>
    <x v="0"/>
    <n v="0"/>
    <x v="2"/>
    <n v="2"/>
    <n v="0"/>
    <n v="0"/>
    <n v="0"/>
    <n v="0"/>
  </r>
  <r>
    <n v="22"/>
    <x v="1"/>
    <x v="0"/>
    <n v="594"/>
    <x v="1"/>
    <n v="2"/>
    <n v="1"/>
    <s v="Technical Degree"/>
    <n v="1"/>
    <n v="169"/>
    <n v="3"/>
    <x v="1"/>
    <n v="100"/>
    <x v="0"/>
    <n v="1"/>
    <x v="2"/>
    <n v="4"/>
    <x v="1"/>
    <n v="2523"/>
    <n v="19299"/>
    <n v="0"/>
    <s v="Y"/>
    <s v="No"/>
    <n v="14"/>
    <x v="0"/>
    <n v="3"/>
    <n v="80"/>
    <x v="1"/>
    <n v="3"/>
    <x v="2"/>
    <n v="3"/>
    <n v="2"/>
    <n v="1"/>
    <n v="2"/>
    <n v="1"/>
  </r>
  <r>
    <n v="49"/>
    <x v="1"/>
    <x v="0"/>
    <n v="470"/>
    <x v="1"/>
    <n v="20"/>
    <n v="4"/>
    <s v="Medical"/>
    <n v="1"/>
    <n v="170"/>
    <n v="3"/>
    <x v="0"/>
    <n v="96"/>
    <x v="0"/>
    <n v="2"/>
    <x v="3"/>
    <n v="1"/>
    <x v="1"/>
    <n v="6567"/>
    <n v="5549"/>
    <n v="1"/>
    <s v="Y"/>
    <s v="No"/>
    <n v="14"/>
    <x v="0"/>
    <n v="3"/>
    <n v="80"/>
    <x v="0"/>
    <n v="16"/>
    <x v="2"/>
    <n v="2"/>
    <n v="15"/>
    <n v="11"/>
    <n v="5"/>
    <n v="11"/>
  </r>
  <r>
    <n v="43"/>
    <x v="1"/>
    <x v="1"/>
    <n v="957"/>
    <x v="1"/>
    <n v="28"/>
    <n v="3"/>
    <s v="Medical"/>
    <n v="1"/>
    <n v="171"/>
    <n v="2"/>
    <x v="0"/>
    <n v="72"/>
    <x v="2"/>
    <n v="1"/>
    <x v="1"/>
    <n v="3"/>
    <x v="0"/>
    <n v="4739"/>
    <n v="16090"/>
    <n v="4"/>
    <s v="Y"/>
    <s v="No"/>
    <n v="12"/>
    <x v="0"/>
    <n v="4"/>
    <n v="80"/>
    <x v="0"/>
    <n v="18"/>
    <x v="2"/>
    <n v="3"/>
    <n v="3"/>
    <n v="2"/>
    <n v="1"/>
    <n v="2"/>
  </r>
  <r>
    <n v="50"/>
    <x v="1"/>
    <x v="1"/>
    <n v="809"/>
    <x v="0"/>
    <n v="12"/>
    <n v="3"/>
    <s v="Marketing"/>
    <n v="1"/>
    <n v="174"/>
    <n v="3"/>
    <x v="0"/>
    <n v="77"/>
    <x v="0"/>
    <n v="3"/>
    <x v="0"/>
    <n v="4"/>
    <x v="0"/>
    <n v="9208"/>
    <n v="6645"/>
    <n v="4"/>
    <s v="Y"/>
    <s v="No"/>
    <n v="11"/>
    <x v="0"/>
    <n v="4"/>
    <n v="80"/>
    <x v="0"/>
    <n v="16"/>
    <x v="1"/>
    <n v="3"/>
    <n v="2"/>
    <n v="2"/>
    <n v="2"/>
    <n v="1"/>
  </r>
  <r>
    <n v="31"/>
    <x v="0"/>
    <x v="0"/>
    <n v="542"/>
    <x v="0"/>
    <n v="20"/>
    <n v="3"/>
    <s v="Life Sciences"/>
    <n v="1"/>
    <n v="175"/>
    <n v="2"/>
    <x v="0"/>
    <n v="71"/>
    <x v="3"/>
    <n v="2"/>
    <x v="0"/>
    <n v="3"/>
    <x v="1"/>
    <n v="4559"/>
    <n v="24788"/>
    <n v="3"/>
    <s v="Y"/>
    <s v="Yes"/>
    <n v="11"/>
    <x v="0"/>
    <n v="3"/>
    <n v="80"/>
    <x v="1"/>
    <n v="4"/>
    <x v="2"/>
    <n v="3"/>
    <n v="2"/>
    <n v="2"/>
    <n v="2"/>
    <n v="2"/>
  </r>
  <r>
    <n v="41"/>
    <x v="1"/>
    <x v="0"/>
    <n v="802"/>
    <x v="0"/>
    <n v="9"/>
    <n v="1"/>
    <s v="Life Sciences"/>
    <n v="1"/>
    <n v="176"/>
    <n v="3"/>
    <x v="1"/>
    <n v="96"/>
    <x v="0"/>
    <n v="3"/>
    <x v="0"/>
    <n v="3"/>
    <x v="2"/>
    <n v="8189"/>
    <n v="21196"/>
    <n v="3"/>
    <s v="Y"/>
    <s v="Yes"/>
    <n v="13"/>
    <x v="0"/>
    <n v="3"/>
    <n v="80"/>
    <x v="1"/>
    <n v="12"/>
    <x v="2"/>
    <n v="3"/>
    <n v="9"/>
    <n v="7"/>
    <n v="0"/>
    <n v="7"/>
  </r>
  <r>
    <n v="26"/>
    <x v="1"/>
    <x v="0"/>
    <n v="1355"/>
    <x v="2"/>
    <n v="25"/>
    <n v="1"/>
    <s v="Life Sciences"/>
    <n v="1"/>
    <n v="177"/>
    <n v="3"/>
    <x v="0"/>
    <n v="61"/>
    <x v="0"/>
    <n v="1"/>
    <x v="8"/>
    <n v="3"/>
    <x v="1"/>
    <n v="2942"/>
    <n v="8916"/>
    <n v="1"/>
    <s v="Y"/>
    <s v="No"/>
    <n v="23"/>
    <x v="1"/>
    <n v="4"/>
    <n v="80"/>
    <x v="1"/>
    <n v="8"/>
    <x v="1"/>
    <n v="3"/>
    <n v="8"/>
    <n v="7"/>
    <n v="5"/>
    <n v="7"/>
  </r>
  <r>
    <n v="36"/>
    <x v="1"/>
    <x v="0"/>
    <n v="216"/>
    <x v="1"/>
    <n v="6"/>
    <n v="2"/>
    <s v="Medical"/>
    <n v="1"/>
    <n v="178"/>
    <n v="2"/>
    <x v="1"/>
    <n v="84"/>
    <x v="0"/>
    <n v="2"/>
    <x v="3"/>
    <n v="2"/>
    <x v="2"/>
    <n v="4941"/>
    <n v="2819"/>
    <n v="6"/>
    <s v="Y"/>
    <s v="No"/>
    <n v="20"/>
    <x v="1"/>
    <n v="4"/>
    <n v="80"/>
    <x v="3"/>
    <n v="7"/>
    <x v="0"/>
    <n v="3"/>
    <n v="3"/>
    <n v="2"/>
    <n v="0"/>
    <n v="1"/>
  </r>
  <r>
    <n v="51"/>
    <x v="0"/>
    <x v="1"/>
    <n v="1150"/>
    <x v="1"/>
    <n v="8"/>
    <n v="4"/>
    <s v="Life Sciences"/>
    <n v="1"/>
    <n v="179"/>
    <n v="1"/>
    <x v="1"/>
    <n v="53"/>
    <x v="3"/>
    <n v="3"/>
    <x v="3"/>
    <n v="4"/>
    <x v="0"/>
    <n v="10650"/>
    <n v="25150"/>
    <n v="2"/>
    <s v="Y"/>
    <s v="No"/>
    <n v="15"/>
    <x v="0"/>
    <n v="4"/>
    <n v="80"/>
    <x v="0"/>
    <n v="18"/>
    <x v="2"/>
    <n v="3"/>
    <n v="4"/>
    <n v="2"/>
    <n v="0"/>
    <n v="3"/>
  </r>
  <r>
    <n v="39"/>
    <x v="1"/>
    <x v="0"/>
    <n v="1329"/>
    <x v="0"/>
    <n v="4"/>
    <n v="4"/>
    <s v="Life Sciences"/>
    <n v="1"/>
    <n v="182"/>
    <n v="4"/>
    <x v="0"/>
    <n v="47"/>
    <x v="1"/>
    <n v="2"/>
    <x v="0"/>
    <n v="3"/>
    <x v="1"/>
    <n v="5902"/>
    <n v="14590"/>
    <n v="4"/>
    <s v="Y"/>
    <s v="No"/>
    <n v="14"/>
    <x v="0"/>
    <n v="3"/>
    <n v="80"/>
    <x v="1"/>
    <n v="17"/>
    <x v="4"/>
    <n v="4"/>
    <n v="15"/>
    <n v="11"/>
    <n v="5"/>
    <n v="9"/>
  </r>
  <r>
    <n v="25"/>
    <x v="1"/>
    <x v="0"/>
    <n v="959"/>
    <x v="0"/>
    <n v="28"/>
    <n v="3"/>
    <s v="Life Sciences"/>
    <n v="1"/>
    <n v="183"/>
    <n v="1"/>
    <x v="1"/>
    <n v="41"/>
    <x v="1"/>
    <n v="2"/>
    <x v="0"/>
    <n v="3"/>
    <x v="1"/>
    <n v="8639"/>
    <n v="24835"/>
    <n v="2"/>
    <s v="Y"/>
    <s v="No"/>
    <n v="18"/>
    <x v="0"/>
    <n v="4"/>
    <n v="80"/>
    <x v="0"/>
    <n v="6"/>
    <x v="1"/>
    <n v="3"/>
    <n v="2"/>
    <n v="2"/>
    <n v="2"/>
    <n v="2"/>
  </r>
  <r>
    <n v="30"/>
    <x v="1"/>
    <x v="0"/>
    <n v="1240"/>
    <x v="2"/>
    <n v="9"/>
    <n v="3"/>
    <s v="Human Resources"/>
    <n v="1"/>
    <n v="184"/>
    <n v="3"/>
    <x v="1"/>
    <n v="48"/>
    <x v="0"/>
    <n v="2"/>
    <x v="8"/>
    <n v="4"/>
    <x v="1"/>
    <n v="6347"/>
    <n v="13982"/>
    <n v="0"/>
    <s v="Y"/>
    <s v="Yes"/>
    <n v="19"/>
    <x v="0"/>
    <n v="4"/>
    <n v="80"/>
    <x v="0"/>
    <n v="12"/>
    <x v="2"/>
    <n v="1"/>
    <n v="11"/>
    <n v="9"/>
    <n v="4"/>
    <n v="7"/>
  </r>
  <r>
    <n v="32"/>
    <x v="0"/>
    <x v="0"/>
    <n v="1033"/>
    <x v="1"/>
    <n v="9"/>
    <n v="3"/>
    <s v="Medical"/>
    <n v="1"/>
    <n v="190"/>
    <n v="1"/>
    <x v="0"/>
    <n v="41"/>
    <x v="0"/>
    <n v="1"/>
    <x v="2"/>
    <n v="1"/>
    <x v="0"/>
    <n v="4200"/>
    <n v="10224"/>
    <n v="7"/>
    <s v="Y"/>
    <s v="No"/>
    <n v="22"/>
    <x v="1"/>
    <n v="1"/>
    <n v="80"/>
    <x v="0"/>
    <n v="10"/>
    <x v="2"/>
    <n v="4"/>
    <n v="5"/>
    <n v="4"/>
    <n v="0"/>
    <n v="4"/>
  </r>
  <r>
    <n v="45"/>
    <x v="1"/>
    <x v="0"/>
    <n v="1316"/>
    <x v="1"/>
    <n v="29"/>
    <n v="3"/>
    <s v="Medical"/>
    <n v="1"/>
    <n v="192"/>
    <n v="3"/>
    <x v="1"/>
    <n v="83"/>
    <x v="0"/>
    <n v="1"/>
    <x v="1"/>
    <n v="4"/>
    <x v="0"/>
    <n v="3452"/>
    <n v="9752"/>
    <n v="5"/>
    <s v="Y"/>
    <s v="No"/>
    <n v="13"/>
    <x v="0"/>
    <n v="2"/>
    <n v="80"/>
    <x v="0"/>
    <n v="9"/>
    <x v="2"/>
    <n v="2"/>
    <n v="6"/>
    <n v="5"/>
    <n v="0"/>
    <n v="3"/>
  </r>
  <r>
    <n v="38"/>
    <x v="1"/>
    <x v="0"/>
    <n v="364"/>
    <x v="1"/>
    <n v="3"/>
    <n v="5"/>
    <s v="Technical Degree"/>
    <n v="1"/>
    <n v="193"/>
    <n v="4"/>
    <x v="0"/>
    <n v="32"/>
    <x v="0"/>
    <n v="2"/>
    <x v="1"/>
    <n v="3"/>
    <x v="0"/>
    <n v="4317"/>
    <n v="2302"/>
    <n v="3"/>
    <s v="Y"/>
    <s v="Yes"/>
    <n v="20"/>
    <x v="1"/>
    <n v="2"/>
    <n v="80"/>
    <x v="0"/>
    <n v="19"/>
    <x v="2"/>
    <n v="3"/>
    <n v="3"/>
    <n v="2"/>
    <n v="2"/>
    <n v="2"/>
  </r>
  <r>
    <n v="30"/>
    <x v="1"/>
    <x v="0"/>
    <n v="438"/>
    <x v="1"/>
    <n v="18"/>
    <n v="3"/>
    <s v="Life Sciences"/>
    <n v="1"/>
    <n v="194"/>
    <n v="1"/>
    <x v="0"/>
    <n v="75"/>
    <x v="0"/>
    <n v="1"/>
    <x v="1"/>
    <n v="3"/>
    <x v="0"/>
    <n v="2632"/>
    <n v="23910"/>
    <n v="1"/>
    <s v="Y"/>
    <s v="No"/>
    <n v="14"/>
    <x v="0"/>
    <n v="3"/>
    <n v="80"/>
    <x v="0"/>
    <n v="5"/>
    <x v="5"/>
    <n v="2"/>
    <n v="5"/>
    <n v="4"/>
    <n v="0"/>
    <n v="4"/>
  </r>
  <r>
    <n v="32"/>
    <x v="1"/>
    <x v="1"/>
    <n v="689"/>
    <x v="0"/>
    <n v="9"/>
    <n v="2"/>
    <s v="Medical"/>
    <n v="1"/>
    <n v="195"/>
    <n v="4"/>
    <x v="1"/>
    <n v="35"/>
    <x v="3"/>
    <n v="2"/>
    <x v="0"/>
    <n v="4"/>
    <x v="2"/>
    <n v="4668"/>
    <n v="22812"/>
    <n v="0"/>
    <s v="Y"/>
    <s v="No"/>
    <n v="17"/>
    <x v="0"/>
    <n v="4"/>
    <n v="80"/>
    <x v="2"/>
    <n v="9"/>
    <x v="2"/>
    <n v="4"/>
    <n v="8"/>
    <n v="7"/>
    <n v="0"/>
    <n v="7"/>
  </r>
  <r>
    <n v="30"/>
    <x v="1"/>
    <x v="0"/>
    <n v="201"/>
    <x v="1"/>
    <n v="5"/>
    <n v="3"/>
    <s v="Technical Degree"/>
    <n v="1"/>
    <n v="197"/>
    <n v="4"/>
    <x v="0"/>
    <n v="84"/>
    <x v="0"/>
    <n v="1"/>
    <x v="1"/>
    <n v="1"/>
    <x v="2"/>
    <n v="3204"/>
    <n v="10415"/>
    <n v="5"/>
    <s v="Y"/>
    <s v="No"/>
    <n v="14"/>
    <x v="0"/>
    <n v="4"/>
    <n v="80"/>
    <x v="1"/>
    <n v="8"/>
    <x v="1"/>
    <n v="3"/>
    <n v="3"/>
    <n v="2"/>
    <n v="2"/>
    <n v="2"/>
  </r>
  <r>
    <n v="30"/>
    <x v="1"/>
    <x v="0"/>
    <n v="1427"/>
    <x v="1"/>
    <n v="2"/>
    <n v="1"/>
    <s v="Medical"/>
    <n v="1"/>
    <n v="198"/>
    <n v="2"/>
    <x v="1"/>
    <n v="35"/>
    <x v="1"/>
    <n v="1"/>
    <x v="2"/>
    <n v="4"/>
    <x v="0"/>
    <n v="2720"/>
    <n v="11162"/>
    <n v="0"/>
    <s v="Y"/>
    <s v="No"/>
    <n v="13"/>
    <x v="0"/>
    <n v="4"/>
    <n v="80"/>
    <x v="0"/>
    <n v="6"/>
    <x v="1"/>
    <n v="3"/>
    <n v="5"/>
    <n v="3"/>
    <n v="1"/>
    <n v="2"/>
  </r>
  <r>
    <n v="41"/>
    <x v="1"/>
    <x v="1"/>
    <n v="857"/>
    <x v="1"/>
    <n v="10"/>
    <n v="3"/>
    <s v="Life Sciences"/>
    <n v="1"/>
    <n v="199"/>
    <n v="4"/>
    <x v="1"/>
    <n v="91"/>
    <x v="1"/>
    <n v="4"/>
    <x v="5"/>
    <n v="1"/>
    <x v="2"/>
    <n v="17181"/>
    <n v="12888"/>
    <n v="4"/>
    <s v="Y"/>
    <s v="No"/>
    <n v="13"/>
    <x v="0"/>
    <n v="2"/>
    <n v="80"/>
    <x v="1"/>
    <n v="21"/>
    <x v="2"/>
    <n v="2"/>
    <n v="7"/>
    <n v="6"/>
    <n v="7"/>
    <n v="7"/>
  </r>
  <r>
    <n v="41"/>
    <x v="1"/>
    <x v="0"/>
    <n v="933"/>
    <x v="1"/>
    <n v="9"/>
    <n v="4"/>
    <s v="Life Sciences"/>
    <n v="1"/>
    <n v="200"/>
    <n v="3"/>
    <x v="1"/>
    <n v="94"/>
    <x v="0"/>
    <n v="1"/>
    <x v="2"/>
    <n v="1"/>
    <x v="1"/>
    <n v="2238"/>
    <n v="6961"/>
    <n v="2"/>
    <s v="Y"/>
    <s v="No"/>
    <n v="21"/>
    <x v="1"/>
    <n v="4"/>
    <n v="80"/>
    <x v="1"/>
    <n v="7"/>
    <x v="2"/>
    <n v="3"/>
    <n v="5"/>
    <n v="0"/>
    <n v="1"/>
    <n v="4"/>
  </r>
  <r>
    <n v="19"/>
    <x v="1"/>
    <x v="0"/>
    <n v="1181"/>
    <x v="1"/>
    <n v="3"/>
    <n v="1"/>
    <s v="Medical"/>
    <n v="1"/>
    <n v="201"/>
    <n v="2"/>
    <x v="0"/>
    <n v="79"/>
    <x v="0"/>
    <n v="1"/>
    <x v="2"/>
    <n v="2"/>
    <x v="0"/>
    <n v="1483"/>
    <n v="16102"/>
    <n v="1"/>
    <s v="Y"/>
    <s v="No"/>
    <n v="14"/>
    <x v="0"/>
    <n v="4"/>
    <n v="80"/>
    <x v="0"/>
    <n v="1"/>
    <x v="1"/>
    <n v="3"/>
    <n v="1"/>
    <n v="0"/>
    <n v="0"/>
    <n v="0"/>
  </r>
  <r>
    <n v="40"/>
    <x v="1"/>
    <x v="1"/>
    <n v="1395"/>
    <x v="1"/>
    <n v="26"/>
    <n v="3"/>
    <s v="Medical"/>
    <n v="1"/>
    <n v="202"/>
    <n v="2"/>
    <x v="0"/>
    <n v="54"/>
    <x v="0"/>
    <n v="2"/>
    <x v="1"/>
    <n v="2"/>
    <x v="2"/>
    <n v="5605"/>
    <n v="8504"/>
    <n v="1"/>
    <s v="Y"/>
    <s v="No"/>
    <n v="11"/>
    <x v="0"/>
    <n v="1"/>
    <n v="80"/>
    <x v="1"/>
    <n v="20"/>
    <x v="2"/>
    <n v="3"/>
    <n v="20"/>
    <n v="7"/>
    <n v="2"/>
    <n v="13"/>
  </r>
  <r>
    <n v="35"/>
    <x v="1"/>
    <x v="0"/>
    <n v="662"/>
    <x v="0"/>
    <n v="1"/>
    <n v="5"/>
    <s v="Marketing"/>
    <n v="1"/>
    <n v="204"/>
    <n v="3"/>
    <x v="1"/>
    <n v="94"/>
    <x v="0"/>
    <n v="3"/>
    <x v="0"/>
    <n v="2"/>
    <x v="1"/>
    <n v="7295"/>
    <n v="11439"/>
    <n v="1"/>
    <s v="Y"/>
    <s v="No"/>
    <n v="13"/>
    <x v="0"/>
    <n v="1"/>
    <n v="80"/>
    <x v="3"/>
    <n v="10"/>
    <x v="1"/>
    <n v="3"/>
    <n v="10"/>
    <n v="8"/>
    <n v="0"/>
    <n v="6"/>
  </r>
  <r>
    <n v="53"/>
    <x v="1"/>
    <x v="0"/>
    <n v="1436"/>
    <x v="0"/>
    <n v="6"/>
    <n v="2"/>
    <s v="Marketing"/>
    <n v="1"/>
    <n v="205"/>
    <n v="2"/>
    <x v="1"/>
    <n v="34"/>
    <x v="0"/>
    <n v="2"/>
    <x v="6"/>
    <n v="3"/>
    <x v="1"/>
    <n v="2306"/>
    <n v="16047"/>
    <n v="2"/>
    <s v="Y"/>
    <s v="Yes"/>
    <n v="20"/>
    <x v="1"/>
    <n v="4"/>
    <n v="80"/>
    <x v="1"/>
    <n v="13"/>
    <x v="1"/>
    <n v="1"/>
    <n v="7"/>
    <n v="7"/>
    <n v="4"/>
    <n v="5"/>
  </r>
  <r>
    <n v="45"/>
    <x v="1"/>
    <x v="0"/>
    <n v="194"/>
    <x v="1"/>
    <n v="9"/>
    <n v="3"/>
    <s v="Life Sciences"/>
    <n v="1"/>
    <n v="206"/>
    <n v="2"/>
    <x v="1"/>
    <n v="60"/>
    <x v="0"/>
    <n v="2"/>
    <x v="2"/>
    <n v="2"/>
    <x v="2"/>
    <n v="2348"/>
    <n v="10901"/>
    <n v="8"/>
    <s v="Y"/>
    <s v="No"/>
    <n v="18"/>
    <x v="0"/>
    <n v="3"/>
    <n v="80"/>
    <x v="1"/>
    <n v="20"/>
    <x v="2"/>
    <n v="1"/>
    <n v="17"/>
    <n v="9"/>
    <n v="0"/>
    <n v="15"/>
  </r>
  <r>
    <n v="32"/>
    <x v="1"/>
    <x v="1"/>
    <n v="967"/>
    <x v="0"/>
    <n v="8"/>
    <n v="3"/>
    <s v="Marketing"/>
    <n v="1"/>
    <n v="207"/>
    <n v="2"/>
    <x v="0"/>
    <n v="43"/>
    <x v="0"/>
    <n v="3"/>
    <x v="0"/>
    <n v="4"/>
    <x v="0"/>
    <n v="8998"/>
    <n v="15589"/>
    <n v="1"/>
    <s v="Y"/>
    <s v="No"/>
    <n v="14"/>
    <x v="0"/>
    <n v="4"/>
    <n v="80"/>
    <x v="0"/>
    <n v="9"/>
    <x v="2"/>
    <n v="3"/>
    <n v="9"/>
    <n v="8"/>
    <n v="3"/>
    <n v="7"/>
  </r>
  <r>
    <n v="29"/>
    <x v="1"/>
    <x v="2"/>
    <n v="1496"/>
    <x v="1"/>
    <n v="1"/>
    <n v="1"/>
    <s v="Technical Degree"/>
    <n v="1"/>
    <n v="208"/>
    <n v="4"/>
    <x v="1"/>
    <n v="41"/>
    <x v="0"/>
    <n v="2"/>
    <x v="3"/>
    <n v="3"/>
    <x v="1"/>
    <n v="4319"/>
    <n v="26283"/>
    <n v="1"/>
    <s v="Y"/>
    <s v="No"/>
    <n v="13"/>
    <x v="0"/>
    <n v="1"/>
    <n v="80"/>
    <x v="1"/>
    <n v="10"/>
    <x v="4"/>
    <n v="3"/>
    <n v="10"/>
    <n v="7"/>
    <n v="0"/>
    <n v="9"/>
  </r>
  <r>
    <n v="51"/>
    <x v="1"/>
    <x v="0"/>
    <n v="1169"/>
    <x v="1"/>
    <n v="7"/>
    <n v="4"/>
    <s v="Medical"/>
    <n v="1"/>
    <n v="211"/>
    <n v="2"/>
    <x v="1"/>
    <n v="34"/>
    <x v="1"/>
    <n v="2"/>
    <x v="3"/>
    <n v="3"/>
    <x v="1"/>
    <n v="6132"/>
    <n v="13983"/>
    <n v="2"/>
    <s v="Y"/>
    <s v="No"/>
    <n v="17"/>
    <x v="0"/>
    <n v="3"/>
    <n v="80"/>
    <x v="0"/>
    <n v="10"/>
    <x v="2"/>
    <n v="3"/>
    <n v="1"/>
    <n v="0"/>
    <n v="0"/>
    <n v="0"/>
  </r>
  <r>
    <n v="58"/>
    <x v="1"/>
    <x v="0"/>
    <n v="1145"/>
    <x v="1"/>
    <n v="9"/>
    <n v="3"/>
    <s v="Medical"/>
    <n v="1"/>
    <n v="214"/>
    <n v="2"/>
    <x v="0"/>
    <n v="75"/>
    <x v="1"/>
    <n v="1"/>
    <x v="1"/>
    <n v="2"/>
    <x v="1"/>
    <n v="3346"/>
    <n v="11873"/>
    <n v="4"/>
    <s v="Y"/>
    <s v="Yes"/>
    <n v="20"/>
    <x v="1"/>
    <n v="2"/>
    <n v="80"/>
    <x v="1"/>
    <n v="9"/>
    <x v="1"/>
    <n v="2"/>
    <n v="1"/>
    <n v="0"/>
    <n v="0"/>
    <n v="0"/>
  </r>
  <r>
    <n v="40"/>
    <x v="1"/>
    <x v="0"/>
    <n v="630"/>
    <x v="0"/>
    <n v="4"/>
    <n v="4"/>
    <s v="Marketing"/>
    <n v="1"/>
    <n v="215"/>
    <n v="3"/>
    <x v="1"/>
    <n v="67"/>
    <x v="1"/>
    <n v="3"/>
    <x v="0"/>
    <n v="4"/>
    <x v="1"/>
    <n v="10855"/>
    <n v="8552"/>
    <n v="7"/>
    <s v="Y"/>
    <s v="No"/>
    <n v="11"/>
    <x v="0"/>
    <n v="1"/>
    <n v="80"/>
    <x v="1"/>
    <n v="15"/>
    <x v="2"/>
    <n v="2"/>
    <n v="12"/>
    <n v="11"/>
    <n v="2"/>
    <n v="11"/>
  </r>
  <r>
    <n v="34"/>
    <x v="1"/>
    <x v="1"/>
    <n v="303"/>
    <x v="0"/>
    <n v="2"/>
    <n v="4"/>
    <s v="Marketing"/>
    <n v="1"/>
    <n v="216"/>
    <n v="3"/>
    <x v="0"/>
    <n v="75"/>
    <x v="0"/>
    <n v="1"/>
    <x v="6"/>
    <n v="3"/>
    <x v="1"/>
    <n v="2231"/>
    <n v="11314"/>
    <n v="6"/>
    <s v="Y"/>
    <s v="No"/>
    <n v="18"/>
    <x v="0"/>
    <n v="4"/>
    <n v="80"/>
    <x v="1"/>
    <n v="6"/>
    <x v="1"/>
    <n v="3"/>
    <n v="4"/>
    <n v="3"/>
    <n v="1"/>
    <n v="2"/>
  </r>
  <r>
    <n v="22"/>
    <x v="1"/>
    <x v="0"/>
    <n v="1256"/>
    <x v="1"/>
    <n v="19"/>
    <n v="1"/>
    <s v="Medical"/>
    <n v="1"/>
    <n v="217"/>
    <n v="3"/>
    <x v="1"/>
    <n v="80"/>
    <x v="0"/>
    <n v="1"/>
    <x v="1"/>
    <n v="4"/>
    <x v="1"/>
    <n v="2323"/>
    <n v="11992"/>
    <n v="1"/>
    <s v="Y"/>
    <s v="No"/>
    <n v="24"/>
    <x v="1"/>
    <n v="1"/>
    <n v="80"/>
    <x v="3"/>
    <n v="2"/>
    <x v="6"/>
    <n v="3"/>
    <n v="2"/>
    <n v="2"/>
    <n v="2"/>
    <n v="2"/>
  </r>
  <r>
    <n v="27"/>
    <x v="1"/>
    <x v="2"/>
    <n v="691"/>
    <x v="1"/>
    <n v="9"/>
    <n v="3"/>
    <s v="Medical"/>
    <n v="1"/>
    <n v="218"/>
    <n v="4"/>
    <x v="1"/>
    <n v="57"/>
    <x v="0"/>
    <n v="1"/>
    <x v="1"/>
    <n v="2"/>
    <x v="2"/>
    <n v="2024"/>
    <n v="5970"/>
    <n v="6"/>
    <s v="Y"/>
    <s v="No"/>
    <n v="18"/>
    <x v="0"/>
    <n v="4"/>
    <n v="80"/>
    <x v="1"/>
    <n v="6"/>
    <x v="4"/>
    <n v="1"/>
    <n v="2"/>
    <n v="2"/>
    <n v="2"/>
    <n v="2"/>
  </r>
  <r>
    <n v="28"/>
    <x v="1"/>
    <x v="0"/>
    <n v="440"/>
    <x v="1"/>
    <n v="21"/>
    <n v="3"/>
    <s v="Medical"/>
    <n v="1"/>
    <n v="221"/>
    <n v="3"/>
    <x v="1"/>
    <n v="42"/>
    <x v="0"/>
    <n v="1"/>
    <x v="1"/>
    <n v="4"/>
    <x v="1"/>
    <n v="2713"/>
    <n v="6672"/>
    <n v="1"/>
    <s v="Y"/>
    <s v="No"/>
    <n v="11"/>
    <x v="0"/>
    <n v="3"/>
    <n v="80"/>
    <x v="1"/>
    <n v="5"/>
    <x v="2"/>
    <n v="1"/>
    <n v="5"/>
    <n v="2"/>
    <n v="0"/>
    <n v="2"/>
  </r>
  <r>
    <n v="57"/>
    <x v="1"/>
    <x v="0"/>
    <n v="334"/>
    <x v="1"/>
    <n v="24"/>
    <n v="2"/>
    <s v="Life Sciences"/>
    <n v="1"/>
    <n v="223"/>
    <n v="3"/>
    <x v="1"/>
    <n v="83"/>
    <x v="2"/>
    <n v="3"/>
    <x v="4"/>
    <n v="4"/>
    <x v="2"/>
    <n v="9439"/>
    <n v="23402"/>
    <n v="3"/>
    <s v="Y"/>
    <s v="Yes"/>
    <n v="16"/>
    <x v="0"/>
    <n v="2"/>
    <n v="80"/>
    <x v="1"/>
    <n v="12"/>
    <x v="2"/>
    <n v="1"/>
    <n v="5"/>
    <n v="3"/>
    <n v="1"/>
    <n v="4"/>
  </r>
  <r>
    <n v="27"/>
    <x v="1"/>
    <x v="2"/>
    <n v="1450"/>
    <x v="1"/>
    <n v="3"/>
    <n v="3"/>
    <s v="Medical"/>
    <n v="1"/>
    <n v="224"/>
    <n v="3"/>
    <x v="1"/>
    <n v="79"/>
    <x v="1"/>
    <n v="1"/>
    <x v="1"/>
    <n v="3"/>
    <x v="2"/>
    <n v="2566"/>
    <n v="25326"/>
    <n v="1"/>
    <s v="Y"/>
    <s v="Yes"/>
    <n v="15"/>
    <x v="0"/>
    <n v="4"/>
    <n v="80"/>
    <x v="1"/>
    <n v="1"/>
    <x v="2"/>
    <n v="2"/>
    <n v="1"/>
    <n v="1"/>
    <n v="0"/>
    <n v="1"/>
  </r>
  <r>
    <n v="50"/>
    <x v="1"/>
    <x v="0"/>
    <n v="1452"/>
    <x v="1"/>
    <n v="11"/>
    <n v="3"/>
    <s v="Life Sciences"/>
    <n v="1"/>
    <n v="226"/>
    <n v="3"/>
    <x v="0"/>
    <n v="53"/>
    <x v="0"/>
    <n v="5"/>
    <x v="5"/>
    <n v="2"/>
    <x v="0"/>
    <n v="19926"/>
    <n v="17053"/>
    <n v="3"/>
    <s v="Y"/>
    <s v="No"/>
    <n v="15"/>
    <x v="0"/>
    <n v="2"/>
    <n v="80"/>
    <x v="0"/>
    <n v="21"/>
    <x v="3"/>
    <n v="3"/>
    <n v="5"/>
    <n v="4"/>
    <n v="4"/>
    <n v="4"/>
  </r>
  <r>
    <n v="41"/>
    <x v="1"/>
    <x v="0"/>
    <n v="465"/>
    <x v="1"/>
    <n v="14"/>
    <n v="3"/>
    <s v="Life Sciences"/>
    <n v="1"/>
    <n v="227"/>
    <n v="1"/>
    <x v="1"/>
    <n v="56"/>
    <x v="0"/>
    <n v="1"/>
    <x v="1"/>
    <n v="3"/>
    <x v="2"/>
    <n v="2451"/>
    <n v="4609"/>
    <n v="4"/>
    <s v="Y"/>
    <s v="No"/>
    <n v="12"/>
    <x v="0"/>
    <n v="1"/>
    <n v="80"/>
    <x v="1"/>
    <n v="13"/>
    <x v="2"/>
    <n v="3"/>
    <n v="9"/>
    <n v="8"/>
    <n v="1"/>
    <n v="8"/>
  </r>
  <r>
    <n v="30"/>
    <x v="1"/>
    <x v="0"/>
    <n v="1339"/>
    <x v="0"/>
    <n v="5"/>
    <n v="3"/>
    <s v="Life Sciences"/>
    <n v="1"/>
    <n v="228"/>
    <n v="2"/>
    <x v="0"/>
    <n v="41"/>
    <x v="0"/>
    <n v="3"/>
    <x v="0"/>
    <n v="4"/>
    <x v="1"/>
    <n v="9419"/>
    <n v="8053"/>
    <n v="2"/>
    <s v="Y"/>
    <s v="No"/>
    <n v="12"/>
    <x v="0"/>
    <n v="3"/>
    <n v="80"/>
    <x v="1"/>
    <n v="12"/>
    <x v="2"/>
    <n v="3"/>
    <n v="10"/>
    <n v="9"/>
    <n v="7"/>
    <n v="4"/>
  </r>
  <r>
    <n v="38"/>
    <x v="1"/>
    <x v="0"/>
    <n v="702"/>
    <x v="0"/>
    <n v="1"/>
    <n v="4"/>
    <s v="Life Sciences"/>
    <n v="1"/>
    <n v="230"/>
    <n v="1"/>
    <x v="0"/>
    <n v="59"/>
    <x v="1"/>
    <n v="2"/>
    <x v="0"/>
    <n v="4"/>
    <x v="0"/>
    <n v="8686"/>
    <n v="12930"/>
    <n v="4"/>
    <s v="Y"/>
    <s v="No"/>
    <n v="22"/>
    <x v="1"/>
    <n v="3"/>
    <n v="80"/>
    <x v="0"/>
    <n v="12"/>
    <x v="2"/>
    <n v="4"/>
    <n v="8"/>
    <n v="3"/>
    <n v="0"/>
    <n v="7"/>
  </r>
  <r>
    <n v="32"/>
    <x v="1"/>
    <x v="0"/>
    <n v="120"/>
    <x v="1"/>
    <n v="6"/>
    <n v="5"/>
    <s v="Life Sciences"/>
    <n v="1"/>
    <n v="231"/>
    <n v="3"/>
    <x v="1"/>
    <n v="43"/>
    <x v="0"/>
    <n v="1"/>
    <x v="1"/>
    <n v="3"/>
    <x v="0"/>
    <n v="3038"/>
    <n v="12430"/>
    <n v="3"/>
    <s v="Y"/>
    <s v="No"/>
    <n v="20"/>
    <x v="1"/>
    <n v="1"/>
    <n v="80"/>
    <x v="0"/>
    <n v="8"/>
    <x v="2"/>
    <n v="3"/>
    <n v="5"/>
    <n v="4"/>
    <n v="1"/>
    <n v="4"/>
  </r>
  <r>
    <n v="27"/>
    <x v="1"/>
    <x v="0"/>
    <n v="1157"/>
    <x v="1"/>
    <n v="17"/>
    <n v="3"/>
    <s v="Technical Degree"/>
    <n v="1"/>
    <n v="233"/>
    <n v="3"/>
    <x v="1"/>
    <n v="51"/>
    <x v="0"/>
    <n v="1"/>
    <x v="1"/>
    <n v="2"/>
    <x v="1"/>
    <n v="3058"/>
    <n v="13364"/>
    <n v="0"/>
    <s v="Y"/>
    <s v="Yes"/>
    <n v="16"/>
    <x v="0"/>
    <n v="4"/>
    <n v="80"/>
    <x v="1"/>
    <n v="6"/>
    <x v="1"/>
    <n v="2"/>
    <n v="5"/>
    <n v="2"/>
    <n v="1"/>
    <n v="1"/>
  </r>
  <r>
    <n v="19"/>
    <x v="0"/>
    <x v="1"/>
    <n v="602"/>
    <x v="0"/>
    <n v="1"/>
    <n v="1"/>
    <s v="Technical Degree"/>
    <n v="1"/>
    <n v="235"/>
    <n v="3"/>
    <x v="0"/>
    <n v="100"/>
    <x v="3"/>
    <n v="1"/>
    <x v="6"/>
    <n v="1"/>
    <x v="0"/>
    <n v="2325"/>
    <n v="20989"/>
    <n v="0"/>
    <s v="Y"/>
    <s v="No"/>
    <n v="21"/>
    <x v="1"/>
    <n v="1"/>
    <n v="80"/>
    <x v="0"/>
    <n v="1"/>
    <x v="3"/>
    <n v="4"/>
    <n v="0"/>
    <n v="0"/>
    <n v="0"/>
    <n v="0"/>
  </r>
  <r>
    <n v="36"/>
    <x v="1"/>
    <x v="1"/>
    <n v="1480"/>
    <x v="1"/>
    <n v="3"/>
    <n v="2"/>
    <s v="Medical"/>
    <n v="1"/>
    <n v="238"/>
    <n v="4"/>
    <x v="1"/>
    <n v="30"/>
    <x v="0"/>
    <n v="1"/>
    <x v="2"/>
    <n v="2"/>
    <x v="0"/>
    <n v="2088"/>
    <n v="15062"/>
    <n v="4"/>
    <s v="Y"/>
    <s v="No"/>
    <n v="12"/>
    <x v="0"/>
    <n v="3"/>
    <n v="80"/>
    <x v="0"/>
    <n v="13"/>
    <x v="1"/>
    <n v="2"/>
    <n v="8"/>
    <n v="7"/>
    <n v="7"/>
    <n v="2"/>
  </r>
  <r>
    <n v="30"/>
    <x v="1"/>
    <x v="2"/>
    <n v="111"/>
    <x v="1"/>
    <n v="9"/>
    <n v="3"/>
    <s v="Medical"/>
    <n v="1"/>
    <n v="239"/>
    <n v="3"/>
    <x v="1"/>
    <n v="66"/>
    <x v="0"/>
    <n v="2"/>
    <x v="2"/>
    <n v="1"/>
    <x v="2"/>
    <n v="3072"/>
    <n v="11012"/>
    <n v="1"/>
    <s v="Y"/>
    <s v="No"/>
    <n v="11"/>
    <x v="0"/>
    <n v="3"/>
    <n v="80"/>
    <x v="3"/>
    <n v="12"/>
    <x v="5"/>
    <n v="3"/>
    <n v="12"/>
    <n v="9"/>
    <n v="6"/>
    <n v="10"/>
  </r>
  <r>
    <n v="45"/>
    <x v="1"/>
    <x v="0"/>
    <n v="1268"/>
    <x v="0"/>
    <n v="4"/>
    <n v="2"/>
    <s v="Life Sciences"/>
    <n v="1"/>
    <n v="240"/>
    <n v="3"/>
    <x v="0"/>
    <n v="30"/>
    <x v="0"/>
    <n v="2"/>
    <x v="0"/>
    <n v="1"/>
    <x v="2"/>
    <n v="5006"/>
    <n v="6319"/>
    <n v="4"/>
    <s v="Y"/>
    <s v="Yes"/>
    <n v="11"/>
    <x v="0"/>
    <n v="1"/>
    <n v="80"/>
    <x v="1"/>
    <n v="9"/>
    <x v="1"/>
    <n v="4"/>
    <n v="5"/>
    <n v="4"/>
    <n v="0"/>
    <n v="3"/>
  </r>
  <r>
    <n v="56"/>
    <x v="1"/>
    <x v="0"/>
    <n v="713"/>
    <x v="1"/>
    <n v="8"/>
    <n v="3"/>
    <s v="Life Sciences"/>
    <n v="1"/>
    <n v="241"/>
    <n v="3"/>
    <x v="0"/>
    <n v="67"/>
    <x v="0"/>
    <n v="1"/>
    <x v="1"/>
    <n v="1"/>
    <x v="2"/>
    <n v="4257"/>
    <n v="13939"/>
    <n v="4"/>
    <s v="Y"/>
    <s v="Yes"/>
    <n v="18"/>
    <x v="0"/>
    <n v="3"/>
    <n v="80"/>
    <x v="1"/>
    <n v="19"/>
    <x v="1"/>
    <n v="3"/>
    <n v="2"/>
    <n v="2"/>
    <n v="2"/>
    <n v="2"/>
  </r>
  <r>
    <n v="33"/>
    <x v="1"/>
    <x v="0"/>
    <n v="134"/>
    <x v="1"/>
    <n v="2"/>
    <n v="3"/>
    <s v="Life Sciences"/>
    <n v="1"/>
    <n v="242"/>
    <n v="3"/>
    <x v="1"/>
    <n v="90"/>
    <x v="0"/>
    <n v="1"/>
    <x v="1"/>
    <n v="4"/>
    <x v="0"/>
    <n v="2500"/>
    <n v="10515"/>
    <n v="0"/>
    <s v="Y"/>
    <s v="No"/>
    <n v="14"/>
    <x v="0"/>
    <n v="1"/>
    <n v="80"/>
    <x v="0"/>
    <n v="4"/>
    <x v="2"/>
    <n v="4"/>
    <n v="3"/>
    <n v="1"/>
    <n v="0"/>
    <n v="2"/>
  </r>
  <r>
    <n v="19"/>
    <x v="0"/>
    <x v="0"/>
    <n v="303"/>
    <x v="1"/>
    <n v="2"/>
    <n v="3"/>
    <s v="Life Sciences"/>
    <n v="1"/>
    <n v="243"/>
    <n v="2"/>
    <x v="1"/>
    <n v="47"/>
    <x v="1"/>
    <n v="1"/>
    <x v="2"/>
    <n v="4"/>
    <x v="0"/>
    <n v="1102"/>
    <n v="9241"/>
    <n v="1"/>
    <s v="Y"/>
    <s v="No"/>
    <n v="22"/>
    <x v="1"/>
    <n v="3"/>
    <n v="80"/>
    <x v="0"/>
    <n v="1"/>
    <x v="1"/>
    <n v="2"/>
    <n v="1"/>
    <n v="0"/>
    <n v="1"/>
    <n v="0"/>
  </r>
  <r>
    <n v="46"/>
    <x v="1"/>
    <x v="0"/>
    <n v="526"/>
    <x v="0"/>
    <n v="1"/>
    <n v="2"/>
    <s v="Marketing"/>
    <n v="1"/>
    <n v="244"/>
    <n v="2"/>
    <x v="0"/>
    <n v="92"/>
    <x v="0"/>
    <n v="3"/>
    <x v="0"/>
    <n v="1"/>
    <x v="2"/>
    <n v="10453"/>
    <n v="2137"/>
    <n v="1"/>
    <s v="Y"/>
    <s v="No"/>
    <n v="25"/>
    <x v="1"/>
    <n v="3"/>
    <n v="80"/>
    <x v="2"/>
    <n v="24"/>
    <x v="2"/>
    <n v="3"/>
    <n v="24"/>
    <n v="13"/>
    <n v="15"/>
    <n v="7"/>
  </r>
  <r>
    <n v="38"/>
    <x v="1"/>
    <x v="0"/>
    <n v="1380"/>
    <x v="1"/>
    <n v="9"/>
    <n v="2"/>
    <s v="Life Sciences"/>
    <n v="1"/>
    <n v="245"/>
    <n v="3"/>
    <x v="0"/>
    <n v="75"/>
    <x v="0"/>
    <n v="1"/>
    <x v="2"/>
    <n v="4"/>
    <x v="0"/>
    <n v="2288"/>
    <n v="6319"/>
    <n v="1"/>
    <s v="Y"/>
    <s v="No"/>
    <n v="12"/>
    <x v="0"/>
    <n v="3"/>
    <n v="80"/>
    <x v="0"/>
    <n v="2"/>
    <x v="1"/>
    <n v="3"/>
    <n v="2"/>
    <n v="2"/>
    <n v="2"/>
    <n v="1"/>
  </r>
  <r>
    <n v="31"/>
    <x v="1"/>
    <x v="0"/>
    <n v="140"/>
    <x v="1"/>
    <n v="12"/>
    <n v="1"/>
    <s v="Medical"/>
    <n v="1"/>
    <n v="246"/>
    <n v="3"/>
    <x v="0"/>
    <n v="95"/>
    <x v="0"/>
    <n v="1"/>
    <x v="1"/>
    <n v="4"/>
    <x v="1"/>
    <n v="3929"/>
    <n v="6984"/>
    <n v="8"/>
    <s v="Y"/>
    <s v="Yes"/>
    <n v="23"/>
    <x v="1"/>
    <n v="3"/>
    <n v="80"/>
    <x v="1"/>
    <n v="7"/>
    <x v="0"/>
    <n v="3"/>
    <n v="4"/>
    <n v="2"/>
    <n v="0"/>
    <n v="2"/>
  </r>
  <r>
    <n v="34"/>
    <x v="1"/>
    <x v="0"/>
    <n v="629"/>
    <x v="1"/>
    <n v="27"/>
    <n v="2"/>
    <s v="Medical"/>
    <n v="1"/>
    <n v="247"/>
    <n v="4"/>
    <x v="0"/>
    <n v="95"/>
    <x v="0"/>
    <n v="1"/>
    <x v="1"/>
    <n v="2"/>
    <x v="0"/>
    <n v="2311"/>
    <n v="5711"/>
    <n v="2"/>
    <s v="Y"/>
    <s v="No"/>
    <n v="15"/>
    <x v="0"/>
    <n v="4"/>
    <n v="80"/>
    <x v="0"/>
    <n v="9"/>
    <x v="1"/>
    <n v="3"/>
    <n v="3"/>
    <n v="2"/>
    <n v="1"/>
    <n v="2"/>
  </r>
  <r>
    <n v="41"/>
    <x v="0"/>
    <x v="0"/>
    <n v="1356"/>
    <x v="0"/>
    <n v="20"/>
    <n v="2"/>
    <s v="Marketing"/>
    <n v="1"/>
    <n v="248"/>
    <n v="2"/>
    <x v="0"/>
    <n v="70"/>
    <x v="0"/>
    <n v="1"/>
    <x v="6"/>
    <n v="2"/>
    <x v="0"/>
    <n v="3140"/>
    <n v="21728"/>
    <n v="1"/>
    <s v="Y"/>
    <s v="Yes"/>
    <n v="22"/>
    <x v="1"/>
    <n v="4"/>
    <n v="80"/>
    <x v="0"/>
    <n v="4"/>
    <x v="3"/>
    <n v="2"/>
    <n v="4"/>
    <n v="3"/>
    <n v="0"/>
    <n v="2"/>
  </r>
  <r>
    <n v="50"/>
    <x v="1"/>
    <x v="0"/>
    <n v="328"/>
    <x v="1"/>
    <n v="1"/>
    <n v="3"/>
    <s v="Medical"/>
    <n v="1"/>
    <n v="249"/>
    <n v="3"/>
    <x v="1"/>
    <n v="86"/>
    <x v="1"/>
    <n v="1"/>
    <x v="2"/>
    <n v="3"/>
    <x v="1"/>
    <n v="3690"/>
    <n v="3425"/>
    <n v="2"/>
    <s v="Y"/>
    <s v="No"/>
    <n v="15"/>
    <x v="0"/>
    <n v="4"/>
    <n v="80"/>
    <x v="1"/>
    <n v="5"/>
    <x v="2"/>
    <n v="2"/>
    <n v="3"/>
    <n v="2"/>
    <n v="0"/>
    <n v="2"/>
  </r>
  <r>
    <n v="53"/>
    <x v="1"/>
    <x v="0"/>
    <n v="1084"/>
    <x v="1"/>
    <n v="13"/>
    <n v="2"/>
    <s v="Medical"/>
    <n v="1"/>
    <n v="250"/>
    <n v="4"/>
    <x v="0"/>
    <n v="57"/>
    <x v="2"/>
    <n v="2"/>
    <x v="3"/>
    <n v="1"/>
    <x v="2"/>
    <n v="4450"/>
    <n v="26250"/>
    <n v="1"/>
    <s v="Y"/>
    <s v="No"/>
    <n v="11"/>
    <x v="0"/>
    <n v="3"/>
    <n v="80"/>
    <x v="3"/>
    <n v="5"/>
    <x v="1"/>
    <n v="3"/>
    <n v="4"/>
    <n v="2"/>
    <n v="1"/>
    <n v="3"/>
  </r>
  <r>
    <n v="33"/>
    <x v="1"/>
    <x v="0"/>
    <n v="931"/>
    <x v="1"/>
    <n v="14"/>
    <n v="3"/>
    <s v="Medical"/>
    <n v="1"/>
    <n v="252"/>
    <n v="4"/>
    <x v="0"/>
    <n v="72"/>
    <x v="0"/>
    <n v="1"/>
    <x v="1"/>
    <n v="2"/>
    <x v="1"/>
    <n v="2756"/>
    <n v="4673"/>
    <n v="1"/>
    <s v="Y"/>
    <s v="No"/>
    <n v="13"/>
    <x v="0"/>
    <n v="4"/>
    <n v="80"/>
    <x v="1"/>
    <n v="8"/>
    <x v="3"/>
    <n v="3"/>
    <n v="8"/>
    <n v="7"/>
    <n v="1"/>
    <n v="6"/>
  </r>
  <r>
    <n v="40"/>
    <x v="1"/>
    <x v="0"/>
    <n v="989"/>
    <x v="1"/>
    <n v="4"/>
    <n v="1"/>
    <s v="Medical"/>
    <n v="1"/>
    <n v="253"/>
    <n v="4"/>
    <x v="0"/>
    <n v="46"/>
    <x v="0"/>
    <n v="5"/>
    <x v="5"/>
    <n v="3"/>
    <x v="1"/>
    <n v="19033"/>
    <n v="6499"/>
    <n v="1"/>
    <s v="Y"/>
    <s v="No"/>
    <n v="14"/>
    <x v="0"/>
    <n v="2"/>
    <n v="80"/>
    <x v="1"/>
    <n v="21"/>
    <x v="2"/>
    <n v="3"/>
    <n v="20"/>
    <n v="8"/>
    <n v="9"/>
    <n v="9"/>
  </r>
  <r>
    <n v="55"/>
    <x v="1"/>
    <x v="0"/>
    <n v="692"/>
    <x v="1"/>
    <n v="14"/>
    <n v="4"/>
    <s v="Medical"/>
    <n v="1"/>
    <n v="254"/>
    <n v="3"/>
    <x v="1"/>
    <n v="61"/>
    <x v="2"/>
    <n v="5"/>
    <x v="7"/>
    <n v="2"/>
    <x v="0"/>
    <n v="18722"/>
    <n v="13339"/>
    <n v="8"/>
    <s v="Y"/>
    <s v="No"/>
    <n v="11"/>
    <x v="0"/>
    <n v="4"/>
    <n v="80"/>
    <x v="0"/>
    <n v="36"/>
    <x v="1"/>
    <n v="3"/>
    <n v="24"/>
    <n v="15"/>
    <n v="2"/>
    <n v="15"/>
  </r>
  <r>
    <n v="34"/>
    <x v="1"/>
    <x v="1"/>
    <n v="1069"/>
    <x v="1"/>
    <n v="2"/>
    <n v="1"/>
    <s v="Life Sciences"/>
    <n v="1"/>
    <n v="256"/>
    <n v="4"/>
    <x v="1"/>
    <n v="45"/>
    <x v="1"/>
    <n v="2"/>
    <x v="3"/>
    <n v="3"/>
    <x v="1"/>
    <n v="9547"/>
    <n v="14074"/>
    <n v="1"/>
    <s v="Y"/>
    <s v="No"/>
    <n v="17"/>
    <x v="0"/>
    <n v="3"/>
    <n v="80"/>
    <x v="0"/>
    <n v="10"/>
    <x v="2"/>
    <n v="2"/>
    <n v="10"/>
    <n v="9"/>
    <n v="1"/>
    <n v="9"/>
  </r>
  <r>
    <n v="51"/>
    <x v="1"/>
    <x v="0"/>
    <n v="313"/>
    <x v="1"/>
    <n v="3"/>
    <n v="3"/>
    <s v="Medical"/>
    <n v="1"/>
    <n v="258"/>
    <n v="4"/>
    <x v="0"/>
    <n v="98"/>
    <x v="0"/>
    <n v="4"/>
    <x v="4"/>
    <n v="2"/>
    <x v="0"/>
    <n v="13734"/>
    <n v="7192"/>
    <n v="3"/>
    <s v="Y"/>
    <s v="No"/>
    <n v="18"/>
    <x v="0"/>
    <n v="3"/>
    <n v="80"/>
    <x v="0"/>
    <n v="21"/>
    <x v="6"/>
    <n v="3"/>
    <n v="7"/>
    <n v="7"/>
    <n v="1"/>
    <n v="0"/>
  </r>
  <r>
    <n v="52"/>
    <x v="1"/>
    <x v="0"/>
    <n v="699"/>
    <x v="1"/>
    <n v="1"/>
    <n v="4"/>
    <s v="Life Sciences"/>
    <n v="1"/>
    <n v="259"/>
    <n v="3"/>
    <x v="1"/>
    <n v="65"/>
    <x v="1"/>
    <n v="5"/>
    <x v="5"/>
    <n v="3"/>
    <x v="1"/>
    <n v="19999"/>
    <n v="5678"/>
    <n v="0"/>
    <s v="Y"/>
    <s v="No"/>
    <n v="14"/>
    <x v="0"/>
    <n v="1"/>
    <n v="80"/>
    <x v="1"/>
    <n v="34"/>
    <x v="3"/>
    <n v="3"/>
    <n v="33"/>
    <n v="18"/>
    <n v="11"/>
    <n v="9"/>
  </r>
  <r>
    <n v="27"/>
    <x v="1"/>
    <x v="0"/>
    <n v="894"/>
    <x v="1"/>
    <n v="9"/>
    <n v="3"/>
    <s v="Medical"/>
    <n v="1"/>
    <n v="260"/>
    <n v="4"/>
    <x v="0"/>
    <n v="99"/>
    <x v="0"/>
    <n v="1"/>
    <x v="1"/>
    <n v="2"/>
    <x v="0"/>
    <n v="2279"/>
    <n v="11781"/>
    <n v="1"/>
    <s v="Y"/>
    <s v="No"/>
    <n v="16"/>
    <x v="0"/>
    <n v="4"/>
    <n v="80"/>
    <x v="0"/>
    <n v="7"/>
    <x v="2"/>
    <n v="2"/>
    <n v="7"/>
    <n v="7"/>
    <n v="0"/>
    <n v="3"/>
  </r>
  <r>
    <n v="35"/>
    <x v="0"/>
    <x v="0"/>
    <n v="556"/>
    <x v="1"/>
    <n v="23"/>
    <n v="2"/>
    <s v="Life Sciences"/>
    <n v="1"/>
    <n v="261"/>
    <n v="2"/>
    <x v="1"/>
    <n v="50"/>
    <x v="1"/>
    <n v="2"/>
    <x v="3"/>
    <n v="3"/>
    <x v="1"/>
    <n v="5916"/>
    <n v="15497"/>
    <n v="3"/>
    <s v="Y"/>
    <s v="Yes"/>
    <n v="13"/>
    <x v="0"/>
    <n v="1"/>
    <n v="80"/>
    <x v="0"/>
    <n v="8"/>
    <x v="4"/>
    <n v="3"/>
    <n v="1"/>
    <n v="0"/>
    <n v="0"/>
    <n v="1"/>
  </r>
  <r>
    <n v="43"/>
    <x v="1"/>
    <x v="2"/>
    <n v="1344"/>
    <x v="1"/>
    <n v="7"/>
    <n v="3"/>
    <s v="Medical"/>
    <n v="1"/>
    <n v="262"/>
    <n v="4"/>
    <x v="1"/>
    <n v="37"/>
    <x v="2"/>
    <n v="1"/>
    <x v="1"/>
    <n v="4"/>
    <x v="2"/>
    <n v="2089"/>
    <n v="5228"/>
    <n v="4"/>
    <s v="Y"/>
    <s v="No"/>
    <n v="14"/>
    <x v="0"/>
    <n v="4"/>
    <n v="80"/>
    <x v="2"/>
    <n v="7"/>
    <x v="1"/>
    <n v="4"/>
    <n v="5"/>
    <n v="4"/>
    <n v="2"/>
    <n v="2"/>
  </r>
  <r>
    <n v="45"/>
    <x v="1"/>
    <x v="2"/>
    <n v="1195"/>
    <x v="1"/>
    <n v="2"/>
    <n v="2"/>
    <s v="Medical"/>
    <n v="1"/>
    <n v="264"/>
    <n v="1"/>
    <x v="1"/>
    <n v="65"/>
    <x v="1"/>
    <n v="4"/>
    <x v="5"/>
    <n v="4"/>
    <x v="1"/>
    <n v="16792"/>
    <n v="20462"/>
    <n v="9"/>
    <s v="Y"/>
    <s v="No"/>
    <n v="23"/>
    <x v="1"/>
    <n v="4"/>
    <n v="80"/>
    <x v="1"/>
    <n v="22"/>
    <x v="4"/>
    <n v="3"/>
    <n v="20"/>
    <n v="8"/>
    <n v="11"/>
    <n v="8"/>
  </r>
  <r>
    <n v="37"/>
    <x v="1"/>
    <x v="0"/>
    <n v="290"/>
    <x v="1"/>
    <n v="21"/>
    <n v="3"/>
    <s v="Life Sciences"/>
    <n v="1"/>
    <n v="267"/>
    <n v="2"/>
    <x v="1"/>
    <n v="65"/>
    <x v="2"/>
    <n v="1"/>
    <x v="1"/>
    <n v="1"/>
    <x v="1"/>
    <n v="3564"/>
    <n v="22977"/>
    <n v="1"/>
    <s v="Y"/>
    <s v="Yes"/>
    <n v="12"/>
    <x v="0"/>
    <n v="1"/>
    <n v="80"/>
    <x v="1"/>
    <n v="8"/>
    <x v="1"/>
    <n v="2"/>
    <n v="8"/>
    <n v="7"/>
    <n v="1"/>
    <n v="7"/>
  </r>
  <r>
    <n v="35"/>
    <x v="1"/>
    <x v="1"/>
    <n v="138"/>
    <x v="1"/>
    <n v="2"/>
    <n v="3"/>
    <s v="Medical"/>
    <n v="1"/>
    <n v="269"/>
    <n v="2"/>
    <x v="0"/>
    <n v="37"/>
    <x v="0"/>
    <n v="2"/>
    <x v="2"/>
    <n v="2"/>
    <x v="0"/>
    <n v="4425"/>
    <n v="15986"/>
    <n v="5"/>
    <s v="Y"/>
    <s v="No"/>
    <n v="11"/>
    <x v="0"/>
    <n v="4"/>
    <n v="80"/>
    <x v="0"/>
    <n v="10"/>
    <x v="3"/>
    <n v="3"/>
    <n v="6"/>
    <n v="2"/>
    <n v="1"/>
    <n v="2"/>
  </r>
  <r>
    <n v="42"/>
    <x v="1"/>
    <x v="2"/>
    <n v="926"/>
    <x v="1"/>
    <n v="21"/>
    <n v="2"/>
    <s v="Medical"/>
    <n v="1"/>
    <n v="270"/>
    <n v="3"/>
    <x v="0"/>
    <n v="36"/>
    <x v="0"/>
    <n v="2"/>
    <x v="3"/>
    <n v="3"/>
    <x v="2"/>
    <n v="5265"/>
    <n v="16439"/>
    <n v="2"/>
    <s v="Y"/>
    <s v="No"/>
    <n v="16"/>
    <x v="0"/>
    <n v="2"/>
    <n v="80"/>
    <x v="1"/>
    <n v="11"/>
    <x v="3"/>
    <n v="3"/>
    <n v="5"/>
    <n v="3"/>
    <n v="0"/>
    <n v="2"/>
  </r>
  <r>
    <n v="38"/>
    <x v="1"/>
    <x v="0"/>
    <n v="1261"/>
    <x v="1"/>
    <n v="2"/>
    <n v="4"/>
    <s v="Life Sciences"/>
    <n v="1"/>
    <n v="271"/>
    <n v="4"/>
    <x v="1"/>
    <n v="88"/>
    <x v="0"/>
    <n v="2"/>
    <x v="3"/>
    <n v="3"/>
    <x v="1"/>
    <n v="6553"/>
    <n v="7259"/>
    <n v="9"/>
    <s v="Y"/>
    <s v="No"/>
    <n v="14"/>
    <x v="0"/>
    <n v="2"/>
    <n v="80"/>
    <x v="0"/>
    <n v="14"/>
    <x v="1"/>
    <n v="3"/>
    <n v="1"/>
    <n v="0"/>
    <n v="0"/>
    <n v="0"/>
  </r>
  <r>
    <n v="38"/>
    <x v="1"/>
    <x v="0"/>
    <n v="1084"/>
    <x v="1"/>
    <n v="29"/>
    <n v="3"/>
    <s v="Technical Degree"/>
    <n v="1"/>
    <n v="273"/>
    <n v="4"/>
    <x v="1"/>
    <n v="54"/>
    <x v="0"/>
    <n v="2"/>
    <x v="3"/>
    <n v="4"/>
    <x v="1"/>
    <n v="6261"/>
    <n v="4185"/>
    <n v="3"/>
    <s v="Y"/>
    <s v="No"/>
    <n v="18"/>
    <x v="0"/>
    <n v="1"/>
    <n v="80"/>
    <x v="1"/>
    <n v="9"/>
    <x v="1"/>
    <n v="1"/>
    <n v="7"/>
    <n v="7"/>
    <n v="1"/>
    <n v="7"/>
  </r>
  <r>
    <n v="27"/>
    <x v="1"/>
    <x v="1"/>
    <n v="472"/>
    <x v="1"/>
    <n v="1"/>
    <n v="1"/>
    <s v="Technical Degree"/>
    <n v="1"/>
    <n v="274"/>
    <n v="3"/>
    <x v="1"/>
    <n v="60"/>
    <x v="1"/>
    <n v="2"/>
    <x v="3"/>
    <n v="1"/>
    <x v="1"/>
    <n v="4298"/>
    <n v="9679"/>
    <n v="5"/>
    <s v="Y"/>
    <s v="No"/>
    <n v="19"/>
    <x v="0"/>
    <n v="3"/>
    <n v="80"/>
    <x v="1"/>
    <n v="6"/>
    <x v="4"/>
    <n v="3"/>
    <n v="2"/>
    <n v="2"/>
    <n v="2"/>
    <n v="0"/>
  </r>
  <r>
    <n v="49"/>
    <x v="1"/>
    <x v="2"/>
    <n v="1002"/>
    <x v="1"/>
    <n v="18"/>
    <n v="4"/>
    <s v="Life Sciences"/>
    <n v="1"/>
    <n v="275"/>
    <n v="4"/>
    <x v="1"/>
    <n v="92"/>
    <x v="0"/>
    <n v="2"/>
    <x v="3"/>
    <n v="4"/>
    <x v="2"/>
    <n v="6804"/>
    <n v="23793"/>
    <n v="1"/>
    <s v="Y"/>
    <s v="Yes"/>
    <n v="15"/>
    <x v="0"/>
    <n v="1"/>
    <n v="80"/>
    <x v="3"/>
    <n v="7"/>
    <x v="0"/>
    <n v="3"/>
    <n v="7"/>
    <n v="7"/>
    <n v="1"/>
    <n v="7"/>
  </r>
  <r>
    <n v="34"/>
    <x v="1"/>
    <x v="1"/>
    <n v="878"/>
    <x v="1"/>
    <n v="10"/>
    <n v="4"/>
    <s v="Medical"/>
    <n v="1"/>
    <n v="277"/>
    <n v="4"/>
    <x v="1"/>
    <n v="43"/>
    <x v="0"/>
    <n v="1"/>
    <x v="1"/>
    <n v="3"/>
    <x v="2"/>
    <n v="3815"/>
    <n v="5972"/>
    <n v="1"/>
    <s v="Y"/>
    <s v="Yes"/>
    <n v="17"/>
    <x v="0"/>
    <n v="4"/>
    <n v="80"/>
    <x v="1"/>
    <n v="5"/>
    <x v="5"/>
    <n v="4"/>
    <n v="5"/>
    <n v="3"/>
    <n v="2"/>
    <n v="0"/>
  </r>
  <r>
    <n v="40"/>
    <x v="1"/>
    <x v="0"/>
    <n v="905"/>
    <x v="1"/>
    <n v="19"/>
    <n v="2"/>
    <s v="Medical"/>
    <n v="1"/>
    <n v="281"/>
    <n v="3"/>
    <x v="1"/>
    <n v="99"/>
    <x v="0"/>
    <n v="2"/>
    <x v="2"/>
    <n v="4"/>
    <x v="1"/>
    <n v="2741"/>
    <n v="16523"/>
    <n v="8"/>
    <s v="Y"/>
    <s v="Yes"/>
    <n v="15"/>
    <x v="0"/>
    <n v="3"/>
    <n v="80"/>
    <x v="1"/>
    <n v="15"/>
    <x v="2"/>
    <n v="4"/>
    <n v="7"/>
    <n v="2"/>
    <n v="3"/>
    <n v="7"/>
  </r>
  <r>
    <n v="38"/>
    <x v="0"/>
    <x v="0"/>
    <n v="1180"/>
    <x v="1"/>
    <n v="29"/>
    <n v="1"/>
    <s v="Medical"/>
    <n v="1"/>
    <n v="282"/>
    <n v="2"/>
    <x v="1"/>
    <n v="70"/>
    <x v="0"/>
    <n v="2"/>
    <x v="4"/>
    <n v="1"/>
    <x v="1"/>
    <n v="6673"/>
    <n v="11354"/>
    <n v="7"/>
    <s v="Y"/>
    <s v="Yes"/>
    <n v="19"/>
    <x v="0"/>
    <n v="2"/>
    <n v="80"/>
    <x v="0"/>
    <n v="17"/>
    <x v="2"/>
    <n v="3"/>
    <n v="1"/>
    <n v="0"/>
    <n v="0"/>
    <n v="0"/>
  </r>
  <r>
    <n v="29"/>
    <x v="0"/>
    <x v="0"/>
    <n v="121"/>
    <x v="0"/>
    <n v="27"/>
    <n v="3"/>
    <s v="Marketing"/>
    <n v="1"/>
    <n v="283"/>
    <n v="2"/>
    <x v="0"/>
    <n v="35"/>
    <x v="0"/>
    <n v="3"/>
    <x v="0"/>
    <n v="4"/>
    <x v="1"/>
    <n v="7639"/>
    <n v="24525"/>
    <n v="1"/>
    <s v="Y"/>
    <s v="No"/>
    <n v="22"/>
    <x v="1"/>
    <n v="4"/>
    <n v="80"/>
    <x v="2"/>
    <n v="10"/>
    <x v="1"/>
    <n v="2"/>
    <n v="10"/>
    <n v="4"/>
    <n v="1"/>
    <n v="9"/>
  </r>
  <r>
    <n v="22"/>
    <x v="1"/>
    <x v="0"/>
    <n v="1136"/>
    <x v="1"/>
    <n v="5"/>
    <n v="3"/>
    <s v="Life Sciences"/>
    <n v="1"/>
    <n v="284"/>
    <n v="4"/>
    <x v="1"/>
    <n v="60"/>
    <x v="2"/>
    <n v="1"/>
    <x v="1"/>
    <n v="2"/>
    <x v="2"/>
    <n v="2328"/>
    <n v="12392"/>
    <n v="1"/>
    <s v="Y"/>
    <s v="Yes"/>
    <n v="16"/>
    <x v="0"/>
    <n v="1"/>
    <n v="80"/>
    <x v="1"/>
    <n v="4"/>
    <x v="2"/>
    <n v="2"/>
    <n v="4"/>
    <n v="2"/>
    <n v="2"/>
    <n v="2"/>
  </r>
  <r>
    <n v="36"/>
    <x v="1"/>
    <x v="1"/>
    <n v="635"/>
    <x v="1"/>
    <n v="18"/>
    <n v="1"/>
    <s v="Medical"/>
    <n v="1"/>
    <n v="286"/>
    <n v="2"/>
    <x v="0"/>
    <n v="73"/>
    <x v="0"/>
    <n v="1"/>
    <x v="2"/>
    <n v="4"/>
    <x v="0"/>
    <n v="2153"/>
    <n v="7703"/>
    <n v="1"/>
    <s v="Y"/>
    <s v="No"/>
    <n v="13"/>
    <x v="0"/>
    <n v="1"/>
    <n v="80"/>
    <x v="0"/>
    <n v="8"/>
    <x v="2"/>
    <n v="3"/>
    <n v="8"/>
    <n v="1"/>
    <n v="1"/>
    <n v="7"/>
  </r>
  <r>
    <n v="40"/>
    <x v="1"/>
    <x v="2"/>
    <n v="1151"/>
    <x v="1"/>
    <n v="9"/>
    <n v="5"/>
    <s v="Life Sciences"/>
    <n v="1"/>
    <n v="287"/>
    <n v="4"/>
    <x v="1"/>
    <n v="63"/>
    <x v="1"/>
    <n v="2"/>
    <x v="4"/>
    <n v="4"/>
    <x v="1"/>
    <n v="4876"/>
    <n v="14242"/>
    <n v="9"/>
    <s v="Y"/>
    <s v="No"/>
    <n v="14"/>
    <x v="0"/>
    <n v="4"/>
    <n v="80"/>
    <x v="1"/>
    <n v="5"/>
    <x v="3"/>
    <n v="1"/>
    <n v="3"/>
    <n v="2"/>
    <n v="0"/>
    <n v="2"/>
  </r>
  <r>
    <n v="46"/>
    <x v="1"/>
    <x v="0"/>
    <n v="644"/>
    <x v="1"/>
    <n v="1"/>
    <n v="4"/>
    <s v="Medical"/>
    <n v="1"/>
    <n v="288"/>
    <n v="4"/>
    <x v="1"/>
    <n v="97"/>
    <x v="0"/>
    <n v="3"/>
    <x v="4"/>
    <n v="1"/>
    <x v="2"/>
    <n v="9396"/>
    <n v="12368"/>
    <n v="7"/>
    <s v="Y"/>
    <s v="No"/>
    <n v="16"/>
    <x v="0"/>
    <n v="3"/>
    <n v="80"/>
    <x v="1"/>
    <n v="17"/>
    <x v="1"/>
    <n v="3"/>
    <n v="4"/>
    <n v="2"/>
    <n v="0"/>
    <n v="3"/>
  </r>
  <r>
    <n v="32"/>
    <x v="0"/>
    <x v="0"/>
    <n v="1045"/>
    <x v="0"/>
    <n v="4"/>
    <n v="4"/>
    <s v="Medical"/>
    <n v="1"/>
    <n v="291"/>
    <n v="4"/>
    <x v="1"/>
    <n v="32"/>
    <x v="3"/>
    <n v="3"/>
    <x v="0"/>
    <n v="4"/>
    <x v="1"/>
    <n v="10400"/>
    <n v="25812"/>
    <n v="1"/>
    <s v="Y"/>
    <s v="No"/>
    <n v="11"/>
    <x v="0"/>
    <n v="3"/>
    <n v="80"/>
    <x v="0"/>
    <n v="14"/>
    <x v="2"/>
    <n v="2"/>
    <n v="14"/>
    <n v="8"/>
    <n v="9"/>
    <n v="8"/>
  </r>
  <r>
    <n v="30"/>
    <x v="1"/>
    <x v="2"/>
    <n v="829"/>
    <x v="1"/>
    <n v="1"/>
    <n v="1"/>
    <s v="Life Sciences"/>
    <n v="1"/>
    <n v="292"/>
    <n v="3"/>
    <x v="1"/>
    <n v="88"/>
    <x v="1"/>
    <n v="3"/>
    <x v="3"/>
    <n v="3"/>
    <x v="0"/>
    <n v="8474"/>
    <n v="20925"/>
    <n v="1"/>
    <s v="Y"/>
    <s v="No"/>
    <n v="22"/>
    <x v="1"/>
    <n v="3"/>
    <n v="80"/>
    <x v="0"/>
    <n v="12"/>
    <x v="2"/>
    <n v="3"/>
    <n v="11"/>
    <n v="8"/>
    <n v="5"/>
    <n v="8"/>
  </r>
  <r>
    <n v="27"/>
    <x v="1"/>
    <x v="1"/>
    <n v="1242"/>
    <x v="0"/>
    <n v="20"/>
    <n v="3"/>
    <s v="Life Sciences"/>
    <n v="1"/>
    <n v="293"/>
    <n v="4"/>
    <x v="0"/>
    <n v="90"/>
    <x v="0"/>
    <n v="2"/>
    <x v="0"/>
    <n v="3"/>
    <x v="0"/>
    <n v="9981"/>
    <n v="12916"/>
    <n v="1"/>
    <s v="Y"/>
    <s v="No"/>
    <n v="14"/>
    <x v="0"/>
    <n v="4"/>
    <n v="80"/>
    <x v="0"/>
    <n v="7"/>
    <x v="2"/>
    <n v="3"/>
    <n v="7"/>
    <n v="7"/>
    <n v="0"/>
    <n v="7"/>
  </r>
  <r>
    <n v="51"/>
    <x v="1"/>
    <x v="0"/>
    <n v="1469"/>
    <x v="1"/>
    <n v="8"/>
    <n v="4"/>
    <s v="Life Sciences"/>
    <n v="1"/>
    <n v="296"/>
    <n v="2"/>
    <x v="1"/>
    <n v="81"/>
    <x v="1"/>
    <n v="3"/>
    <x v="7"/>
    <n v="2"/>
    <x v="1"/>
    <n v="12490"/>
    <n v="15736"/>
    <n v="5"/>
    <s v="Y"/>
    <s v="No"/>
    <n v="16"/>
    <x v="0"/>
    <n v="4"/>
    <n v="80"/>
    <x v="3"/>
    <n v="16"/>
    <x v="3"/>
    <n v="1"/>
    <n v="10"/>
    <n v="9"/>
    <n v="4"/>
    <n v="7"/>
  </r>
  <r>
    <n v="30"/>
    <x v="0"/>
    <x v="0"/>
    <n v="1005"/>
    <x v="1"/>
    <n v="3"/>
    <n v="3"/>
    <s v="Technical Degree"/>
    <n v="1"/>
    <n v="297"/>
    <n v="4"/>
    <x v="0"/>
    <n v="88"/>
    <x v="0"/>
    <n v="1"/>
    <x v="1"/>
    <n v="1"/>
    <x v="0"/>
    <n v="2657"/>
    <n v="8556"/>
    <n v="5"/>
    <s v="Y"/>
    <s v="Yes"/>
    <n v="11"/>
    <x v="0"/>
    <n v="3"/>
    <n v="80"/>
    <x v="0"/>
    <n v="8"/>
    <x v="3"/>
    <n v="3"/>
    <n v="5"/>
    <n v="2"/>
    <n v="0"/>
    <n v="4"/>
  </r>
  <r>
    <n v="41"/>
    <x v="1"/>
    <x v="0"/>
    <n v="896"/>
    <x v="0"/>
    <n v="6"/>
    <n v="3"/>
    <s v="Life Sciences"/>
    <n v="1"/>
    <n v="298"/>
    <n v="4"/>
    <x v="0"/>
    <n v="75"/>
    <x v="0"/>
    <n v="3"/>
    <x v="5"/>
    <n v="4"/>
    <x v="0"/>
    <n v="13591"/>
    <n v="14674"/>
    <n v="3"/>
    <s v="Y"/>
    <s v="Yes"/>
    <n v="18"/>
    <x v="0"/>
    <n v="3"/>
    <n v="80"/>
    <x v="0"/>
    <n v="16"/>
    <x v="1"/>
    <n v="3"/>
    <n v="1"/>
    <n v="0"/>
    <n v="0"/>
    <n v="0"/>
  </r>
  <r>
    <n v="30"/>
    <x v="0"/>
    <x v="1"/>
    <n v="334"/>
    <x v="0"/>
    <n v="26"/>
    <n v="4"/>
    <s v="Marketing"/>
    <n v="1"/>
    <n v="299"/>
    <n v="3"/>
    <x v="0"/>
    <n v="52"/>
    <x v="1"/>
    <n v="2"/>
    <x v="0"/>
    <n v="1"/>
    <x v="0"/>
    <n v="6696"/>
    <n v="22967"/>
    <n v="5"/>
    <s v="Y"/>
    <s v="No"/>
    <n v="15"/>
    <x v="0"/>
    <n v="3"/>
    <n v="80"/>
    <x v="0"/>
    <n v="9"/>
    <x v="3"/>
    <n v="2"/>
    <n v="6"/>
    <n v="3"/>
    <n v="0"/>
    <n v="1"/>
  </r>
  <r>
    <n v="29"/>
    <x v="0"/>
    <x v="0"/>
    <n v="992"/>
    <x v="1"/>
    <n v="1"/>
    <n v="3"/>
    <s v="Technical Degree"/>
    <n v="1"/>
    <n v="300"/>
    <n v="3"/>
    <x v="1"/>
    <n v="85"/>
    <x v="0"/>
    <n v="1"/>
    <x v="1"/>
    <n v="3"/>
    <x v="0"/>
    <n v="2058"/>
    <n v="19757"/>
    <n v="0"/>
    <s v="Y"/>
    <s v="No"/>
    <n v="14"/>
    <x v="0"/>
    <n v="4"/>
    <n v="80"/>
    <x v="0"/>
    <n v="7"/>
    <x v="4"/>
    <n v="2"/>
    <n v="6"/>
    <n v="2"/>
    <n v="1"/>
    <n v="5"/>
  </r>
  <r>
    <n v="45"/>
    <x v="1"/>
    <x v="2"/>
    <n v="1052"/>
    <x v="0"/>
    <n v="6"/>
    <n v="3"/>
    <s v="Medical"/>
    <n v="1"/>
    <n v="302"/>
    <n v="4"/>
    <x v="0"/>
    <n v="57"/>
    <x v="1"/>
    <n v="3"/>
    <x v="0"/>
    <n v="4"/>
    <x v="0"/>
    <n v="8865"/>
    <n v="16840"/>
    <n v="6"/>
    <s v="Y"/>
    <s v="No"/>
    <n v="12"/>
    <x v="0"/>
    <n v="4"/>
    <n v="80"/>
    <x v="0"/>
    <n v="23"/>
    <x v="2"/>
    <n v="3"/>
    <n v="19"/>
    <n v="7"/>
    <n v="12"/>
    <n v="8"/>
  </r>
  <r>
    <n v="54"/>
    <x v="1"/>
    <x v="0"/>
    <n v="1147"/>
    <x v="0"/>
    <n v="3"/>
    <n v="3"/>
    <s v="Marketing"/>
    <n v="1"/>
    <n v="303"/>
    <n v="4"/>
    <x v="0"/>
    <n v="52"/>
    <x v="0"/>
    <n v="2"/>
    <x v="0"/>
    <n v="1"/>
    <x v="1"/>
    <n v="5940"/>
    <n v="17011"/>
    <n v="2"/>
    <s v="Y"/>
    <s v="No"/>
    <n v="14"/>
    <x v="0"/>
    <n v="4"/>
    <n v="80"/>
    <x v="1"/>
    <n v="16"/>
    <x v="5"/>
    <n v="3"/>
    <n v="6"/>
    <n v="2"/>
    <n v="0"/>
    <n v="5"/>
  </r>
  <r>
    <n v="36"/>
    <x v="1"/>
    <x v="0"/>
    <n v="1396"/>
    <x v="1"/>
    <n v="5"/>
    <n v="2"/>
    <s v="Life Sciences"/>
    <n v="1"/>
    <n v="304"/>
    <n v="4"/>
    <x v="1"/>
    <n v="62"/>
    <x v="0"/>
    <n v="2"/>
    <x v="2"/>
    <n v="2"/>
    <x v="0"/>
    <n v="5914"/>
    <n v="9945"/>
    <n v="8"/>
    <s v="Y"/>
    <s v="No"/>
    <n v="16"/>
    <x v="0"/>
    <n v="4"/>
    <n v="80"/>
    <x v="0"/>
    <n v="16"/>
    <x v="1"/>
    <n v="4"/>
    <n v="13"/>
    <n v="11"/>
    <n v="3"/>
    <n v="7"/>
  </r>
  <r>
    <n v="33"/>
    <x v="1"/>
    <x v="0"/>
    <n v="147"/>
    <x v="1"/>
    <n v="4"/>
    <n v="4"/>
    <s v="Medical"/>
    <n v="1"/>
    <n v="305"/>
    <n v="3"/>
    <x v="0"/>
    <n v="47"/>
    <x v="1"/>
    <n v="1"/>
    <x v="1"/>
    <n v="2"/>
    <x v="1"/>
    <n v="2622"/>
    <n v="13248"/>
    <n v="6"/>
    <s v="Y"/>
    <s v="No"/>
    <n v="21"/>
    <x v="1"/>
    <n v="4"/>
    <n v="80"/>
    <x v="0"/>
    <n v="7"/>
    <x v="1"/>
    <n v="3"/>
    <n v="3"/>
    <n v="2"/>
    <n v="1"/>
    <n v="1"/>
  </r>
  <r>
    <n v="37"/>
    <x v="1"/>
    <x v="1"/>
    <n v="663"/>
    <x v="1"/>
    <n v="11"/>
    <n v="3"/>
    <s v="Other"/>
    <n v="1"/>
    <n v="306"/>
    <n v="2"/>
    <x v="1"/>
    <n v="47"/>
    <x v="0"/>
    <n v="3"/>
    <x v="7"/>
    <n v="4"/>
    <x v="2"/>
    <n v="12185"/>
    <n v="10056"/>
    <n v="1"/>
    <s v="Y"/>
    <s v="Yes"/>
    <n v="14"/>
    <x v="0"/>
    <n v="3"/>
    <n v="80"/>
    <x v="2"/>
    <n v="10"/>
    <x v="4"/>
    <n v="3"/>
    <n v="10"/>
    <n v="8"/>
    <n v="0"/>
    <n v="7"/>
  </r>
  <r>
    <n v="38"/>
    <x v="1"/>
    <x v="0"/>
    <n v="119"/>
    <x v="0"/>
    <n v="3"/>
    <n v="3"/>
    <s v="Life Sciences"/>
    <n v="1"/>
    <n v="307"/>
    <n v="1"/>
    <x v="1"/>
    <n v="76"/>
    <x v="0"/>
    <n v="3"/>
    <x v="0"/>
    <n v="3"/>
    <x v="2"/>
    <n v="10609"/>
    <n v="9647"/>
    <n v="0"/>
    <s v="Y"/>
    <s v="No"/>
    <n v="12"/>
    <x v="0"/>
    <n v="3"/>
    <n v="80"/>
    <x v="3"/>
    <n v="17"/>
    <x v="6"/>
    <n v="2"/>
    <n v="16"/>
    <n v="10"/>
    <n v="5"/>
    <n v="13"/>
  </r>
  <r>
    <n v="31"/>
    <x v="1"/>
    <x v="2"/>
    <n v="979"/>
    <x v="1"/>
    <n v="1"/>
    <n v="4"/>
    <s v="Medical"/>
    <n v="1"/>
    <n v="308"/>
    <n v="3"/>
    <x v="1"/>
    <n v="90"/>
    <x v="3"/>
    <n v="2"/>
    <x v="3"/>
    <n v="3"/>
    <x v="1"/>
    <n v="4345"/>
    <n v="4381"/>
    <n v="0"/>
    <s v="Y"/>
    <s v="No"/>
    <n v="12"/>
    <x v="0"/>
    <n v="4"/>
    <n v="80"/>
    <x v="1"/>
    <n v="6"/>
    <x v="2"/>
    <n v="3"/>
    <n v="5"/>
    <n v="4"/>
    <n v="1"/>
    <n v="4"/>
  </r>
  <r>
    <n v="59"/>
    <x v="1"/>
    <x v="0"/>
    <n v="142"/>
    <x v="1"/>
    <n v="3"/>
    <n v="3"/>
    <s v="Life Sciences"/>
    <n v="1"/>
    <n v="309"/>
    <n v="3"/>
    <x v="1"/>
    <n v="70"/>
    <x v="1"/>
    <n v="1"/>
    <x v="1"/>
    <n v="4"/>
    <x v="1"/>
    <n v="2177"/>
    <n v="8456"/>
    <n v="3"/>
    <s v="Y"/>
    <s v="No"/>
    <n v="17"/>
    <x v="0"/>
    <n v="1"/>
    <n v="80"/>
    <x v="1"/>
    <n v="7"/>
    <x v="6"/>
    <n v="3"/>
    <n v="1"/>
    <n v="0"/>
    <n v="0"/>
    <n v="0"/>
  </r>
  <r>
    <n v="37"/>
    <x v="1"/>
    <x v="1"/>
    <n v="319"/>
    <x v="0"/>
    <n v="4"/>
    <n v="4"/>
    <s v="Marketing"/>
    <n v="1"/>
    <n v="311"/>
    <n v="1"/>
    <x v="1"/>
    <n v="41"/>
    <x v="0"/>
    <n v="1"/>
    <x v="6"/>
    <n v="4"/>
    <x v="2"/>
    <n v="2793"/>
    <n v="2539"/>
    <n v="4"/>
    <s v="Y"/>
    <s v="No"/>
    <n v="17"/>
    <x v="0"/>
    <n v="3"/>
    <n v="80"/>
    <x v="1"/>
    <n v="13"/>
    <x v="2"/>
    <n v="3"/>
    <n v="9"/>
    <n v="8"/>
    <n v="5"/>
    <n v="8"/>
  </r>
  <r>
    <n v="29"/>
    <x v="1"/>
    <x v="1"/>
    <n v="1413"/>
    <x v="0"/>
    <n v="1"/>
    <n v="1"/>
    <s v="Medical"/>
    <n v="1"/>
    <n v="312"/>
    <n v="2"/>
    <x v="0"/>
    <n v="42"/>
    <x v="0"/>
    <n v="3"/>
    <x v="0"/>
    <n v="4"/>
    <x v="1"/>
    <n v="7918"/>
    <n v="6599"/>
    <n v="1"/>
    <s v="Y"/>
    <s v="No"/>
    <n v="14"/>
    <x v="0"/>
    <n v="4"/>
    <n v="80"/>
    <x v="1"/>
    <n v="11"/>
    <x v="3"/>
    <n v="3"/>
    <n v="11"/>
    <n v="10"/>
    <n v="4"/>
    <n v="1"/>
  </r>
  <r>
    <n v="35"/>
    <x v="1"/>
    <x v="1"/>
    <n v="944"/>
    <x v="0"/>
    <n v="1"/>
    <n v="3"/>
    <s v="Marketing"/>
    <n v="1"/>
    <n v="314"/>
    <n v="3"/>
    <x v="0"/>
    <n v="92"/>
    <x v="0"/>
    <n v="3"/>
    <x v="0"/>
    <n v="3"/>
    <x v="0"/>
    <n v="8789"/>
    <n v="9096"/>
    <n v="1"/>
    <s v="Y"/>
    <s v="No"/>
    <n v="14"/>
    <x v="0"/>
    <n v="1"/>
    <n v="80"/>
    <x v="0"/>
    <n v="10"/>
    <x v="1"/>
    <n v="4"/>
    <n v="10"/>
    <n v="7"/>
    <n v="0"/>
    <n v="8"/>
  </r>
  <r>
    <n v="29"/>
    <x v="0"/>
    <x v="0"/>
    <n v="896"/>
    <x v="1"/>
    <n v="18"/>
    <n v="1"/>
    <s v="Medical"/>
    <n v="1"/>
    <n v="315"/>
    <n v="3"/>
    <x v="1"/>
    <n v="86"/>
    <x v="1"/>
    <n v="1"/>
    <x v="1"/>
    <n v="4"/>
    <x v="0"/>
    <n v="2389"/>
    <n v="14961"/>
    <n v="1"/>
    <s v="Y"/>
    <s v="Yes"/>
    <n v="13"/>
    <x v="0"/>
    <n v="3"/>
    <n v="80"/>
    <x v="0"/>
    <n v="4"/>
    <x v="1"/>
    <n v="2"/>
    <n v="4"/>
    <n v="3"/>
    <n v="0"/>
    <n v="1"/>
  </r>
  <r>
    <n v="52"/>
    <x v="1"/>
    <x v="0"/>
    <n v="1323"/>
    <x v="1"/>
    <n v="2"/>
    <n v="3"/>
    <s v="Life Sciences"/>
    <n v="1"/>
    <n v="316"/>
    <n v="3"/>
    <x v="0"/>
    <n v="89"/>
    <x v="1"/>
    <n v="1"/>
    <x v="2"/>
    <n v="4"/>
    <x v="0"/>
    <n v="3212"/>
    <n v="3300"/>
    <n v="7"/>
    <s v="Y"/>
    <s v="No"/>
    <n v="15"/>
    <x v="0"/>
    <n v="2"/>
    <n v="80"/>
    <x v="0"/>
    <n v="6"/>
    <x v="1"/>
    <n v="2"/>
    <n v="2"/>
    <n v="2"/>
    <n v="2"/>
    <n v="2"/>
  </r>
  <r>
    <n v="42"/>
    <x v="1"/>
    <x v="0"/>
    <n v="532"/>
    <x v="1"/>
    <n v="4"/>
    <n v="2"/>
    <s v="Technical Degree"/>
    <n v="1"/>
    <n v="319"/>
    <n v="3"/>
    <x v="1"/>
    <n v="58"/>
    <x v="0"/>
    <n v="5"/>
    <x v="5"/>
    <n v="4"/>
    <x v="1"/>
    <n v="19232"/>
    <n v="4933"/>
    <n v="1"/>
    <s v="Y"/>
    <s v="No"/>
    <n v="11"/>
    <x v="0"/>
    <n v="4"/>
    <n v="80"/>
    <x v="0"/>
    <n v="22"/>
    <x v="1"/>
    <n v="3"/>
    <n v="22"/>
    <n v="17"/>
    <n v="11"/>
    <n v="15"/>
  </r>
  <r>
    <n v="59"/>
    <x v="1"/>
    <x v="0"/>
    <n v="818"/>
    <x v="2"/>
    <n v="6"/>
    <n v="2"/>
    <s v="Medical"/>
    <n v="1"/>
    <n v="321"/>
    <n v="2"/>
    <x v="1"/>
    <n v="52"/>
    <x v="0"/>
    <n v="1"/>
    <x v="8"/>
    <n v="3"/>
    <x v="1"/>
    <n v="2267"/>
    <n v="25657"/>
    <n v="8"/>
    <s v="Y"/>
    <s v="No"/>
    <n v="17"/>
    <x v="0"/>
    <n v="4"/>
    <n v="80"/>
    <x v="0"/>
    <n v="7"/>
    <x v="2"/>
    <n v="2"/>
    <n v="2"/>
    <n v="2"/>
    <n v="2"/>
    <n v="2"/>
  </r>
  <r>
    <n v="50"/>
    <x v="1"/>
    <x v="0"/>
    <n v="854"/>
    <x v="0"/>
    <n v="1"/>
    <n v="4"/>
    <s v="Medical"/>
    <n v="1"/>
    <n v="323"/>
    <n v="4"/>
    <x v="0"/>
    <n v="68"/>
    <x v="0"/>
    <n v="5"/>
    <x v="5"/>
    <n v="4"/>
    <x v="2"/>
    <n v="19517"/>
    <n v="24118"/>
    <n v="3"/>
    <s v="Y"/>
    <s v="No"/>
    <n v="11"/>
    <x v="0"/>
    <n v="3"/>
    <n v="80"/>
    <x v="1"/>
    <n v="32"/>
    <x v="1"/>
    <n v="2"/>
    <n v="7"/>
    <n v="0"/>
    <n v="0"/>
    <n v="6"/>
  </r>
  <r>
    <n v="33"/>
    <x v="0"/>
    <x v="0"/>
    <n v="813"/>
    <x v="1"/>
    <n v="14"/>
    <n v="3"/>
    <s v="Medical"/>
    <n v="1"/>
    <n v="325"/>
    <n v="3"/>
    <x v="1"/>
    <n v="58"/>
    <x v="0"/>
    <n v="1"/>
    <x v="2"/>
    <n v="4"/>
    <x v="1"/>
    <n v="2436"/>
    <n v="22149"/>
    <n v="5"/>
    <s v="Y"/>
    <s v="Yes"/>
    <n v="13"/>
    <x v="0"/>
    <n v="3"/>
    <n v="80"/>
    <x v="1"/>
    <n v="8"/>
    <x v="2"/>
    <n v="1"/>
    <n v="5"/>
    <n v="4"/>
    <n v="0"/>
    <n v="4"/>
  </r>
  <r>
    <n v="43"/>
    <x v="1"/>
    <x v="0"/>
    <n v="1034"/>
    <x v="0"/>
    <n v="16"/>
    <n v="3"/>
    <s v="Marketing"/>
    <n v="1"/>
    <n v="327"/>
    <n v="4"/>
    <x v="0"/>
    <n v="80"/>
    <x v="0"/>
    <n v="4"/>
    <x v="5"/>
    <n v="4"/>
    <x v="1"/>
    <n v="16064"/>
    <n v="7744"/>
    <n v="5"/>
    <s v="Y"/>
    <s v="Yes"/>
    <n v="22"/>
    <x v="1"/>
    <n v="3"/>
    <n v="80"/>
    <x v="1"/>
    <n v="22"/>
    <x v="1"/>
    <n v="3"/>
    <n v="17"/>
    <n v="13"/>
    <n v="1"/>
    <n v="9"/>
  </r>
  <r>
    <n v="33"/>
    <x v="0"/>
    <x v="0"/>
    <n v="465"/>
    <x v="1"/>
    <n v="2"/>
    <n v="2"/>
    <s v="Life Sciences"/>
    <n v="1"/>
    <n v="328"/>
    <n v="1"/>
    <x v="0"/>
    <n v="39"/>
    <x v="0"/>
    <n v="1"/>
    <x v="2"/>
    <n v="1"/>
    <x v="1"/>
    <n v="2707"/>
    <n v="21509"/>
    <n v="7"/>
    <s v="Y"/>
    <s v="No"/>
    <n v="20"/>
    <x v="1"/>
    <n v="1"/>
    <n v="80"/>
    <x v="0"/>
    <n v="13"/>
    <x v="1"/>
    <n v="4"/>
    <n v="9"/>
    <n v="7"/>
    <n v="1"/>
    <n v="7"/>
  </r>
  <r>
    <n v="52"/>
    <x v="1"/>
    <x v="2"/>
    <n v="771"/>
    <x v="0"/>
    <n v="2"/>
    <n v="4"/>
    <s v="Life Sciences"/>
    <n v="1"/>
    <n v="329"/>
    <n v="1"/>
    <x v="1"/>
    <n v="79"/>
    <x v="1"/>
    <n v="5"/>
    <x v="5"/>
    <n v="3"/>
    <x v="0"/>
    <n v="19068"/>
    <n v="21030"/>
    <n v="1"/>
    <s v="Y"/>
    <s v="Yes"/>
    <n v="18"/>
    <x v="0"/>
    <n v="4"/>
    <n v="80"/>
    <x v="0"/>
    <n v="33"/>
    <x v="2"/>
    <n v="4"/>
    <n v="33"/>
    <n v="7"/>
    <n v="15"/>
    <n v="12"/>
  </r>
  <r>
    <n v="32"/>
    <x v="1"/>
    <x v="0"/>
    <n v="1401"/>
    <x v="0"/>
    <n v="4"/>
    <n v="2"/>
    <s v="Life Sciences"/>
    <n v="1"/>
    <n v="330"/>
    <n v="3"/>
    <x v="0"/>
    <n v="56"/>
    <x v="0"/>
    <n v="1"/>
    <x v="6"/>
    <n v="2"/>
    <x v="1"/>
    <n v="3931"/>
    <n v="20990"/>
    <n v="2"/>
    <s v="Y"/>
    <s v="No"/>
    <n v="11"/>
    <x v="0"/>
    <n v="1"/>
    <n v="80"/>
    <x v="1"/>
    <n v="6"/>
    <x v="3"/>
    <n v="3"/>
    <n v="4"/>
    <n v="3"/>
    <n v="1"/>
    <n v="2"/>
  </r>
  <r>
    <n v="32"/>
    <x v="0"/>
    <x v="0"/>
    <n v="515"/>
    <x v="1"/>
    <n v="1"/>
    <n v="3"/>
    <s v="Life Sciences"/>
    <n v="1"/>
    <n v="331"/>
    <n v="4"/>
    <x v="1"/>
    <n v="62"/>
    <x v="1"/>
    <n v="1"/>
    <x v="2"/>
    <n v="3"/>
    <x v="0"/>
    <n v="3730"/>
    <n v="9571"/>
    <n v="0"/>
    <s v="Y"/>
    <s v="Yes"/>
    <n v="14"/>
    <x v="0"/>
    <n v="4"/>
    <n v="80"/>
    <x v="0"/>
    <n v="4"/>
    <x v="2"/>
    <n v="1"/>
    <n v="3"/>
    <n v="2"/>
    <n v="1"/>
    <n v="2"/>
  </r>
  <r>
    <n v="39"/>
    <x v="1"/>
    <x v="0"/>
    <n v="1431"/>
    <x v="1"/>
    <n v="1"/>
    <n v="4"/>
    <s v="Medical"/>
    <n v="1"/>
    <n v="332"/>
    <n v="3"/>
    <x v="0"/>
    <n v="96"/>
    <x v="0"/>
    <n v="1"/>
    <x v="2"/>
    <n v="3"/>
    <x v="2"/>
    <n v="2232"/>
    <n v="15417"/>
    <n v="7"/>
    <s v="Y"/>
    <s v="No"/>
    <n v="14"/>
    <x v="0"/>
    <n v="3"/>
    <n v="80"/>
    <x v="2"/>
    <n v="7"/>
    <x v="4"/>
    <n v="3"/>
    <n v="3"/>
    <n v="2"/>
    <n v="1"/>
    <n v="2"/>
  </r>
  <r>
    <n v="32"/>
    <x v="1"/>
    <x v="2"/>
    <n v="976"/>
    <x v="0"/>
    <n v="26"/>
    <n v="4"/>
    <s v="Marketing"/>
    <n v="1"/>
    <n v="333"/>
    <n v="3"/>
    <x v="1"/>
    <n v="100"/>
    <x v="0"/>
    <n v="2"/>
    <x v="0"/>
    <n v="4"/>
    <x v="1"/>
    <n v="4465"/>
    <n v="12069"/>
    <n v="0"/>
    <s v="Y"/>
    <s v="No"/>
    <n v="18"/>
    <x v="0"/>
    <n v="1"/>
    <n v="80"/>
    <x v="0"/>
    <n v="4"/>
    <x v="2"/>
    <n v="3"/>
    <n v="3"/>
    <n v="2"/>
    <n v="2"/>
    <n v="2"/>
  </r>
  <r>
    <n v="41"/>
    <x v="1"/>
    <x v="0"/>
    <n v="1411"/>
    <x v="1"/>
    <n v="19"/>
    <n v="2"/>
    <s v="Life Sciences"/>
    <n v="1"/>
    <n v="334"/>
    <n v="3"/>
    <x v="1"/>
    <n v="36"/>
    <x v="0"/>
    <n v="2"/>
    <x v="1"/>
    <n v="1"/>
    <x v="2"/>
    <n v="3072"/>
    <n v="19877"/>
    <n v="2"/>
    <s v="Y"/>
    <s v="No"/>
    <n v="16"/>
    <x v="0"/>
    <n v="1"/>
    <n v="80"/>
    <x v="3"/>
    <n v="17"/>
    <x v="2"/>
    <n v="2"/>
    <n v="1"/>
    <n v="0"/>
    <n v="0"/>
    <n v="0"/>
  </r>
  <r>
    <n v="40"/>
    <x v="1"/>
    <x v="0"/>
    <n v="1300"/>
    <x v="1"/>
    <n v="24"/>
    <n v="2"/>
    <s v="Technical Degree"/>
    <n v="1"/>
    <n v="335"/>
    <n v="1"/>
    <x v="1"/>
    <n v="62"/>
    <x v="0"/>
    <n v="2"/>
    <x v="1"/>
    <n v="4"/>
    <x v="2"/>
    <n v="3319"/>
    <n v="24447"/>
    <n v="1"/>
    <s v="Y"/>
    <s v="No"/>
    <n v="17"/>
    <x v="0"/>
    <n v="1"/>
    <n v="80"/>
    <x v="3"/>
    <n v="9"/>
    <x v="1"/>
    <n v="3"/>
    <n v="9"/>
    <n v="8"/>
    <n v="4"/>
    <n v="7"/>
  </r>
  <r>
    <n v="45"/>
    <x v="1"/>
    <x v="0"/>
    <n v="252"/>
    <x v="1"/>
    <n v="1"/>
    <n v="3"/>
    <s v="Other"/>
    <n v="1"/>
    <n v="336"/>
    <n v="3"/>
    <x v="1"/>
    <n v="70"/>
    <x v="2"/>
    <n v="5"/>
    <x v="5"/>
    <n v="4"/>
    <x v="1"/>
    <n v="19202"/>
    <n v="15970"/>
    <n v="0"/>
    <s v="Y"/>
    <s v="No"/>
    <n v="11"/>
    <x v="0"/>
    <n v="3"/>
    <n v="80"/>
    <x v="1"/>
    <n v="25"/>
    <x v="2"/>
    <n v="3"/>
    <n v="24"/>
    <n v="0"/>
    <n v="1"/>
    <n v="7"/>
  </r>
  <r>
    <n v="31"/>
    <x v="1"/>
    <x v="1"/>
    <n v="1327"/>
    <x v="1"/>
    <n v="3"/>
    <n v="4"/>
    <s v="Medical"/>
    <n v="1"/>
    <n v="337"/>
    <n v="2"/>
    <x v="1"/>
    <n v="73"/>
    <x v="0"/>
    <n v="3"/>
    <x v="7"/>
    <n v="3"/>
    <x v="2"/>
    <n v="13675"/>
    <n v="13523"/>
    <n v="9"/>
    <s v="Y"/>
    <s v="No"/>
    <n v="12"/>
    <x v="0"/>
    <n v="1"/>
    <n v="80"/>
    <x v="1"/>
    <n v="9"/>
    <x v="1"/>
    <n v="3"/>
    <n v="2"/>
    <n v="2"/>
    <n v="2"/>
    <n v="2"/>
  </r>
  <r>
    <n v="33"/>
    <x v="1"/>
    <x v="0"/>
    <n v="832"/>
    <x v="1"/>
    <n v="5"/>
    <n v="4"/>
    <s v="Life Sciences"/>
    <n v="1"/>
    <n v="338"/>
    <n v="3"/>
    <x v="0"/>
    <n v="63"/>
    <x v="1"/>
    <n v="1"/>
    <x v="1"/>
    <n v="4"/>
    <x v="1"/>
    <n v="2911"/>
    <n v="14776"/>
    <n v="1"/>
    <s v="Y"/>
    <s v="No"/>
    <n v="13"/>
    <x v="0"/>
    <n v="3"/>
    <n v="80"/>
    <x v="1"/>
    <n v="2"/>
    <x v="2"/>
    <n v="2"/>
    <n v="2"/>
    <n v="2"/>
    <n v="0"/>
    <n v="2"/>
  </r>
  <r>
    <n v="34"/>
    <x v="1"/>
    <x v="0"/>
    <n v="470"/>
    <x v="1"/>
    <n v="2"/>
    <n v="4"/>
    <s v="Life Sciences"/>
    <n v="1"/>
    <n v="339"/>
    <n v="4"/>
    <x v="1"/>
    <n v="84"/>
    <x v="1"/>
    <n v="2"/>
    <x v="3"/>
    <n v="1"/>
    <x v="1"/>
    <n v="5957"/>
    <n v="23687"/>
    <n v="6"/>
    <s v="Y"/>
    <s v="No"/>
    <n v="13"/>
    <x v="0"/>
    <n v="2"/>
    <n v="80"/>
    <x v="1"/>
    <n v="13"/>
    <x v="1"/>
    <n v="3"/>
    <n v="11"/>
    <n v="9"/>
    <n v="5"/>
    <n v="9"/>
  </r>
  <r>
    <n v="37"/>
    <x v="1"/>
    <x v="0"/>
    <n v="1017"/>
    <x v="1"/>
    <n v="1"/>
    <n v="2"/>
    <s v="Medical"/>
    <n v="1"/>
    <n v="340"/>
    <n v="3"/>
    <x v="0"/>
    <n v="83"/>
    <x v="1"/>
    <n v="1"/>
    <x v="1"/>
    <n v="1"/>
    <x v="1"/>
    <n v="3920"/>
    <n v="18697"/>
    <n v="2"/>
    <s v="Y"/>
    <s v="No"/>
    <n v="14"/>
    <x v="0"/>
    <n v="1"/>
    <n v="80"/>
    <x v="1"/>
    <n v="17"/>
    <x v="2"/>
    <n v="2"/>
    <n v="3"/>
    <n v="1"/>
    <n v="0"/>
    <n v="2"/>
  </r>
  <r>
    <n v="45"/>
    <x v="1"/>
    <x v="1"/>
    <n v="1199"/>
    <x v="1"/>
    <n v="7"/>
    <n v="4"/>
    <s v="Life Sciences"/>
    <n v="1"/>
    <n v="341"/>
    <n v="1"/>
    <x v="1"/>
    <n v="77"/>
    <x v="2"/>
    <n v="2"/>
    <x v="3"/>
    <n v="3"/>
    <x v="1"/>
    <n v="6434"/>
    <n v="5118"/>
    <n v="4"/>
    <s v="Y"/>
    <s v="No"/>
    <n v="17"/>
    <x v="0"/>
    <n v="4"/>
    <n v="80"/>
    <x v="1"/>
    <n v="9"/>
    <x v="4"/>
    <n v="3"/>
    <n v="3"/>
    <n v="2"/>
    <n v="0"/>
    <n v="2"/>
  </r>
  <r>
    <n v="37"/>
    <x v="0"/>
    <x v="1"/>
    <n v="504"/>
    <x v="1"/>
    <n v="10"/>
    <n v="3"/>
    <s v="Medical"/>
    <n v="1"/>
    <n v="342"/>
    <n v="1"/>
    <x v="1"/>
    <n v="61"/>
    <x v="0"/>
    <n v="3"/>
    <x v="3"/>
    <n v="3"/>
    <x v="2"/>
    <n v="10048"/>
    <n v="22573"/>
    <n v="6"/>
    <s v="Y"/>
    <s v="No"/>
    <n v="11"/>
    <x v="0"/>
    <n v="2"/>
    <n v="80"/>
    <x v="3"/>
    <n v="17"/>
    <x v="3"/>
    <n v="3"/>
    <n v="1"/>
    <n v="0"/>
    <n v="0"/>
    <n v="0"/>
  </r>
  <r>
    <n v="39"/>
    <x v="1"/>
    <x v="1"/>
    <n v="505"/>
    <x v="1"/>
    <n v="2"/>
    <n v="4"/>
    <s v="Technical Degree"/>
    <n v="1"/>
    <n v="343"/>
    <n v="3"/>
    <x v="0"/>
    <n v="64"/>
    <x v="0"/>
    <n v="3"/>
    <x v="4"/>
    <n v="3"/>
    <x v="0"/>
    <n v="10938"/>
    <n v="6420"/>
    <n v="0"/>
    <s v="Y"/>
    <s v="No"/>
    <n v="25"/>
    <x v="1"/>
    <n v="4"/>
    <n v="80"/>
    <x v="0"/>
    <n v="20"/>
    <x v="4"/>
    <n v="3"/>
    <n v="19"/>
    <n v="6"/>
    <n v="11"/>
    <n v="8"/>
  </r>
  <r>
    <n v="29"/>
    <x v="1"/>
    <x v="0"/>
    <n v="665"/>
    <x v="1"/>
    <n v="15"/>
    <n v="3"/>
    <s v="Life Sciences"/>
    <n v="1"/>
    <n v="346"/>
    <n v="3"/>
    <x v="1"/>
    <n v="60"/>
    <x v="0"/>
    <n v="1"/>
    <x v="1"/>
    <n v="4"/>
    <x v="0"/>
    <n v="2340"/>
    <n v="22673"/>
    <n v="1"/>
    <s v="Y"/>
    <s v="No"/>
    <n v="19"/>
    <x v="0"/>
    <n v="1"/>
    <n v="80"/>
    <x v="0"/>
    <n v="6"/>
    <x v="4"/>
    <n v="3"/>
    <n v="6"/>
    <n v="5"/>
    <n v="1"/>
    <n v="5"/>
  </r>
  <r>
    <n v="42"/>
    <x v="1"/>
    <x v="0"/>
    <n v="916"/>
    <x v="1"/>
    <n v="17"/>
    <n v="2"/>
    <s v="Life Sciences"/>
    <n v="1"/>
    <n v="347"/>
    <n v="4"/>
    <x v="0"/>
    <n v="82"/>
    <x v="2"/>
    <n v="2"/>
    <x v="1"/>
    <n v="1"/>
    <x v="0"/>
    <n v="6545"/>
    <n v="23016"/>
    <n v="3"/>
    <s v="Y"/>
    <s v="Yes"/>
    <n v="13"/>
    <x v="0"/>
    <n v="3"/>
    <n v="80"/>
    <x v="0"/>
    <n v="10"/>
    <x v="4"/>
    <n v="3"/>
    <n v="3"/>
    <n v="2"/>
    <n v="0"/>
    <n v="2"/>
  </r>
  <r>
    <n v="29"/>
    <x v="1"/>
    <x v="0"/>
    <n v="1247"/>
    <x v="0"/>
    <n v="20"/>
    <n v="2"/>
    <s v="Marketing"/>
    <n v="1"/>
    <n v="349"/>
    <n v="4"/>
    <x v="1"/>
    <n v="45"/>
    <x v="0"/>
    <n v="2"/>
    <x v="0"/>
    <n v="4"/>
    <x v="2"/>
    <n v="6931"/>
    <n v="10732"/>
    <n v="2"/>
    <s v="Y"/>
    <s v="No"/>
    <n v="14"/>
    <x v="0"/>
    <n v="4"/>
    <n v="80"/>
    <x v="1"/>
    <n v="10"/>
    <x v="2"/>
    <n v="3"/>
    <n v="3"/>
    <n v="2"/>
    <n v="0"/>
    <n v="2"/>
  </r>
  <r>
    <n v="25"/>
    <x v="1"/>
    <x v="0"/>
    <n v="685"/>
    <x v="1"/>
    <n v="1"/>
    <n v="3"/>
    <s v="Life Sciences"/>
    <n v="1"/>
    <n v="350"/>
    <n v="1"/>
    <x v="0"/>
    <n v="62"/>
    <x v="0"/>
    <n v="2"/>
    <x v="3"/>
    <n v="3"/>
    <x v="1"/>
    <n v="4898"/>
    <n v="7505"/>
    <n v="0"/>
    <s v="Y"/>
    <s v="No"/>
    <n v="12"/>
    <x v="0"/>
    <n v="4"/>
    <n v="80"/>
    <x v="3"/>
    <n v="5"/>
    <x v="1"/>
    <n v="3"/>
    <n v="4"/>
    <n v="2"/>
    <n v="1"/>
    <n v="2"/>
  </r>
  <r>
    <n v="42"/>
    <x v="1"/>
    <x v="0"/>
    <n v="269"/>
    <x v="1"/>
    <n v="2"/>
    <n v="3"/>
    <s v="Medical"/>
    <n v="1"/>
    <n v="351"/>
    <n v="4"/>
    <x v="0"/>
    <n v="56"/>
    <x v="1"/>
    <n v="1"/>
    <x v="2"/>
    <n v="1"/>
    <x v="2"/>
    <n v="2593"/>
    <n v="8007"/>
    <n v="0"/>
    <s v="Y"/>
    <s v="Yes"/>
    <n v="11"/>
    <x v="0"/>
    <n v="3"/>
    <n v="80"/>
    <x v="1"/>
    <n v="10"/>
    <x v="5"/>
    <n v="3"/>
    <n v="9"/>
    <n v="6"/>
    <n v="7"/>
    <n v="8"/>
  </r>
  <r>
    <n v="40"/>
    <x v="1"/>
    <x v="0"/>
    <n v="1416"/>
    <x v="1"/>
    <n v="2"/>
    <n v="2"/>
    <s v="Medical"/>
    <n v="1"/>
    <n v="352"/>
    <n v="1"/>
    <x v="1"/>
    <n v="49"/>
    <x v="0"/>
    <n v="5"/>
    <x v="7"/>
    <n v="3"/>
    <x v="2"/>
    <n v="19436"/>
    <n v="5949"/>
    <n v="0"/>
    <s v="Y"/>
    <s v="No"/>
    <n v="19"/>
    <x v="0"/>
    <n v="4"/>
    <n v="80"/>
    <x v="1"/>
    <n v="22"/>
    <x v="3"/>
    <n v="3"/>
    <n v="21"/>
    <n v="7"/>
    <n v="3"/>
    <n v="9"/>
  </r>
  <r>
    <n v="51"/>
    <x v="1"/>
    <x v="0"/>
    <n v="833"/>
    <x v="1"/>
    <n v="1"/>
    <n v="3"/>
    <s v="Life Sciences"/>
    <n v="1"/>
    <n v="353"/>
    <n v="3"/>
    <x v="1"/>
    <n v="96"/>
    <x v="0"/>
    <n v="1"/>
    <x v="1"/>
    <n v="4"/>
    <x v="1"/>
    <n v="2723"/>
    <n v="23231"/>
    <n v="1"/>
    <s v="Y"/>
    <s v="No"/>
    <n v="11"/>
    <x v="0"/>
    <n v="2"/>
    <n v="80"/>
    <x v="0"/>
    <n v="1"/>
    <x v="0"/>
    <n v="2"/>
    <n v="1"/>
    <n v="0"/>
    <n v="0"/>
    <n v="0"/>
  </r>
  <r>
    <n v="31"/>
    <x v="0"/>
    <x v="1"/>
    <n v="307"/>
    <x v="1"/>
    <n v="29"/>
    <n v="2"/>
    <s v="Medical"/>
    <n v="1"/>
    <n v="355"/>
    <n v="3"/>
    <x v="1"/>
    <n v="71"/>
    <x v="1"/>
    <n v="1"/>
    <x v="2"/>
    <n v="2"/>
    <x v="0"/>
    <n v="3479"/>
    <n v="11652"/>
    <n v="0"/>
    <s v="Y"/>
    <s v="No"/>
    <n v="11"/>
    <x v="0"/>
    <n v="2"/>
    <n v="80"/>
    <x v="0"/>
    <n v="6"/>
    <x v="2"/>
    <n v="4"/>
    <n v="5"/>
    <n v="4"/>
    <n v="1"/>
    <n v="4"/>
  </r>
  <r>
    <n v="32"/>
    <x v="1"/>
    <x v="1"/>
    <n v="1311"/>
    <x v="1"/>
    <n v="7"/>
    <n v="3"/>
    <s v="Life Sciences"/>
    <n v="1"/>
    <n v="359"/>
    <n v="2"/>
    <x v="1"/>
    <n v="100"/>
    <x v="2"/>
    <n v="1"/>
    <x v="2"/>
    <n v="2"/>
    <x v="1"/>
    <n v="2794"/>
    <n v="26062"/>
    <n v="1"/>
    <s v="Y"/>
    <s v="No"/>
    <n v="20"/>
    <x v="1"/>
    <n v="3"/>
    <n v="80"/>
    <x v="0"/>
    <n v="5"/>
    <x v="1"/>
    <n v="1"/>
    <n v="5"/>
    <n v="1"/>
    <n v="0"/>
    <n v="3"/>
  </r>
  <r>
    <n v="38"/>
    <x v="1"/>
    <x v="2"/>
    <n v="1327"/>
    <x v="0"/>
    <n v="2"/>
    <n v="2"/>
    <s v="Life Sciences"/>
    <n v="1"/>
    <n v="361"/>
    <n v="4"/>
    <x v="1"/>
    <n v="39"/>
    <x v="1"/>
    <n v="2"/>
    <x v="0"/>
    <n v="4"/>
    <x v="1"/>
    <n v="5249"/>
    <n v="19682"/>
    <n v="3"/>
    <s v="Y"/>
    <s v="No"/>
    <n v="18"/>
    <x v="0"/>
    <n v="4"/>
    <n v="80"/>
    <x v="1"/>
    <n v="13"/>
    <x v="0"/>
    <n v="3"/>
    <n v="8"/>
    <n v="7"/>
    <n v="7"/>
    <n v="5"/>
  </r>
  <r>
    <n v="32"/>
    <x v="1"/>
    <x v="0"/>
    <n v="128"/>
    <x v="1"/>
    <n v="2"/>
    <n v="1"/>
    <s v="Technical Degree"/>
    <n v="1"/>
    <n v="362"/>
    <n v="4"/>
    <x v="1"/>
    <n v="84"/>
    <x v="1"/>
    <n v="2"/>
    <x v="2"/>
    <n v="1"/>
    <x v="0"/>
    <n v="2176"/>
    <n v="19737"/>
    <n v="4"/>
    <s v="Y"/>
    <s v="No"/>
    <n v="13"/>
    <x v="0"/>
    <n v="4"/>
    <n v="80"/>
    <x v="0"/>
    <n v="9"/>
    <x v="3"/>
    <n v="3"/>
    <n v="6"/>
    <n v="2"/>
    <n v="0"/>
    <n v="4"/>
  </r>
  <r>
    <n v="46"/>
    <x v="1"/>
    <x v="0"/>
    <n v="488"/>
    <x v="0"/>
    <n v="2"/>
    <n v="3"/>
    <s v="Technical Degree"/>
    <n v="1"/>
    <n v="363"/>
    <n v="3"/>
    <x v="0"/>
    <n v="75"/>
    <x v="3"/>
    <n v="4"/>
    <x v="5"/>
    <n v="2"/>
    <x v="1"/>
    <n v="16872"/>
    <n v="14977"/>
    <n v="3"/>
    <s v="Y"/>
    <s v="Yes"/>
    <n v="12"/>
    <x v="0"/>
    <n v="2"/>
    <n v="80"/>
    <x v="1"/>
    <n v="28"/>
    <x v="2"/>
    <n v="2"/>
    <n v="7"/>
    <n v="7"/>
    <n v="7"/>
    <n v="7"/>
  </r>
  <r>
    <n v="28"/>
    <x v="0"/>
    <x v="0"/>
    <n v="529"/>
    <x v="1"/>
    <n v="2"/>
    <n v="4"/>
    <s v="Life Sciences"/>
    <n v="1"/>
    <n v="364"/>
    <n v="1"/>
    <x v="1"/>
    <n v="79"/>
    <x v="0"/>
    <n v="1"/>
    <x v="2"/>
    <n v="3"/>
    <x v="0"/>
    <n v="3485"/>
    <n v="14935"/>
    <n v="2"/>
    <s v="Y"/>
    <s v="No"/>
    <n v="11"/>
    <x v="0"/>
    <n v="3"/>
    <n v="80"/>
    <x v="0"/>
    <n v="5"/>
    <x v="3"/>
    <n v="1"/>
    <n v="0"/>
    <n v="0"/>
    <n v="0"/>
    <n v="0"/>
  </r>
  <r>
    <n v="29"/>
    <x v="1"/>
    <x v="0"/>
    <n v="1210"/>
    <x v="0"/>
    <n v="2"/>
    <n v="3"/>
    <s v="Medical"/>
    <n v="1"/>
    <n v="366"/>
    <n v="1"/>
    <x v="1"/>
    <n v="78"/>
    <x v="1"/>
    <n v="2"/>
    <x v="0"/>
    <n v="2"/>
    <x v="1"/>
    <n v="6644"/>
    <n v="3687"/>
    <n v="2"/>
    <s v="Y"/>
    <s v="No"/>
    <n v="19"/>
    <x v="0"/>
    <n v="2"/>
    <n v="80"/>
    <x v="3"/>
    <n v="10"/>
    <x v="2"/>
    <n v="3"/>
    <n v="0"/>
    <n v="0"/>
    <n v="0"/>
    <n v="0"/>
  </r>
  <r>
    <n v="31"/>
    <x v="1"/>
    <x v="0"/>
    <n v="1463"/>
    <x v="1"/>
    <n v="23"/>
    <n v="3"/>
    <s v="Medical"/>
    <n v="1"/>
    <n v="367"/>
    <n v="2"/>
    <x v="1"/>
    <n v="64"/>
    <x v="1"/>
    <n v="2"/>
    <x v="4"/>
    <n v="4"/>
    <x v="1"/>
    <n v="5582"/>
    <n v="14408"/>
    <n v="0"/>
    <s v="Y"/>
    <s v="No"/>
    <n v="21"/>
    <x v="1"/>
    <n v="2"/>
    <n v="80"/>
    <x v="1"/>
    <n v="10"/>
    <x v="2"/>
    <n v="3"/>
    <n v="9"/>
    <n v="0"/>
    <n v="7"/>
    <n v="8"/>
  </r>
  <r>
    <n v="25"/>
    <x v="1"/>
    <x v="2"/>
    <n v="675"/>
    <x v="1"/>
    <n v="5"/>
    <n v="2"/>
    <s v="Life Sciences"/>
    <n v="1"/>
    <n v="369"/>
    <n v="2"/>
    <x v="1"/>
    <n v="85"/>
    <x v="2"/>
    <n v="2"/>
    <x v="4"/>
    <n v="1"/>
    <x v="2"/>
    <n v="4000"/>
    <n v="18384"/>
    <n v="1"/>
    <s v="Y"/>
    <s v="No"/>
    <n v="12"/>
    <x v="0"/>
    <n v="4"/>
    <n v="80"/>
    <x v="3"/>
    <n v="6"/>
    <x v="2"/>
    <n v="3"/>
    <n v="6"/>
    <n v="3"/>
    <n v="1"/>
    <n v="5"/>
  </r>
  <r>
    <n v="45"/>
    <x v="1"/>
    <x v="0"/>
    <n v="1385"/>
    <x v="1"/>
    <n v="20"/>
    <n v="2"/>
    <s v="Medical"/>
    <n v="1"/>
    <n v="372"/>
    <n v="3"/>
    <x v="1"/>
    <n v="79"/>
    <x v="0"/>
    <n v="4"/>
    <x v="4"/>
    <n v="4"/>
    <x v="1"/>
    <n v="13496"/>
    <n v="7501"/>
    <n v="0"/>
    <s v="Y"/>
    <s v="Yes"/>
    <n v="14"/>
    <x v="0"/>
    <n v="2"/>
    <n v="80"/>
    <x v="0"/>
    <n v="21"/>
    <x v="2"/>
    <n v="3"/>
    <n v="20"/>
    <n v="7"/>
    <n v="4"/>
    <n v="10"/>
  </r>
  <r>
    <n v="36"/>
    <x v="1"/>
    <x v="0"/>
    <n v="1403"/>
    <x v="1"/>
    <n v="6"/>
    <n v="3"/>
    <s v="Life Sciences"/>
    <n v="1"/>
    <n v="373"/>
    <n v="4"/>
    <x v="1"/>
    <n v="47"/>
    <x v="0"/>
    <n v="1"/>
    <x v="2"/>
    <n v="4"/>
    <x v="1"/>
    <n v="3210"/>
    <n v="20251"/>
    <n v="0"/>
    <s v="Y"/>
    <s v="No"/>
    <n v="11"/>
    <x v="0"/>
    <n v="3"/>
    <n v="80"/>
    <x v="1"/>
    <n v="16"/>
    <x v="5"/>
    <n v="3"/>
    <n v="15"/>
    <n v="13"/>
    <n v="10"/>
    <n v="11"/>
  </r>
  <r>
    <n v="55"/>
    <x v="1"/>
    <x v="0"/>
    <n v="452"/>
    <x v="1"/>
    <n v="1"/>
    <n v="3"/>
    <s v="Medical"/>
    <n v="1"/>
    <n v="374"/>
    <n v="4"/>
    <x v="1"/>
    <n v="81"/>
    <x v="0"/>
    <n v="5"/>
    <x v="5"/>
    <n v="1"/>
    <x v="0"/>
    <n v="19045"/>
    <n v="18938"/>
    <n v="0"/>
    <s v="Y"/>
    <s v="Yes"/>
    <n v="14"/>
    <x v="0"/>
    <n v="3"/>
    <n v="80"/>
    <x v="0"/>
    <n v="37"/>
    <x v="2"/>
    <n v="3"/>
    <n v="36"/>
    <n v="10"/>
    <n v="4"/>
    <n v="13"/>
  </r>
  <r>
    <n v="47"/>
    <x v="0"/>
    <x v="2"/>
    <n v="666"/>
    <x v="1"/>
    <n v="29"/>
    <n v="4"/>
    <s v="Life Sciences"/>
    <n v="1"/>
    <n v="376"/>
    <n v="1"/>
    <x v="1"/>
    <n v="88"/>
    <x v="0"/>
    <n v="3"/>
    <x v="5"/>
    <n v="2"/>
    <x v="1"/>
    <n v="11849"/>
    <n v="10268"/>
    <n v="1"/>
    <s v="Y"/>
    <s v="Yes"/>
    <n v="12"/>
    <x v="0"/>
    <n v="4"/>
    <n v="80"/>
    <x v="1"/>
    <n v="10"/>
    <x v="2"/>
    <n v="2"/>
    <n v="10"/>
    <n v="7"/>
    <n v="9"/>
    <n v="9"/>
  </r>
  <r>
    <n v="28"/>
    <x v="1"/>
    <x v="0"/>
    <n v="1158"/>
    <x v="1"/>
    <n v="9"/>
    <n v="3"/>
    <s v="Medical"/>
    <n v="1"/>
    <n v="377"/>
    <n v="4"/>
    <x v="1"/>
    <n v="94"/>
    <x v="0"/>
    <n v="1"/>
    <x v="1"/>
    <n v="4"/>
    <x v="1"/>
    <n v="2070"/>
    <n v="2613"/>
    <n v="1"/>
    <s v="Y"/>
    <s v="No"/>
    <n v="23"/>
    <x v="1"/>
    <n v="4"/>
    <n v="80"/>
    <x v="1"/>
    <n v="5"/>
    <x v="1"/>
    <n v="2"/>
    <n v="5"/>
    <n v="2"/>
    <n v="0"/>
    <n v="4"/>
  </r>
  <r>
    <n v="37"/>
    <x v="1"/>
    <x v="0"/>
    <n v="228"/>
    <x v="0"/>
    <n v="6"/>
    <n v="4"/>
    <s v="Medical"/>
    <n v="1"/>
    <n v="378"/>
    <n v="3"/>
    <x v="1"/>
    <n v="98"/>
    <x v="0"/>
    <n v="2"/>
    <x v="0"/>
    <n v="4"/>
    <x v="1"/>
    <n v="6502"/>
    <n v="22825"/>
    <n v="4"/>
    <s v="Y"/>
    <s v="No"/>
    <n v="14"/>
    <x v="0"/>
    <n v="2"/>
    <n v="80"/>
    <x v="1"/>
    <n v="7"/>
    <x v="3"/>
    <n v="4"/>
    <n v="5"/>
    <n v="4"/>
    <n v="0"/>
    <n v="1"/>
  </r>
  <r>
    <n v="21"/>
    <x v="1"/>
    <x v="0"/>
    <n v="996"/>
    <x v="1"/>
    <n v="3"/>
    <n v="2"/>
    <s v="Medical"/>
    <n v="1"/>
    <n v="379"/>
    <n v="4"/>
    <x v="1"/>
    <n v="100"/>
    <x v="1"/>
    <n v="1"/>
    <x v="1"/>
    <n v="3"/>
    <x v="0"/>
    <n v="3230"/>
    <n v="10531"/>
    <n v="1"/>
    <s v="Y"/>
    <s v="No"/>
    <n v="17"/>
    <x v="0"/>
    <n v="1"/>
    <n v="80"/>
    <x v="0"/>
    <n v="3"/>
    <x v="5"/>
    <n v="4"/>
    <n v="3"/>
    <n v="2"/>
    <n v="1"/>
    <n v="0"/>
  </r>
  <r>
    <n v="37"/>
    <x v="1"/>
    <x v="2"/>
    <n v="728"/>
    <x v="1"/>
    <n v="1"/>
    <n v="4"/>
    <s v="Medical"/>
    <n v="1"/>
    <n v="380"/>
    <n v="1"/>
    <x v="0"/>
    <n v="80"/>
    <x v="0"/>
    <n v="3"/>
    <x v="7"/>
    <n v="4"/>
    <x v="2"/>
    <n v="13603"/>
    <n v="11677"/>
    <n v="2"/>
    <s v="Y"/>
    <s v="Yes"/>
    <n v="18"/>
    <x v="0"/>
    <n v="1"/>
    <n v="80"/>
    <x v="3"/>
    <n v="15"/>
    <x v="2"/>
    <n v="3"/>
    <n v="5"/>
    <n v="2"/>
    <n v="0"/>
    <n v="2"/>
  </r>
  <r>
    <n v="35"/>
    <x v="1"/>
    <x v="0"/>
    <n v="1315"/>
    <x v="1"/>
    <n v="22"/>
    <n v="3"/>
    <s v="Life Sciences"/>
    <n v="1"/>
    <n v="381"/>
    <n v="2"/>
    <x v="0"/>
    <n v="71"/>
    <x v="2"/>
    <n v="3"/>
    <x v="5"/>
    <n v="2"/>
    <x v="2"/>
    <n v="11996"/>
    <n v="19100"/>
    <n v="7"/>
    <s v="Y"/>
    <s v="No"/>
    <n v="18"/>
    <x v="0"/>
    <n v="2"/>
    <n v="80"/>
    <x v="1"/>
    <n v="10"/>
    <x v="6"/>
    <n v="2"/>
    <n v="7"/>
    <n v="7"/>
    <n v="6"/>
    <n v="2"/>
  </r>
  <r>
    <n v="38"/>
    <x v="1"/>
    <x v="0"/>
    <n v="322"/>
    <x v="0"/>
    <n v="7"/>
    <n v="2"/>
    <s v="Medical"/>
    <n v="1"/>
    <n v="382"/>
    <n v="1"/>
    <x v="0"/>
    <n v="44"/>
    <x v="2"/>
    <n v="2"/>
    <x v="0"/>
    <n v="1"/>
    <x v="2"/>
    <n v="5605"/>
    <n v="19191"/>
    <n v="1"/>
    <s v="Y"/>
    <s v="Yes"/>
    <n v="24"/>
    <x v="1"/>
    <n v="3"/>
    <n v="80"/>
    <x v="1"/>
    <n v="8"/>
    <x v="1"/>
    <n v="3"/>
    <n v="8"/>
    <n v="0"/>
    <n v="7"/>
    <n v="7"/>
  </r>
  <r>
    <n v="26"/>
    <x v="1"/>
    <x v="1"/>
    <n v="1479"/>
    <x v="1"/>
    <n v="1"/>
    <n v="3"/>
    <s v="Life Sciences"/>
    <n v="1"/>
    <n v="384"/>
    <n v="3"/>
    <x v="0"/>
    <n v="84"/>
    <x v="0"/>
    <n v="2"/>
    <x v="3"/>
    <n v="2"/>
    <x v="2"/>
    <n v="6397"/>
    <n v="26767"/>
    <n v="1"/>
    <s v="Y"/>
    <s v="No"/>
    <n v="20"/>
    <x v="1"/>
    <n v="1"/>
    <n v="80"/>
    <x v="1"/>
    <n v="6"/>
    <x v="6"/>
    <n v="1"/>
    <n v="6"/>
    <n v="5"/>
    <n v="1"/>
    <n v="4"/>
  </r>
  <r>
    <n v="50"/>
    <x v="1"/>
    <x v="0"/>
    <n v="797"/>
    <x v="1"/>
    <n v="4"/>
    <n v="1"/>
    <s v="Life Sciences"/>
    <n v="1"/>
    <n v="385"/>
    <n v="1"/>
    <x v="1"/>
    <n v="96"/>
    <x v="0"/>
    <n v="5"/>
    <x v="7"/>
    <n v="2"/>
    <x v="2"/>
    <n v="19144"/>
    <n v="15815"/>
    <n v="3"/>
    <s v="Y"/>
    <s v="No"/>
    <n v="14"/>
    <x v="0"/>
    <n v="1"/>
    <n v="80"/>
    <x v="3"/>
    <n v="28"/>
    <x v="5"/>
    <n v="2"/>
    <n v="10"/>
    <n v="4"/>
    <n v="1"/>
    <n v="6"/>
  </r>
  <r>
    <n v="53"/>
    <x v="1"/>
    <x v="0"/>
    <n v="1070"/>
    <x v="1"/>
    <n v="3"/>
    <n v="4"/>
    <s v="Medical"/>
    <n v="1"/>
    <n v="386"/>
    <n v="3"/>
    <x v="1"/>
    <n v="45"/>
    <x v="0"/>
    <n v="4"/>
    <x v="7"/>
    <n v="3"/>
    <x v="1"/>
    <n v="17584"/>
    <n v="21016"/>
    <n v="3"/>
    <s v="Y"/>
    <s v="Yes"/>
    <n v="16"/>
    <x v="0"/>
    <n v="4"/>
    <n v="80"/>
    <x v="2"/>
    <n v="21"/>
    <x v="3"/>
    <n v="2"/>
    <n v="5"/>
    <n v="3"/>
    <n v="1"/>
    <n v="3"/>
  </r>
  <r>
    <n v="42"/>
    <x v="1"/>
    <x v="0"/>
    <n v="635"/>
    <x v="0"/>
    <n v="1"/>
    <n v="1"/>
    <s v="Life Sciences"/>
    <n v="1"/>
    <n v="387"/>
    <n v="2"/>
    <x v="1"/>
    <n v="99"/>
    <x v="0"/>
    <n v="2"/>
    <x v="0"/>
    <n v="3"/>
    <x v="1"/>
    <n v="4907"/>
    <n v="24532"/>
    <n v="1"/>
    <s v="Y"/>
    <s v="No"/>
    <n v="25"/>
    <x v="1"/>
    <n v="3"/>
    <n v="80"/>
    <x v="0"/>
    <n v="20"/>
    <x v="1"/>
    <n v="3"/>
    <n v="20"/>
    <n v="16"/>
    <n v="11"/>
    <n v="6"/>
  </r>
  <r>
    <n v="29"/>
    <x v="1"/>
    <x v="1"/>
    <n v="442"/>
    <x v="0"/>
    <n v="2"/>
    <n v="2"/>
    <s v="Life Sciences"/>
    <n v="1"/>
    <n v="388"/>
    <n v="2"/>
    <x v="1"/>
    <n v="44"/>
    <x v="0"/>
    <n v="2"/>
    <x v="0"/>
    <n v="4"/>
    <x v="0"/>
    <n v="4554"/>
    <n v="20260"/>
    <n v="1"/>
    <s v="Y"/>
    <s v="No"/>
    <n v="18"/>
    <x v="0"/>
    <n v="1"/>
    <n v="80"/>
    <x v="0"/>
    <n v="10"/>
    <x v="1"/>
    <n v="2"/>
    <n v="10"/>
    <n v="7"/>
    <n v="0"/>
    <n v="9"/>
  </r>
  <r>
    <n v="55"/>
    <x v="1"/>
    <x v="0"/>
    <n v="147"/>
    <x v="1"/>
    <n v="20"/>
    <n v="2"/>
    <s v="Technical Degree"/>
    <n v="1"/>
    <n v="389"/>
    <n v="2"/>
    <x v="1"/>
    <n v="37"/>
    <x v="0"/>
    <n v="2"/>
    <x v="2"/>
    <n v="4"/>
    <x v="1"/>
    <n v="5415"/>
    <n v="15972"/>
    <n v="3"/>
    <s v="Y"/>
    <s v="Yes"/>
    <n v="19"/>
    <x v="0"/>
    <n v="4"/>
    <n v="80"/>
    <x v="1"/>
    <n v="12"/>
    <x v="5"/>
    <n v="3"/>
    <n v="10"/>
    <n v="7"/>
    <n v="0"/>
    <n v="8"/>
  </r>
  <r>
    <n v="26"/>
    <x v="1"/>
    <x v="1"/>
    <n v="496"/>
    <x v="1"/>
    <n v="11"/>
    <n v="2"/>
    <s v="Medical"/>
    <n v="1"/>
    <n v="390"/>
    <n v="1"/>
    <x v="1"/>
    <n v="60"/>
    <x v="0"/>
    <n v="2"/>
    <x v="4"/>
    <n v="1"/>
    <x v="1"/>
    <n v="4741"/>
    <n v="22722"/>
    <n v="1"/>
    <s v="Y"/>
    <s v="Yes"/>
    <n v="13"/>
    <x v="0"/>
    <n v="3"/>
    <n v="80"/>
    <x v="1"/>
    <n v="5"/>
    <x v="1"/>
    <n v="3"/>
    <n v="5"/>
    <n v="3"/>
    <n v="3"/>
    <n v="3"/>
  </r>
  <r>
    <n v="37"/>
    <x v="1"/>
    <x v="0"/>
    <n v="1372"/>
    <x v="1"/>
    <n v="1"/>
    <n v="3"/>
    <s v="Life Sciences"/>
    <n v="1"/>
    <n v="391"/>
    <n v="4"/>
    <x v="0"/>
    <n v="42"/>
    <x v="0"/>
    <n v="1"/>
    <x v="1"/>
    <n v="4"/>
    <x v="0"/>
    <n v="2115"/>
    <n v="15881"/>
    <n v="1"/>
    <s v="Y"/>
    <s v="No"/>
    <n v="12"/>
    <x v="0"/>
    <n v="2"/>
    <n v="80"/>
    <x v="0"/>
    <n v="17"/>
    <x v="1"/>
    <n v="3"/>
    <n v="17"/>
    <n v="12"/>
    <n v="5"/>
    <n v="7"/>
  </r>
  <r>
    <n v="44"/>
    <x v="0"/>
    <x v="1"/>
    <n v="920"/>
    <x v="1"/>
    <n v="24"/>
    <n v="3"/>
    <s v="Life Sciences"/>
    <n v="1"/>
    <n v="392"/>
    <n v="4"/>
    <x v="1"/>
    <n v="43"/>
    <x v="0"/>
    <n v="1"/>
    <x v="2"/>
    <n v="3"/>
    <x v="2"/>
    <n v="3161"/>
    <n v="19920"/>
    <n v="3"/>
    <s v="Y"/>
    <s v="Yes"/>
    <n v="22"/>
    <x v="1"/>
    <n v="4"/>
    <n v="80"/>
    <x v="1"/>
    <n v="19"/>
    <x v="0"/>
    <n v="1"/>
    <n v="1"/>
    <n v="0"/>
    <n v="0"/>
    <n v="0"/>
  </r>
  <r>
    <n v="38"/>
    <x v="1"/>
    <x v="0"/>
    <n v="688"/>
    <x v="1"/>
    <n v="23"/>
    <n v="4"/>
    <s v="Life Sciences"/>
    <n v="1"/>
    <n v="393"/>
    <n v="4"/>
    <x v="1"/>
    <n v="82"/>
    <x v="0"/>
    <n v="2"/>
    <x v="4"/>
    <n v="4"/>
    <x v="2"/>
    <n v="5745"/>
    <n v="18899"/>
    <n v="9"/>
    <s v="Y"/>
    <s v="No"/>
    <n v="14"/>
    <x v="0"/>
    <n v="2"/>
    <n v="80"/>
    <x v="1"/>
    <n v="10"/>
    <x v="2"/>
    <n v="3"/>
    <n v="2"/>
    <n v="2"/>
    <n v="1"/>
    <n v="2"/>
  </r>
  <r>
    <n v="26"/>
    <x v="0"/>
    <x v="0"/>
    <n v="1449"/>
    <x v="1"/>
    <n v="16"/>
    <n v="4"/>
    <s v="Medical"/>
    <n v="1"/>
    <n v="394"/>
    <n v="1"/>
    <x v="1"/>
    <n v="45"/>
    <x v="0"/>
    <n v="1"/>
    <x v="2"/>
    <n v="2"/>
    <x v="2"/>
    <n v="2373"/>
    <n v="14180"/>
    <n v="2"/>
    <s v="Y"/>
    <s v="Yes"/>
    <n v="13"/>
    <x v="0"/>
    <n v="4"/>
    <n v="80"/>
    <x v="1"/>
    <n v="5"/>
    <x v="2"/>
    <n v="3"/>
    <n v="3"/>
    <n v="2"/>
    <n v="0"/>
    <n v="2"/>
  </r>
  <r>
    <n v="28"/>
    <x v="1"/>
    <x v="0"/>
    <n v="1117"/>
    <x v="1"/>
    <n v="8"/>
    <n v="2"/>
    <s v="Life Sciences"/>
    <n v="1"/>
    <n v="395"/>
    <n v="4"/>
    <x v="0"/>
    <n v="66"/>
    <x v="0"/>
    <n v="1"/>
    <x v="1"/>
    <n v="4"/>
    <x v="0"/>
    <n v="3310"/>
    <n v="4488"/>
    <n v="1"/>
    <s v="Y"/>
    <s v="No"/>
    <n v="21"/>
    <x v="1"/>
    <n v="4"/>
    <n v="80"/>
    <x v="0"/>
    <n v="5"/>
    <x v="1"/>
    <n v="3"/>
    <n v="5"/>
    <n v="3"/>
    <n v="0"/>
    <n v="2"/>
  </r>
  <r>
    <n v="49"/>
    <x v="1"/>
    <x v="1"/>
    <n v="636"/>
    <x v="1"/>
    <n v="10"/>
    <n v="4"/>
    <s v="Life Sciences"/>
    <n v="1"/>
    <n v="396"/>
    <n v="3"/>
    <x v="0"/>
    <n v="35"/>
    <x v="0"/>
    <n v="5"/>
    <x v="7"/>
    <n v="1"/>
    <x v="0"/>
    <n v="18665"/>
    <n v="25594"/>
    <n v="9"/>
    <s v="Y"/>
    <s v="Yes"/>
    <n v="11"/>
    <x v="0"/>
    <n v="4"/>
    <n v="80"/>
    <x v="0"/>
    <n v="22"/>
    <x v="5"/>
    <n v="3"/>
    <n v="3"/>
    <n v="2"/>
    <n v="1"/>
    <n v="2"/>
  </r>
  <r>
    <n v="36"/>
    <x v="1"/>
    <x v="0"/>
    <n v="506"/>
    <x v="1"/>
    <n v="3"/>
    <n v="3"/>
    <s v="Technical Degree"/>
    <n v="1"/>
    <n v="397"/>
    <n v="3"/>
    <x v="1"/>
    <n v="30"/>
    <x v="0"/>
    <n v="2"/>
    <x v="1"/>
    <n v="2"/>
    <x v="0"/>
    <n v="4485"/>
    <n v="26285"/>
    <n v="4"/>
    <s v="Y"/>
    <s v="No"/>
    <n v="12"/>
    <x v="0"/>
    <n v="4"/>
    <n v="80"/>
    <x v="0"/>
    <n v="10"/>
    <x v="2"/>
    <n v="3"/>
    <n v="8"/>
    <n v="0"/>
    <n v="7"/>
    <n v="7"/>
  </r>
  <r>
    <n v="31"/>
    <x v="1"/>
    <x v="1"/>
    <n v="444"/>
    <x v="0"/>
    <n v="5"/>
    <n v="3"/>
    <s v="Marketing"/>
    <n v="1"/>
    <n v="399"/>
    <n v="4"/>
    <x v="0"/>
    <n v="84"/>
    <x v="0"/>
    <n v="1"/>
    <x v="6"/>
    <n v="2"/>
    <x v="2"/>
    <n v="2789"/>
    <n v="3909"/>
    <n v="1"/>
    <s v="Y"/>
    <s v="No"/>
    <n v="11"/>
    <x v="0"/>
    <n v="3"/>
    <n v="80"/>
    <x v="1"/>
    <n v="2"/>
    <x v="3"/>
    <n v="2"/>
    <n v="2"/>
    <n v="2"/>
    <n v="2"/>
    <n v="2"/>
  </r>
  <r>
    <n v="26"/>
    <x v="0"/>
    <x v="0"/>
    <n v="950"/>
    <x v="0"/>
    <n v="4"/>
    <n v="4"/>
    <s v="Marketing"/>
    <n v="1"/>
    <n v="401"/>
    <n v="4"/>
    <x v="1"/>
    <n v="48"/>
    <x v="1"/>
    <n v="2"/>
    <x v="0"/>
    <n v="4"/>
    <x v="0"/>
    <n v="5828"/>
    <n v="8450"/>
    <n v="1"/>
    <s v="Y"/>
    <s v="Yes"/>
    <n v="12"/>
    <x v="0"/>
    <n v="2"/>
    <n v="80"/>
    <x v="0"/>
    <n v="8"/>
    <x v="0"/>
    <n v="3"/>
    <n v="8"/>
    <n v="7"/>
    <n v="7"/>
    <n v="4"/>
  </r>
  <r>
    <n v="37"/>
    <x v="1"/>
    <x v="1"/>
    <n v="889"/>
    <x v="1"/>
    <n v="9"/>
    <n v="3"/>
    <s v="Medical"/>
    <n v="1"/>
    <n v="403"/>
    <n v="2"/>
    <x v="1"/>
    <n v="53"/>
    <x v="0"/>
    <n v="1"/>
    <x v="1"/>
    <n v="4"/>
    <x v="1"/>
    <n v="2326"/>
    <n v="11411"/>
    <n v="1"/>
    <s v="Y"/>
    <s v="Yes"/>
    <n v="12"/>
    <x v="0"/>
    <n v="3"/>
    <n v="80"/>
    <x v="2"/>
    <n v="4"/>
    <x v="1"/>
    <n v="2"/>
    <n v="4"/>
    <n v="2"/>
    <n v="1"/>
    <n v="2"/>
  </r>
  <r>
    <n v="42"/>
    <x v="1"/>
    <x v="1"/>
    <n v="555"/>
    <x v="0"/>
    <n v="26"/>
    <n v="3"/>
    <s v="Marketing"/>
    <n v="1"/>
    <n v="404"/>
    <n v="3"/>
    <x v="0"/>
    <n v="77"/>
    <x v="0"/>
    <n v="4"/>
    <x v="0"/>
    <n v="2"/>
    <x v="1"/>
    <n v="13525"/>
    <n v="14864"/>
    <n v="5"/>
    <s v="Y"/>
    <s v="No"/>
    <n v="14"/>
    <x v="0"/>
    <n v="4"/>
    <n v="80"/>
    <x v="1"/>
    <n v="23"/>
    <x v="2"/>
    <n v="4"/>
    <n v="20"/>
    <n v="4"/>
    <n v="4"/>
    <n v="8"/>
  </r>
  <r>
    <n v="18"/>
    <x v="0"/>
    <x v="0"/>
    <n v="230"/>
    <x v="1"/>
    <n v="3"/>
    <n v="3"/>
    <s v="Life Sciences"/>
    <n v="1"/>
    <n v="405"/>
    <n v="3"/>
    <x v="1"/>
    <n v="54"/>
    <x v="0"/>
    <n v="1"/>
    <x v="2"/>
    <n v="3"/>
    <x v="0"/>
    <n v="1420"/>
    <n v="25233"/>
    <n v="1"/>
    <s v="Y"/>
    <s v="No"/>
    <n v="13"/>
    <x v="0"/>
    <n v="3"/>
    <n v="80"/>
    <x v="0"/>
    <n v="0"/>
    <x v="2"/>
    <n v="3"/>
    <n v="0"/>
    <n v="0"/>
    <n v="0"/>
    <n v="0"/>
  </r>
  <r>
    <n v="35"/>
    <x v="1"/>
    <x v="0"/>
    <n v="1232"/>
    <x v="0"/>
    <n v="16"/>
    <n v="3"/>
    <s v="Marketing"/>
    <n v="1"/>
    <n v="406"/>
    <n v="3"/>
    <x v="1"/>
    <n v="96"/>
    <x v="0"/>
    <n v="3"/>
    <x v="0"/>
    <n v="2"/>
    <x v="1"/>
    <n v="8020"/>
    <n v="5100"/>
    <n v="0"/>
    <s v="Y"/>
    <s v="No"/>
    <n v="15"/>
    <x v="0"/>
    <n v="3"/>
    <n v="80"/>
    <x v="3"/>
    <n v="12"/>
    <x v="1"/>
    <n v="2"/>
    <n v="11"/>
    <n v="9"/>
    <n v="6"/>
    <n v="9"/>
  </r>
  <r>
    <n v="36"/>
    <x v="1"/>
    <x v="1"/>
    <n v="566"/>
    <x v="1"/>
    <n v="18"/>
    <n v="4"/>
    <s v="Life Sciences"/>
    <n v="1"/>
    <n v="407"/>
    <n v="3"/>
    <x v="1"/>
    <n v="81"/>
    <x v="2"/>
    <n v="1"/>
    <x v="2"/>
    <n v="4"/>
    <x v="1"/>
    <n v="3688"/>
    <n v="7122"/>
    <n v="4"/>
    <s v="Y"/>
    <s v="No"/>
    <n v="18"/>
    <x v="0"/>
    <n v="4"/>
    <n v="80"/>
    <x v="3"/>
    <n v="4"/>
    <x v="2"/>
    <n v="3"/>
    <n v="1"/>
    <n v="0"/>
    <n v="0"/>
    <n v="0"/>
  </r>
  <r>
    <n v="51"/>
    <x v="1"/>
    <x v="0"/>
    <n v="1302"/>
    <x v="1"/>
    <n v="2"/>
    <n v="3"/>
    <s v="Medical"/>
    <n v="1"/>
    <n v="408"/>
    <n v="4"/>
    <x v="1"/>
    <n v="84"/>
    <x v="3"/>
    <n v="2"/>
    <x v="3"/>
    <n v="2"/>
    <x v="2"/>
    <n v="5482"/>
    <n v="16321"/>
    <n v="5"/>
    <s v="Y"/>
    <s v="No"/>
    <n v="18"/>
    <x v="0"/>
    <n v="4"/>
    <n v="80"/>
    <x v="1"/>
    <n v="13"/>
    <x v="1"/>
    <n v="3"/>
    <n v="4"/>
    <n v="1"/>
    <n v="1"/>
    <n v="2"/>
  </r>
  <r>
    <n v="41"/>
    <x v="1"/>
    <x v="0"/>
    <n v="334"/>
    <x v="0"/>
    <n v="2"/>
    <n v="4"/>
    <s v="Life Sciences"/>
    <n v="1"/>
    <n v="410"/>
    <n v="4"/>
    <x v="1"/>
    <n v="88"/>
    <x v="0"/>
    <n v="4"/>
    <x v="5"/>
    <n v="2"/>
    <x v="0"/>
    <n v="16015"/>
    <n v="15896"/>
    <n v="1"/>
    <s v="Y"/>
    <s v="No"/>
    <n v="19"/>
    <x v="0"/>
    <n v="2"/>
    <n v="80"/>
    <x v="0"/>
    <n v="22"/>
    <x v="2"/>
    <n v="3"/>
    <n v="22"/>
    <n v="10"/>
    <n v="0"/>
    <n v="4"/>
  </r>
  <r>
    <n v="18"/>
    <x v="1"/>
    <x v="0"/>
    <n v="812"/>
    <x v="0"/>
    <n v="10"/>
    <n v="3"/>
    <s v="Medical"/>
    <n v="1"/>
    <n v="411"/>
    <n v="4"/>
    <x v="0"/>
    <n v="69"/>
    <x v="1"/>
    <n v="1"/>
    <x v="6"/>
    <n v="3"/>
    <x v="0"/>
    <n v="1200"/>
    <n v="9724"/>
    <n v="1"/>
    <s v="Y"/>
    <s v="No"/>
    <n v="12"/>
    <x v="0"/>
    <n v="1"/>
    <n v="80"/>
    <x v="0"/>
    <n v="0"/>
    <x v="2"/>
    <n v="3"/>
    <n v="0"/>
    <n v="0"/>
    <n v="0"/>
    <n v="0"/>
  </r>
  <r>
    <n v="28"/>
    <x v="1"/>
    <x v="0"/>
    <n v="1476"/>
    <x v="1"/>
    <n v="16"/>
    <n v="2"/>
    <s v="Medical"/>
    <n v="1"/>
    <n v="412"/>
    <n v="2"/>
    <x v="1"/>
    <n v="68"/>
    <x v="2"/>
    <n v="2"/>
    <x v="4"/>
    <n v="1"/>
    <x v="0"/>
    <n v="5661"/>
    <n v="4824"/>
    <n v="0"/>
    <s v="Y"/>
    <s v="No"/>
    <n v="19"/>
    <x v="0"/>
    <n v="3"/>
    <n v="80"/>
    <x v="0"/>
    <n v="9"/>
    <x v="2"/>
    <n v="3"/>
    <n v="8"/>
    <n v="3"/>
    <n v="0"/>
    <n v="7"/>
  </r>
  <r>
    <n v="31"/>
    <x v="1"/>
    <x v="0"/>
    <n v="218"/>
    <x v="0"/>
    <n v="7"/>
    <n v="3"/>
    <s v="Technical Degree"/>
    <n v="1"/>
    <n v="416"/>
    <n v="2"/>
    <x v="1"/>
    <n v="100"/>
    <x v="2"/>
    <n v="2"/>
    <x v="0"/>
    <n v="4"/>
    <x v="1"/>
    <n v="6929"/>
    <n v="12241"/>
    <n v="4"/>
    <s v="Y"/>
    <s v="No"/>
    <n v="11"/>
    <x v="0"/>
    <n v="2"/>
    <n v="80"/>
    <x v="1"/>
    <n v="10"/>
    <x v="1"/>
    <n v="2"/>
    <n v="8"/>
    <n v="7"/>
    <n v="7"/>
    <n v="7"/>
  </r>
  <r>
    <n v="39"/>
    <x v="1"/>
    <x v="0"/>
    <n v="1132"/>
    <x v="1"/>
    <n v="1"/>
    <n v="3"/>
    <s v="Medical"/>
    <n v="1"/>
    <n v="417"/>
    <n v="3"/>
    <x v="1"/>
    <n v="48"/>
    <x v="2"/>
    <n v="3"/>
    <x v="4"/>
    <n v="4"/>
    <x v="2"/>
    <n v="9613"/>
    <n v="10942"/>
    <n v="0"/>
    <s v="Y"/>
    <s v="No"/>
    <n v="17"/>
    <x v="0"/>
    <n v="1"/>
    <n v="80"/>
    <x v="2"/>
    <n v="19"/>
    <x v="3"/>
    <n v="2"/>
    <n v="18"/>
    <n v="10"/>
    <n v="3"/>
    <n v="7"/>
  </r>
  <r>
    <n v="36"/>
    <x v="1"/>
    <x v="2"/>
    <n v="1105"/>
    <x v="1"/>
    <n v="24"/>
    <n v="4"/>
    <s v="Life Sciences"/>
    <n v="1"/>
    <n v="419"/>
    <n v="2"/>
    <x v="0"/>
    <n v="47"/>
    <x v="0"/>
    <n v="2"/>
    <x v="2"/>
    <n v="2"/>
    <x v="1"/>
    <n v="5674"/>
    <n v="6927"/>
    <n v="7"/>
    <s v="Y"/>
    <s v="No"/>
    <n v="15"/>
    <x v="0"/>
    <n v="3"/>
    <n v="80"/>
    <x v="1"/>
    <n v="11"/>
    <x v="1"/>
    <n v="3"/>
    <n v="9"/>
    <n v="8"/>
    <n v="0"/>
    <n v="8"/>
  </r>
  <r>
    <n v="32"/>
    <x v="1"/>
    <x v="0"/>
    <n v="906"/>
    <x v="0"/>
    <n v="7"/>
    <n v="3"/>
    <s v="Life Sciences"/>
    <n v="1"/>
    <n v="420"/>
    <n v="4"/>
    <x v="1"/>
    <n v="91"/>
    <x v="1"/>
    <n v="2"/>
    <x v="0"/>
    <n v="3"/>
    <x v="1"/>
    <n v="5484"/>
    <n v="16985"/>
    <n v="1"/>
    <s v="Y"/>
    <s v="No"/>
    <n v="14"/>
    <x v="0"/>
    <n v="3"/>
    <n v="80"/>
    <x v="1"/>
    <n v="13"/>
    <x v="1"/>
    <n v="2"/>
    <n v="13"/>
    <n v="8"/>
    <n v="4"/>
    <n v="8"/>
  </r>
  <r>
    <n v="38"/>
    <x v="1"/>
    <x v="0"/>
    <n v="849"/>
    <x v="1"/>
    <n v="25"/>
    <n v="2"/>
    <s v="Life Sciences"/>
    <n v="1"/>
    <n v="421"/>
    <n v="1"/>
    <x v="0"/>
    <n v="81"/>
    <x v="1"/>
    <n v="3"/>
    <x v="7"/>
    <n v="2"/>
    <x v="1"/>
    <n v="12061"/>
    <n v="26707"/>
    <n v="3"/>
    <s v="Y"/>
    <s v="No"/>
    <n v="17"/>
    <x v="0"/>
    <n v="3"/>
    <n v="80"/>
    <x v="1"/>
    <n v="19"/>
    <x v="2"/>
    <n v="3"/>
    <n v="10"/>
    <n v="8"/>
    <n v="0"/>
    <n v="1"/>
  </r>
  <r>
    <n v="58"/>
    <x v="1"/>
    <x v="2"/>
    <n v="390"/>
    <x v="1"/>
    <n v="1"/>
    <n v="4"/>
    <s v="Life Sciences"/>
    <n v="1"/>
    <n v="422"/>
    <n v="4"/>
    <x v="1"/>
    <n v="32"/>
    <x v="3"/>
    <n v="2"/>
    <x v="4"/>
    <n v="3"/>
    <x v="2"/>
    <n v="5660"/>
    <n v="17056"/>
    <n v="2"/>
    <s v="Y"/>
    <s v="Yes"/>
    <n v="13"/>
    <x v="0"/>
    <n v="4"/>
    <n v="80"/>
    <x v="1"/>
    <n v="12"/>
    <x v="2"/>
    <n v="3"/>
    <n v="5"/>
    <n v="3"/>
    <n v="1"/>
    <n v="2"/>
  </r>
  <r>
    <n v="31"/>
    <x v="1"/>
    <x v="0"/>
    <n v="691"/>
    <x v="1"/>
    <n v="5"/>
    <n v="4"/>
    <s v="Technical Degree"/>
    <n v="1"/>
    <n v="423"/>
    <n v="3"/>
    <x v="1"/>
    <n v="86"/>
    <x v="0"/>
    <n v="1"/>
    <x v="1"/>
    <n v="4"/>
    <x v="1"/>
    <n v="4821"/>
    <n v="10077"/>
    <n v="0"/>
    <s v="Y"/>
    <s v="Yes"/>
    <n v="12"/>
    <x v="0"/>
    <n v="3"/>
    <n v="80"/>
    <x v="1"/>
    <n v="6"/>
    <x v="5"/>
    <n v="3"/>
    <n v="5"/>
    <n v="2"/>
    <n v="0"/>
    <n v="3"/>
  </r>
  <r>
    <n v="31"/>
    <x v="1"/>
    <x v="0"/>
    <n v="106"/>
    <x v="2"/>
    <n v="2"/>
    <n v="3"/>
    <s v="Human Resources"/>
    <n v="1"/>
    <n v="424"/>
    <n v="1"/>
    <x v="1"/>
    <n v="62"/>
    <x v="1"/>
    <n v="2"/>
    <x v="8"/>
    <n v="1"/>
    <x v="1"/>
    <n v="6410"/>
    <n v="17822"/>
    <n v="3"/>
    <s v="Y"/>
    <s v="No"/>
    <n v="12"/>
    <x v="0"/>
    <n v="4"/>
    <n v="80"/>
    <x v="0"/>
    <n v="9"/>
    <x v="4"/>
    <n v="3"/>
    <n v="2"/>
    <n v="2"/>
    <n v="1"/>
    <n v="0"/>
  </r>
  <r>
    <n v="45"/>
    <x v="1"/>
    <x v="1"/>
    <n v="1249"/>
    <x v="1"/>
    <n v="7"/>
    <n v="3"/>
    <s v="Life Sciences"/>
    <n v="1"/>
    <n v="425"/>
    <n v="1"/>
    <x v="1"/>
    <n v="97"/>
    <x v="0"/>
    <n v="3"/>
    <x v="2"/>
    <n v="1"/>
    <x v="2"/>
    <n v="5210"/>
    <n v="20308"/>
    <n v="1"/>
    <s v="Y"/>
    <s v="No"/>
    <n v="18"/>
    <x v="0"/>
    <n v="1"/>
    <n v="80"/>
    <x v="1"/>
    <n v="24"/>
    <x v="2"/>
    <n v="3"/>
    <n v="24"/>
    <n v="9"/>
    <n v="9"/>
    <n v="11"/>
  </r>
  <r>
    <n v="31"/>
    <x v="1"/>
    <x v="0"/>
    <n v="192"/>
    <x v="1"/>
    <n v="2"/>
    <n v="4"/>
    <s v="Life Sciences"/>
    <n v="1"/>
    <n v="426"/>
    <n v="3"/>
    <x v="1"/>
    <n v="32"/>
    <x v="0"/>
    <n v="1"/>
    <x v="1"/>
    <n v="4"/>
    <x v="2"/>
    <n v="2695"/>
    <n v="7747"/>
    <n v="0"/>
    <s v="Y"/>
    <s v="Yes"/>
    <n v="18"/>
    <x v="0"/>
    <n v="2"/>
    <n v="80"/>
    <x v="1"/>
    <n v="3"/>
    <x v="2"/>
    <n v="1"/>
    <n v="2"/>
    <n v="2"/>
    <n v="2"/>
    <n v="2"/>
  </r>
  <r>
    <n v="33"/>
    <x v="1"/>
    <x v="1"/>
    <n v="553"/>
    <x v="1"/>
    <n v="5"/>
    <n v="4"/>
    <s v="Life Sciences"/>
    <n v="1"/>
    <n v="428"/>
    <n v="4"/>
    <x v="0"/>
    <n v="74"/>
    <x v="0"/>
    <n v="3"/>
    <x v="5"/>
    <n v="2"/>
    <x v="1"/>
    <n v="11878"/>
    <n v="23364"/>
    <n v="6"/>
    <s v="Y"/>
    <s v="No"/>
    <n v="11"/>
    <x v="0"/>
    <n v="2"/>
    <n v="80"/>
    <x v="3"/>
    <n v="12"/>
    <x v="2"/>
    <n v="3"/>
    <n v="10"/>
    <n v="6"/>
    <n v="8"/>
    <n v="8"/>
  </r>
  <r>
    <n v="39"/>
    <x v="1"/>
    <x v="0"/>
    <n v="117"/>
    <x v="1"/>
    <n v="10"/>
    <n v="1"/>
    <s v="Medical"/>
    <n v="1"/>
    <n v="429"/>
    <n v="3"/>
    <x v="1"/>
    <n v="99"/>
    <x v="0"/>
    <n v="4"/>
    <x v="5"/>
    <n v="1"/>
    <x v="1"/>
    <n v="17068"/>
    <n v="5355"/>
    <n v="1"/>
    <s v="Y"/>
    <s v="Yes"/>
    <n v="14"/>
    <x v="0"/>
    <n v="4"/>
    <n v="80"/>
    <x v="0"/>
    <n v="21"/>
    <x v="1"/>
    <n v="3"/>
    <n v="21"/>
    <n v="9"/>
    <n v="11"/>
    <n v="10"/>
  </r>
  <r>
    <n v="43"/>
    <x v="1"/>
    <x v="1"/>
    <n v="185"/>
    <x v="1"/>
    <n v="10"/>
    <n v="4"/>
    <s v="Life Sciences"/>
    <n v="1"/>
    <n v="430"/>
    <n v="3"/>
    <x v="0"/>
    <n v="33"/>
    <x v="0"/>
    <n v="1"/>
    <x v="2"/>
    <n v="4"/>
    <x v="0"/>
    <n v="2455"/>
    <n v="10675"/>
    <n v="0"/>
    <s v="Y"/>
    <s v="No"/>
    <n v="19"/>
    <x v="0"/>
    <n v="1"/>
    <n v="80"/>
    <x v="0"/>
    <n v="9"/>
    <x v="3"/>
    <n v="3"/>
    <n v="8"/>
    <n v="7"/>
    <n v="1"/>
    <n v="7"/>
  </r>
  <r>
    <n v="49"/>
    <x v="1"/>
    <x v="0"/>
    <n v="1091"/>
    <x v="1"/>
    <n v="1"/>
    <n v="2"/>
    <s v="Technical Degree"/>
    <n v="1"/>
    <n v="431"/>
    <n v="3"/>
    <x v="0"/>
    <n v="90"/>
    <x v="1"/>
    <n v="4"/>
    <x v="4"/>
    <n v="3"/>
    <x v="0"/>
    <n v="13964"/>
    <n v="17810"/>
    <n v="7"/>
    <s v="Y"/>
    <s v="Yes"/>
    <n v="12"/>
    <x v="0"/>
    <n v="4"/>
    <n v="80"/>
    <x v="0"/>
    <n v="25"/>
    <x v="2"/>
    <n v="3"/>
    <n v="7"/>
    <n v="1"/>
    <n v="0"/>
    <n v="7"/>
  </r>
  <r>
    <n v="52"/>
    <x v="0"/>
    <x v="0"/>
    <n v="723"/>
    <x v="1"/>
    <n v="8"/>
    <n v="4"/>
    <s v="Medical"/>
    <n v="1"/>
    <n v="433"/>
    <n v="3"/>
    <x v="1"/>
    <n v="85"/>
    <x v="1"/>
    <n v="2"/>
    <x v="1"/>
    <n v="2"/>
    <x v="1"/>
    <n v="4941"/>
    <n v="17747"/>
    <n v="2"/>
    <s v="Y"/>
    <s v="No"/>
    <n v="15"/>
    <x v="0"/>
    <n v="1"/>
    <n v="80"/>
    <x v="0"/>
    <n v="11"/>
    <x v="1"/>
    <n v="2"/>
    <n v="8"/>
    <n v="2"/>
    <n v="7"/>
    <n v="7"/>
  </r>
  <r>
    <n v="27"/>
    <x v="1"/>
    <x v="0"/>
    <n v="1220"/>
    <x v="1"/>
    <n v="5"/>
    <n v="3"/>
    <s v="Life Sciences"/>
    <n v="1"/>
    <n v="434"/>
    <n v="3"/>
    <x v="0"/>
    <n v="85"/>
    <x v="0"/>
    <n v="1"/>
    <x v="1"/>
    <n v="2"/>
    <x v="0"/>
    <n v="2478"/>
    <n v="20938"/>
    <n v="1"/>
    <s v="Y"/>
    <s v="Yes"/>
    <n v="12"/>
    <x v="0"/>
    <n v="2"/>
    <n v="80"/>
    <x v="0"/>
    <n v="4"/>
    <x v="2"/>
    <n v="2"/>
    <n v="4"/>
    <n v="3"/>
    <n v="1"/>
    <n v="2"/>
  </r>
  <r>
    <n v="32"/>
    <x v="1"/>
    <x v="0"/>
    <n v="588"/>
    <x v="0"/>
    <n v="8"/>
    <n v="2"/>
    <s v="Technical Degree"/>
    <n v="1"/>
    <n v="436"/>
    <n v="3"/>
    <x v="0"/>
    <n v="65"/>
    <x v="1"/>
    <n v="2"/>
    <x v="0"/>
    <n v="2"/>
    <x v="1"/>
    <n v="5228"/>
    <n v="24624"/>
    <n v="1"/>
    <s v="Y"/>
    <s v="Yes"/>
    <n v="11"/>
    <x v="0"/>
    <n v="4"/>
    <n v="80"/>
    <x v="0"/>
    <n v="13"/>
    <x v="2"/>
    <n v="3"/>
    <n v="13"/>
    <n v="12"/>
    <n v="11"/>
    <n v="9"/>
  </r>
  <r>
    <n v="27"/>
    <x v="1"/>
    <x v="0"/>
    <n v="1377"/>
    <x v="0"/>
    <n v="2"/>
    <n v="3"/>
    <s v="Life Sciences"/>
    <n v="1"/>
    <n v="437"/>
    <n v="4"/>
    <x v="1"/>
    <n v="74"/>
    <x v="0"/>
    <n v="2"/>
    <x v="0"/>
    <n v="3"/>
    <x v="0"/>
    <n v="4478"/>
    <n v="5242"/>
    <n v="1"/>
    <s v="Y"/>
    <s v="Yes"/>
    <n v="11"/>
    <x v="0"/>
    <n v="1"/>
    <n v="80"/>
    <x v="0"/>
    <n v="5"/>
    <x v="1"/>
    <n v="3"/>
    <n v="5"/>
    <n v="4"/>
    <n v="0"/>
    <n v="4"/>
  </r>
  <r>
    <n v="31"/>
    <x v="1"/>
    <x v="0"/>
    <n v="691"/>
    <x v="0"/>
    <n v="7"/>
    <n v="3"/>
    <s v="Marketing"/>
    <n v="1"/>
    <n v="438"/>
    <n v="4"/>
    <x v="1"/>
    <n v="73"/>
    <x v="0"/>
    <n v="2"/>
    <x v="0"/>
    <n v="4"/>
    <x v="2"/>
    <n v="7547"/>
    <n v="7143"/>
    <n v="4"/>
    <s v="Y"/>
    <s v="No"/>
    <n v="12"/>
    <x v="0"/>
    <n v="4"/>
    <n v="80"/>
    <x v="2"/>
    <n v="13"/>
    <x v="1"/>
    <n v="3"/>
    <n v="7"/>
    <n v="7"/>
    <n v="1"/>
    <n v="7"/>
  </r>
  <r>
    <n v="32"/>
    <x v="1"/>
    <x v="0"/>
    <n v="1018"/>
    <x v="1"/>
    <n v="2"/>
    <n v="4"/>
    <s v="Medical"/>
    <n v="1"/>
    <n v="439"/>
    <n v="1"/>
    <x v="0"/>
    <n v="74"/>
    <x v="2"/>
    <n v="2"/>
    <x v="1"/>
    <n v="4"/>
    <x v="0"/>
    <n v="5055"/>
    <n v="10557"/>
    <n v="7"/>
    <s v="Y"/>
    <s v="No"/>
    <n v="16"/>
    <x v="0"/>
    <n v="3"/>
    <n v="80"/>
    <x v="0"/>
    <n v="10"/>
    <x v="0"/>
    <n v="2"/>
    <n v="7"/>
    <n v="7"/>
    <n v="0"/>
    <n v="7"/>
  </r>
  <r>
    <n v="28"/>
    <x v="0"/>
    <x v="0"/>
    <n v="1157"/>
    <x v="1"/>
    <n v="2"/>
    <n v="4"/>
    <s v="Medical"/>
    <n v="1"/>
    <n v="440"/>
    <n v="1"/>
    <x v="1"/>
    <n v="84"/>
    <x v="3"/>
    <n v="1"/>
    <x v="1"/>
    <n v="4"/>
    <x v="1"/>
    <n v="3464"/>
    <n v="24737"/>
    <n v="5"/>
    <s v="Y"/>
    <s v="Yes"/>
    <n v="13"/>
    <x v="0"/>
    <n v="4"/>
    <n v="80"/>
    <x v="0"/>
    <n v="5"/>
    <x v="5"/>
    <n v="2"/>
    <n v="3"/>
    <n v="2"/>
    <n v="2"/>
    <n v="2"/>
  </r>
  <r>
    <n v="30"/>
    <x v="1"/>
    <x v="0"/>
    <n v="1275"/>
    <x v="1"/>
    <n v="28"/>
    <n v="2"/>
    <s v="Medical"/>
    <n v="1"/>
    <n v="441"/>
    <n v="4"/>
    <x v="0"/>
    <n v="64"/>
    <x v="0"/>
    <n v="2"/>
    <x v="1"/>
    <n v="4"/>
    <x v="1"/>
    <n v="5775"/>
    <n v="11934"/>
    <n v="1"/>
    <s v="Y"/>
    <s v="No"/>
    <n v="13"/>
    <x v="0"/>
    <n v="4"/>
    <n v="80"/>
    <x v="3"/>
    <n v="11"/>
    <x v="2"/>
    <n v="3"/>
    <n v="10"/>
    <n v="8"/>
    <n v="1"/>
    <n v="9"/>
  </r>
  <r>
    <n v="31"/>
    <x v="1"/>
    <x v="1"/>
    <n v="798"/>
    <x v="1"/>
    <n v="7"/>
    <n v="2"/>
    <s v="Life Sciences"/>
    <n v="1"/>
    <n v="442"/>
    <n v="3"/>
    <x v="0"/>
    <n v="48"/>
    <x v="1"/>
    <n v="3"/>
    <x v="3"/>
    <n v="3"/>
    <x v="1"/>
    <n v="8943"/>
    <n v="14034"/>
    <n v="1"/>
    <s v="Y"/>
    <s v="No"/>
    <n v="24"/>
    <x v="1"/>
    <n v="1"/>
    <n v="80"/>
    <x v="1"/>
    <n v="10"/>
    <x v="2"/>
    <n v="3"/>
    <n v="10"/>
    <n v="9"/>
    <n v="8"/>
    <n v="9"/>
  </r>
  <r>
    <n v="39"/>
    <x v="1"/>
    <x v="1"/>
    <n v="672"/>
    <x v="1"/>
    <n v="7"/>
    <n v="2"/>
    <s v="Medical"/>
    <n v="1"/>
    <n v="444"/>
    <n v="3"/>
    <x v="1"/>
    <n v="54"/>
    <x v="1"/>
    <n v="5"/>
    <x v="5"/>
    <n v="4"/>
    <x v="1"/>
    <n v="19272"/>
    <n v="21141"/>
    <n v="1"/>
    <s v="Y"/>
    <s v="No"/>
    <n v="15"/>
    <x v="0"/>
    <n v="1"/>
    <n v="80"/>
    <x v="1"/>
    <n v="21"/>
    <x v="2"/>
    <n v="3"/>
    <n v="21"/>
    <n v="9"/>
    <n v="13"/>
    <n v="3"/>
  </r>
  <r>
    <n v="39"/>
    <x v="0"/>
    <x v="0"/>
    <n v="1162"/>
    <x v="0"/>
    <n v="3"/>
    <n v="2"/>
    <s v="Medical"/>
    <n v="1"/>
    <n v="445"/>
    <n v="4"/>
    <x v="0"/>
    <n v="41"/>
    <x v="0"/>
    <n v="2"/>
    <x v="0"/>
    <n v="3"/>
    <x v="1"/>
    <n v="5238"/>
    <n v="17778"/>
    <n v="4"/>
    <s v="Y"/>
    <s v="Yes"/>
    <n v="18"/>
    <x v="0"/>
    <n v="1"/>
    <n v="80"/>
    <x v="0"/>
    <n v="12"/>
    <x v="1"/>
    <n v="2"/>
    <n v="1"/>
    <n v="0"/>
    <n v="0"/>
    <n v="0"/>
  </r>
  <r>
    <n v="33"/>
    <x v="1"/>
    <x v="1"/>
    <n v="508"/>
    <x v="0"/>
    <n v="10"/>
    <n v="3"/>
    <s v="Marketing"/>
    <n v="1"/>
    <n v="446"/>
    <n v="2"/>
    <x v="1"/>
    <n v="46"/>
    <x v="1"/>
    <n v="2"/>
    <x v="0"/>
    <n v="4"/>
    <x v="0"/>
    <n v="4682"/>
    <n v="4317"/>
    <n v="3"/>
    <s v="Y"/>
    <s v="No"/>
    <n v="14"/>
    <x v="0"/>
    <n v="3"/>
    <n v="80"/>
    <x v="0"/>
    <n v="9"/>
    <x v="6"/>
    <n v="2"/>
    <n v="7"/>
    <n v="7"/>
    <n v="0"/>
    <n v="1"/>
  </r>
  <r>
    <n v="47"/>
    <x v="1"/>
    <x v="0"/>
    <n v="1482"/>
    <x v="1"/>
    <n v="5"/>
    <n v="5"/>
    <s v="Life Sciences"/>
    <n v="1"/>
    <n v="447"/>
    <n v="4"/>
    <x v="1"/>
    <n v="42"/>
    <x v="0"/>
    <n v="5"/>
    <x v="7"/>
    <n v="3"/>
    <x v="1"/>
    <n v="18300"/>
    <n v="16375"/>
    <n v="4"/>
    <s v="Y"/>
    <s v="No"/>
    <n v="11"/>
    <x v="0"/>
    <n v="2"/>
    <n v="80"/>
    <x v="1"/>
    <n v="21"/>
    <x v="2"/>
    <n v="3"/>
    <n v="3"/>
    <n v="2"/>
    <n v="1"/>
    <n v="1"/>
  </r>
  <r>
    <n v="43"/>
    <x v="1"/>
    <x v="1"/>
    <n v="559"/>
    <x v="1"/>
    <n v="10"/>
    <n v="4"/>
    <s v="Life Sciences"/>
    <n v="1"/>
    <n v="448"/>
    <n v="3"/>
    <x v="0"/>
    <n v="82"/>
    <x v="1"/>
    <n v="2"/>
    <x v="2"/>
    <n v="3"/>
    <x v="2"/>
    <n v="5257"/>
    <n v="6227"/>
    <n v="1"/>
    <s v="Y"/>
    <s v="No"/>
    <n v="11"/>
    <x v="0"/>
    <n v="2"/>
    <n v="80"/>
    <x v="1"/>
    <n v="9"/>
    <x v="1"/>
    <n v="4"/>
    <n v="9"/>
    <n v="7"/>
    <n v="0"/>
    <n v="0"/>
  </r>
  <r>
    <n v="27"/>
    <x v="1"/>
    <x v="2"/>
    <n v="210"/>
    <x v="0"/>
    <n v="1"/>
    <n v="1"/>
    <s v="Marketing"/>
    <n v="1"/>
    <n v="449"/>
    <n v="3"/>
    <x v="1"/>
    <n v="73"/>
    <x v="0"/>
    <n v="2"/>
    <x v="0"/>
    <n v="2"/>
    <x v="1"/>
    <n v="6349"/>
    <n v="22107"/>
    <n v="0"/>
    <s v="Y"/>
    <s v="Yes"/>
    <n v="13"/>
    <x v="0"/>
    <n v="4"/>
    <n v="80"/>
    <x v="1"/>
    <n v="6"/>
    <x v="0"/>
    <n v="3"/>
    <n v="5"/>
    <n v="4"/>
    <n v="1"/>
    <n v="4"/>
  </r>
  <r>
    <n v="54"/>
    <x v="1"/>
    <x v="1"/>
    <n v="928"/>
    <x v="1"/>
    <n v="20"/>
    <n v="4"/>
    <s v="Life Sciences"/>
    <n v="1"/>
    <n v="450"/>
    <n v="4"/>
    <x v="0"/>
    <n v="31"/>
    <x v="0"/>
    <n v="2"/>
    <x v="1"/>
    <n v="3"/>
    <x v="0"/>
    <n v="4869"/>
    <n v="16885"/>
    <n v="3"/>
    <s v="Y"/>
    <s v="No"/>
    <n v="12"/>
    <x v="0"/>
    <n v="4"/>
    <n v="80"/>
    <x v="0"/>
    <n v="20"/>
    <x v="5"/>
    <n v="2"/>
    <n v="4"/>
    <n v="3"/>
    <n v="0"/>
    <n v="3"/>
  </r>
  <r>
    <n v="43"/>
    <x v="1"/>
    <x v="0"/>
    <n v="1001"/>
    <x v="1"/>
    <n v="7"/>
    <n v="3"/>
    <s v="Life Sciences"/>
    <n v="1"/>
    <n v="451"/>
    <n v="3"/>
    <x v="0"/>
    <n v="43"/>
    <x v="0"/>
    <n v="3"/>
    <x v="4"/>
    <n v="1"/>
    <x v="1"/>
    <n v="9985"/>
    <n v="9262"/>
    <n v="8"/>
    <s v="Y"/>
    <s v="No"/>
    <n v="16"/>
    <x v="0"/>
    <n v="1"/>
    <n v="80"/>
    <x v="1"/>
    <n v="10"/>
    <x v="4"/>
    <n v="2"/>
    <n v="1"/>
    <n v="0"/>
    <n v="0"/>
    <n v="0"/>
  </r>
  <r>
    <n v="45"/>
    <x v="1"/>
    <x v="0"/>
    <n v="549"/>
    <x v="1"/>
    <n v="8"/>
    <n v="4"/>
    <s v="Other"/>
    <n v="1"/>
    <n v="452"/>
    <n v="4"/>
    <x v="1"/>
    <n v="75"/>
    <x v="0"/>
    <n v="2"/>
    <x v="1"/>
    <n v="4"/>
    <x v="1"/>
    <n v="3697"/>
    <n v="9278"/>
    <n v="9"/>
    <s v="Y"/>
    <s v="No"/>
    <n v="14"/>
    <x v="0"/>
    <n v="1"/>
    <n v="80"/>
    <x v="3"/>
    <n v="12"/>
    <x v="1"/>
    <n v="3"/>
    <n v="10"/>
    <n v="9"/>
    <n v="9"/>
    <n v="8"/>
  </r>
  <r>
    <n v="40"/>
    <x v="1"/>
    <x v="0"/>
    <n v="1124"/>
    <x v="0"/>
    <n v="1"/>
    <n v="2"/>
    <s v="Medical"/>
    <n v="1"/>
    <n v="453"/>
    <n v="2"/>
    <x v="1"/>
    <n v="57"/>
    <x v="3"/>
    <n v="2"/>
    <x v="0"/>
    <n v="4"/>
    <x v="1"/>
    <n v="7457"/>
    <n v="13273"/>
    <n v="2"/>
    <s v="Y"/>
    <s v="Yes"/>
    <n v="22"/>
    <x v="1"/>
    <n v="3"/>
    <n v="80"/>
    <x v="2"/>
    <n v="6"/>
    <x v="2"/>
    <n v="2"/>
    <n v="4"/>
    <n v="3"/>
    <n v="0"/>
    <n v="2"/>
  </r>
  <r>
    <n v="29"/>
    <x v="0"/>
    <x v="0"/>
    <n v="318"/>
    <x v="1"/>
    <n v="8"/>
    <n v="4"/>
    <s v="Other"/>
    <n v="1"/>
    <n v="454"/>
    <n v="2"/>
    <x v="1"/>
    <n v="77"/>
    <x v="3"/>
    <n v="1"/>
    <x v="2"/>
    <n v="1"/>
    <x v="1"/>
    <n v="2119"/>
    <n v="4759"/>
    <n v="1"/>
    <s v="Y"/>
    <s v="Yes"/>
    <n v="11"/>
    <x v="0"/>
    <n v="4"/>
    <n v="80"/>
    <x v="0"/>
    <n v="7"/>
    <x v="5"/>
    <n v="2"/>
    <n v="7"/>
    <n v="7"/>
    <n v="0"/>
    <n v="7"/>
  </r>
  <r>
    <n v="29"/>
    <x v="1"/>
    <x v="0"/>
    <n v="738"/>
    <x v="1"/>
    <n v="9"/>
    <n v="5"/>
    <s v="Other"/>
    <n v="1"/>
    <n v="455"/>
    <n v="2"/>
    <x v="1"/>
    <n v="30"/>
    <x v="1"/>
    <n v="1"/>
    <x v="2"/>
    <n v="4"/>
    <x v="0"/>
    <n v="3983"/>
    <n v="7621"/>
    <n v="0"/>
    <s v="Y"/>
    <s v="No"/>
    <n v="17"/>
    <x v="0"/>
    <n v="3"/>
    <n v="80"/>
    <x v="0"/>
    <n v="4"/>
    <x v="2"/>
    <n v="3"/>
    <n v="3"/>
    <n v="2"/>
    <n v="2"/>
    <n v="2"/>
  </r>
  <r>
    <n v="30"/>
    <x v="1"/>
    <x v="0"/>
    <n v="570"/>
    <x v="0"/>
    <n v="5"/>
    <n v="3"/>
    <s v="Marketing"/>
    <n v="1"/>
    <n v="456"/>
    <n v="4"/>
    <x v="0"/>
    <n v="30"/>
    <x v="1"/>
    <n v="2"/>
    <x v="0"/>
    <n v="3"/>
    <x v="2"/>
    <n v="6118"/>
    <n v="5431"/>
    <n v="1"/>
    <s v="Y"/>
    <s v="No"/>
    <n v="13"/>
    <x v="0"/>
    <n v="3"/>
    <n v="80"/>
    <x v="2"/>
    <n v="10"/>
    <x v="2"/>
    <n v="3"/>
    <n v="10"/>
    <n v="9"/>
    <n v="1"/>
    <n v="2"/>
  </r>
  <r>
    <n v="27"/>
    <x v="1"/>
    <x v="0"/>
    <n v="1130"/>
    <x v="0"/>
    <n v="8"/>
    <n v="4"/>
    <s v="Marketing"/>
    <n v="1"/>
    <n v="458"/>
    <n v="2"/>
    <x v="0"/>
    <n v="56"/>
    <x v="0"/>
    <n v="2"/>
    <x v="0"/>
    <n v="2"/>
    <x v="1"/>
    <n v="6214"/>
    <n v="3415"/>
    <n v="1"/>
    <s v="Y"/>
    <s v="No"/>
    <n v="18"/>
    <x v="0"/>
    <n v="1"/>
    <n v="80"/>
    <x v="1"/>
    <n v="8"/>
    <x v="1"/>
    <n v="3"/>
    <n v="8"/>
    <n v="7"/>
    <n v="0"/>
    <n v="7"/>
  </r>
  <r>
    <n v="37"/>
    <x v="1"/>
    <x v="0"/>
    <n v="1192"/>
    <x v="1"/>
    <n v="5"/>
    <n v="2"/>
    <s v="Medical"/>
    <n v="1"/>
    <n v="460"/>
    <n v="4"/>
    <x v="1"/>
    <n v="61"/>
    <x v="0"/>
    <n v="2"/>
    <x v="3"/>
    <n v="4"/>
    <x v="2"/>
    <n v="6347"/>
    <n v="23177"/>
    <n v="7"/>
    <s v="Y"/>
    <s v="No"/>
    <n v="16"/>
    <x v="0"/>
    <n v="3"/>
    <n v="80"/>
    <x v="3"/>
    <n v="8"/>
    <x v="2"/>
    <n v="2"/>
    <n v="6"/>
    <n v="2"/>
    <n v="0"/>
    <n v="4"/>
  </r>
  <r>
    <n v="38"/>
    <x v="1"/>
    <x v="0"/>
    <n v="343"/>
    <x v="1"/>
    <n v="15"/>
    <n v="2"/>
    <s v="Life Sciences"/>
    <n v="1"/>
    <n v="461"/>
    <n v="3"/>
    <x v="1"/>
    <n v="92"/>
    <x v="1"/>
    <n v="3"/>
    <x v="7"/>
    <n v="4"/>
    <x v="2"/>
    <n v="11510"/>
    <n v="15682"/>
    <n v="0"/>
    <s v="Y"/>
    <s v="Yes"/>
    <n v="14"/>
    <x v="0"/>
    <n v="2"/>
    <n v="80"/>
    <x v="1"/>
    <n v="12"/>
    <x v="1"/>
    <n v="3"/>
    <n v="11"/>
    <n v="10"/>
    <n v="2"/>
    <n v="9"/>
  </r>
  <r>
    <n v="31"/>
    <x v="1"/>
    <x v="0"/>
    <n v="1232"/>
    <x v="1"/>
    <n v="7"/>
    <n v="4"/>
    <s v="Medical"/>
    <n v="1"/>
    <n v="462"/>
    <n v="3"/>
    <x v="0"/>
    <n v="39"/>
    <x v="0"/>
    <n v="3"/>
    <x v="3"/>
    <n v="4"/>
    <x v="0"/>
    <n v="7143"/>
    <n v="25713"/>
    <n v="1"/>
    <s v="Y"/>
    <s v="Yes"/>
    <n v="14"/>
    <x v="0"/>
    <n v="3"/>
    <n v="80"/>
    <x v="0"/>
    <n v="11"/>
    <x v="2"/>
    <n v="2"/>
    <n v="11"/>
    <n v="9"/>
    <n v="4"/>
    <n v="10"/>
  </r>
  <r>
    <n v="29"/>
    <x v="1"/>
    <x v="0"/>
    <n v="144"/>
    <x v="0"/>
    <n v="10"/>
    <n v="1"/>
    <s v="Marketing"/>
    <n v="1"/>
    <n v="463"/>
    <n v="4"/>
    <x v="0"/>
    <n v="39"/>
    <x v="1"/>
    <n v="2"/>
    <x v="0"/>
    <n v="2"/>
    <x v="2"/>
    <n v="8268"/>
    <n v="11866"/>
    <n v="1"/>
    <s v="Y"/>
    <s v="Yes"/>
    <n v="14"/>
    <x v="0"/>
    <n v="1"/>
    <n v="80"/>
    <x v="3"/>
    <n v="7"/>
    <x v="2"/>
    <n v="3"/>
    <n v="7"/>
    <n v="7"/>
    <n v="1"/>
    <n v="7"/>
  </r>
  <r>
    <n v="35"/>
    <x v="1"/>
    <x v="0"/>
    <n v="1296"/>
    <x v="1"/>
    <n v="5"/>
    <n v="4"/>
    <s v="Technical Degree"/>
    <n v="1"/>
    <n v="464"/>
    <n v="3"/>
    <x v="1"/>
    <n v="62"/>
    <x v="0"/>
    <n v="3"/>
    <x v="3"/>
    <n v="2"/>
    <x v="0"/>
    <n v="8095"/>
    <n v="18264"/>
    <n v="0"/>
    <s v="Y"/>
    <s v="No"/>
    <n v="13"/>
    <x v="0"/>
    <n v="4"/>
    <n v="80"/>
    <x v="0"/>
    <n v="17"/>
    <x v="3"/>
    <n v="3"/>
    <n v="16"/>
    <n v="6"/>
    <n v="0"/>
    <n v="13"/>
  </r>
  <r>
    <n v="23"/>
    <x v="1"/>
    <x v="0"/>
    <n v="1309"/>
    <x v="1"/>
    <n v="26"/>
    <n v="1"/>
    <s v="Life Sciences"/>
    <n v="1"/>
    <n v="465"/>
    <n v="3"/>
    <x v="1"/>
    <n v="83"/>
    <x v="0"/>
    <n v="1"/>
    <x v="1"/>
    <n v="4"/>
    <x v="2"/>
    <n v="2904"/>
    <n v="16092"/>
    <n v="1"/>
    <s v="Y"/>
    <s v="No"/>
    <n v="12"/>
    <x v="0"/>
    <n v="3"/>
    <n v="80"/>
    <x v="3"/>
    <n v="4"/>
    <x v="2"/>
    <n v="2"/>
    <n v="4"/>
    <n v="2"/>
    <n v="0"/>
    <n v="2"/>
  </r>
  <r>
    <n v="41"/>
    <x v="1"/>
    <x v="0"/>
    <n v="483"/>
    <x v="1"/>
    <n v="6"/>
    <n v="3"/>
    <s v="Medical"/>
    <n v="1"/>
    <n v="466"/>
    <n v="4"/>
    <x v="1"/>
    <n v="95"/>
    <x v="1"/>
    <n v="2"/>
    <x v="3"/>
    <n v="2"/>
    <x v="0"/>
    <n v="6032"/>
    <n v="10110"/>
    <n v="6"/>
    <s v="Y"/>
    <s v="Yes"/>
    <n v="15"/>
    <x v="0"/>
    <n v="4"/>
    <n v="80"/>
    <x v="0"/>
    <n v="8"/>
    <x v="1"/>
    <n v="3"/>
    <n v="5"/>
    <n v="4"/>
    <n v="1"/>
    <n v="2"/>
  </r>
  <r>
    <n v="47"/>
    <x v="1"/>
    <x v="1"/>
    <n v="1309"/>
    <x v="0"/>
    <n v="4"/>
    <n v="1"/>
    <s v="Medical"/>
    <n v="1"/>
    <n v="467"/>
    <n v="2"/>
    <x v="1"/>
    <n v="99"/>
    <x v="0"/>
    <n v="2"/>
    <x v="6"/>
    <n v="3"/>
    <x v="0"/>
    <n v="2976"/>
    <n v="25751"/>
    <n v="3"/>
    <s v="Y"/>
    <s v="No"/>
    <n v="19"/>
    <x v="0"/>
    <n v="1"/>
    <n v="80"/>
    <x v="0"/>
    <n v="5"/>
    <x v="1"/>
    <n v="3"/>
    <n v="0"/>
    <n v="0"/>
    <n v="0"/>
    <n v="0"/>
  </r>
  <r>
    <n v="42"/>
    <x v="1"/>
    <x v="0"/>
    <n v="810"/>
    <x v="1"/>
    <n v="23"/>
    <n v="5"/>
    <s v="Life Sciences"/>
    <n v="1"/>
    <n v="468"/>
    <n v="1"/>
    <x v="0"/>
    <n v="44"/>
    <x v="0"/>
    <n v="4"/>
    <x v="7"/>
    <n v="4"/>
    <x v="0"/>
    <n v="15992"/>
    <n v="15901"/>
    <n v="2"/>
    <s v="Y"/>
    <s v="No"/>
    <n v="14"/>
    <x v="0"/>
    <n v="2"/>
    <n v="80"/>
    <x v="0"/>
    <n v="16"/>
    <x v="2"/>
    <n v="3"/>
    <n v="1"/>
    <n v="0"/>
    <n v="0"/>
    <n v="0"/>
  </r>
  <r>
    <n v="29"/>
    <x v="1"/>
    <x v="2"/>
    <n v="746"/>
    <x v="0"/>
    <n v="2"/>
    <n v="3"/>
    <s v="Life Sciences"/>
    <n v="1"/>
    <n v="469"/>
    <n v="4"/>
    <x v="1"/>
    <n v="61"/>
    <x v="0"/>
    <n v="2"/>
    <x v="0"/>
    <n v="3"/>
    <x v="1"/>
    <n v="4649"/>
    <n v="16928"/>
    <n v="1"/>
    <s v="Y"/>
    <s v="No"/>
    <n v="14"/>
    <x v="0"/>
    <n v="1"/>
    <n v="80"/>
    <x v="1"/>
    <n v="4"/>
    <x v="1"/>
    <n v="2"/>
    <n v="4"/>
    <n v="3"/>
    <n v="0"/>
    <n v="2"/>
  </r>
  <r>
    <n v="42"/>
    <x v="1"/>
    <x v="0"/>
    <n v="544"/>
    <x v="2"/>
    <n v="2"/>
    <n v="1"/>
    <s v="Technical Degree"/>
    <n v="1"/>
    <n v="470"/>
    <n v="3"/>
    <x v="1"/>
    <n v="52"/>
    <x v="0"/>
    <n v="1"/>
    <x v="8"/>
    <n v="3"/>
    <x v="2"/>
    <n v="2696"/>
    <n v="24017"/>
    <n v="0"/>
    <s v="Y"/>
    <s v="Yes"/>
    <n v="11"/>
    <x v="0"/>
    <n v="3"/>
    <n v="80"/>
    <x v="1"/>
    <n v="4"/>
    <x v="3"/>
    <n v="3"/>
    <n v="3"/>
    <n v="2"/>
    <n v="1"/>
    <n v="0"/>
  </r>
  <r>
    <n v="32"/>
    <x v="1"/>
    <x v="0"/>
    <n v="1062"/>
    <x v="1"/>
    <n v="2"/>
    <n v="3"/>
    <s v="Medical"/>
    <n v="1"/>
    <n v="471"/>
    <n v="3"/>
    <x v="0"/>
    <n v="75"/>
    <x v="0"/>
    <n v="1"/>
    <x v="2"/>
    <n v="2"/>
    <x v="1"/>
    <n v="2370"/>
    <n v="3956"/>
    <n v="1"/>
    <s v="Y"/>
    <s v="No"/>
    <n v="13"/>
    <x v="0"/>
    <n v="3"/>
    <n v="80"/>
    <x v="1"/>
    <n v="8"/>
    <x v="5"/>
    <n v="3"/>
    <n v="8"/>
    <n v="0"/>
    <n v="0"/>
    <n v="7"/>
  </r>
  <r>
    <n v="48"/>
    <x v="1"/>
    <x v="0"/>
    <n v="530"/>
    <x v="0"/>
    <n v="29"/>
    <n v="1"/>
    <s v="Medical"/>
    <n v="1"/>
    <n v="473"/>
    <n v="1"/>
    <x v="0"/>
    <n v="91"/>
    <x v="0"/>
    <n v="3"/>
    <x v="5"/>
    <n v="3"/>
    <x v="1"/>
    <n v="12504"/>
    <n v="23978"/>
    <n v="3"/>
    <s v="Y"/>
    <s v="No"/>
    <n v="21"/>
    <x v="1"/>
    <n v="2"/>
    <n v="80"/>
    <x v="1"/>
    <n v="15"/>
    <x v="1"/>
    <n v="1"/>
    <n v="0"/>
    <n v="0"/>
    <n v="0"/>
    <n v="0"/>
  </r>
  <r>
    <n v="37"/>
    <x v="1"/>
    <x v="0"/>
    <n v="1319"/>
    <x v="1"/>
    <n v="6"/>
    <n v="3"/>
    <s v="Medical"/>
    <n v="1"/>
    <n v="474"/>
    <n v="3"/>
    <x v="1"/>
    <n v="51"/>
    <x v="2"/>
    <n v="2"/>
    <x v="1"/>
    <n v="1"/>
    <x v="2"/>
    <n v="5974"/>
    <n v="17001"/>
    <n v="4"/>
    <s v="Y"/>
    <s v="Yes"/>
    <n v="13"/>
    <x v="0"/>
    <n v="1"/>
    <n v="80"/>
    <x v="3"/>
    <n v="13"/>
    <x v="2"/>
    <n v="3"/>
    <n v="7"/>
    <n v="7"/>
    <n v="6"/>
    <n v="7"/>
  </r>
  <r>
    <n v="30"/>
    <x v="1"/>
    <x v="2"/>
    <n v="641"/>
    <x v="0"/>
    <n v="25"/>
    <n v="2"/>
    <s v="Technical Degree"/>
    <n v="1"/>
    <n v="475"/>
    <n v="4"/>
    <x v="0"/>
    <n v="85"/>
    <x v="0"/>
    <n v="2"/>
    <x v="0"/>
    <n v="3"/>
    <x v="1"/>
    <n v="4736"/>
    <n v="6069"/>
    <n v="7"/>
    <s v="Y"/>
    <s v="Yes"/>
    <n v="12"/>
    <x v="0"/>
    <n v="2"/>
    <n v="80"/>
    <x v="1"/>
    <n v="4"/>
    <x v="2"/>
    <n v="4"/>
    <n v="2"/>
    <n v="2"/>
    <n v="2"/>
    <n v="2"/>
  </r>
  <r>
    <n v="26"/>
    <x v="1"/>
    <x v="0"/>
    <n v="933"/>
    <x v="0"/>
    <n v="1"/>
    <n v="3"/>
    <s v="Life Sciences"/>
    <n v="1"/>
    <n v="476"/>
    <n v="3"/>
    <x v="1"/>
    <n v="57"/>
    <x v="0"/>
    <n v="2"/>
    <x v="0"/>
    <n v="3"/>
    <x v="1"/>
    <n v="5296"/>
    <n v="20156"/>
    <n v="1"/>
    <s v="Y"/>
    <s v="No"/>
    <n v="17"/>
    <x v="0"/>
    <n v="2"/>
    <n v="80"/>
    <x v="1"/>
    <n v="8"/>
    <x v="1"/>
    <n v="3"/>
    <n v="8"/>
    <n v="7"/>
    <n v="7"/>
    <n v="7"/>
  </r>
  <r>
    <n v="42"/>
    <x v="1"/>
    <x v="0"/>
    <n v="1332"/>
    <x v="1"/>
    <n v="2"/>
    <n v="4"/>
    <s v="Other"/>
    <n v="1"/>
    <n v="477"/>
    <n v="1"/>
    <x v="1"/>
    <n v="98"/>
    <x v="1"/>
    <n v="2"/>
    <x v="4"/>
    <n v="4"/>
    <x v="0"/>
    <n v="6781"/>
    <n v="17078"/>
    <n v="3"/>
    <s v="Y"/>
    <s v="No"/>
    <n v="23"/>
    <x v="1"/>
    <n v="2"/>
    <n v="80"/>
    <x v="0"/>
    <n v="14"/>
    <x v="6"/>
    <n v="3"/>
    <n v="1"/>
    <n v="0"/>
    <n v="0"/>
    <n v="0"/>
  </r>
  <r>
    <n v="21"/>
    <x v="0"/>
    <x v="1"/>
    <n v="756"/>
    <x v="0"/>
    <n v="1"/>
    <n v="1"/>
    <s v="Technical Degree"/>
    <n v="1"/>
    <n v="478"/>
    <n v="1"/>
    <x v="0"/>
    <n v="99"/>
    <x v="1"/>
    <n v="1"/>
    <x v="6"/>
    <n v="2"/>
    <x v="0"/>
    <n v="2174"/>
    <n v="9150"/>
    <n v="1"/>
    <s v="Y"/>
    <s v="Yes"/>
    <n v="11"/>
    <x v="0"/>
    <n v="3"/>
    <n v="80"/>
    <x v="0"/>
    <n v="3"/>
    <x v="1"/>
    <n v="3"/>
    <n v="3"/>
    <n v="2"/>
    <n v="1"/>
    <n v="2"/>
  </r>
  <r>
    <n v="36"/>
    <x v="1"/>
    <x v="2"/>
    <n v="845"/>
    <x v="0"/>
    <n v="1"/>
    <n v="5"/>
    <s v="Medical"/>
    <n v="1"/>
    <n v="479"/>
    <n v="4"/>
    <x v="0"/>
    <n v="45"/>
    <x v="0"/>
    <n v="2"/>
    <x v="0"/>
    <n v="4"/>
    <x v="0"/>
    <n v="6653"/>
    <n v="15276"/>
    <n v="4"/>
    <s v="Y"/>
    <s v="No"/>
    <n v="15"/>
    <x v="0"/>
    <n v="2"/>
    <n v="80"/>
    <x v="0"/>
    <n v="7"/>
    <x v="6"/>
    <n v="3"/>
    <n v="1"/>
    <n v="0"/>
    <n v="0"/>
    <n v="0"/>
  </r>
  <r>
    <n v="36"/>
    <x v="1"/>
    <x v="1"/>
    <n v="541"/>
    <x v="0"/>
    <n v="3"/>
    <n v="4"/>
    <s v="Medical"/>
    <n v="1"/>
    <n v="481"/>
    <n v="1"/>
    <x v="1"/>
    <n v="48"/>
    <x v="1"/>
    <n v="3"/>
    <x v="0"/>
    <n v="4"/>
    <x v="1"/>
    <n v="9699"/>
    <n v="7246"/>
    <n v="4"/>
    <s v="Y"/>
    <s v="No"/>
    <n v="11"/>
    <x v="0"/>
    <n v="1"/>
    <n v="80"/>
    <x v="1"/>
    <n v="16"/>
    <x v="2"/>
    <n v="3"/>
    <n v="13"/>
    <n v="9"/>
    <n v="1"/>
    <n v="12"/>
  </r>
  <r>
    <n v="57"/>
    <x v="1"/>
    <x v="0"/>
    <n v="593"/>
    <x v="1"/>
    <n v="1"/>
    <n v="4"/>
    <s v="Medical"/>
    <n v="1"/>
    <n v="482"/>
    <n v="4"/>
    <x v="1"/>
    <n v="88"/>
    <x v="0"/>
    <n v="2"/>
    <x v="4"/>
    <n v="3"/>
    <x v="1"/>
    <n v="6755"/>
    <n v="2967"/>
    <n v="2"/>
    <s v="Y"/>
    <s v="No"/>
    <n v="11"/>
    <x v="0"/>
    <n v="3"/>
    <n v="80"/>
    <x v="0"/>
    <n v="15"/>
    <x v="2"/>
    <n v="3"/>
    <n v="3"/>
    <n v="2"/>
    <n v="1"/>
    <n v="2"/>
  </r>
  <r>
    <n v="40"/>
    <x v="1"/>
    <x v="0"/>
    <n v="1171"/>
    <x v="1"/>
    <n v="10"/>
    <n v="4"/>
    <s v="Life Sciences"/>
    <n v="1"/>
    <n v="483"/>
    <n v="4"/>
    <x v="0"/>
    <n v="46"/>
    <x v="2"/>
    <n v="1"/>
    <x v="2"/>
    <n v="3"/>
    <x v="1"/>
    <n v="2213"/>
    <n v="22495"/>
    <n v="3"/>
    <s v="Y"/>
    <s v="Yes"/>
    <n v="13"/>
    <x v="0"/>
    <n v="3"/>
    <n v="80"/>
    <x v="1"/>
    <n v="10"/>
    <x v="1"/>
    <n v="3"/>
    <n v="7"/>
    <n v="7"/>
    <n v="1"/>
    <n v="7"/>
  </r>
  <r>
    <n v="21"/>
    <x v="1"/>
    <x v="2"/>
    <n v="895"/>
    <x v="0"/>
    <n v="9"/>
    <n v="2"/>
    <s v="Medical"/>
    <n v="1"/>
    <n v="484"/>
    <n v="1"/>
    <x v="1"/>
    <n v="39"/>
    <x v="0"/>
    <n v="1"/>
    <x v="6"/>
    <n v="4"/>
    <x v="0"/>
    <n v="2610"/>
    <n v="2851"/>
    <n v="1"/>
    <s v="Y"/>
    <s v="No"/>
    <n v="24"/>
    <x v="1"/>
    <n v="3"/>
    <n v="80"/>
    <x v="0"/>
    <n v="3"/>
    <x v="1"/>
    <n v="2"/>
    <n v="3"/>
    <n v="2"/>
    <n v="2"/>
    <n v="2"/>
  </r>
  <r>
    <n v="33"/>
    <x v="0"/>
    <x v="0"/>
    <n v="350"/>
    <x v="0"/>
    <n v="5"/>
    <n v="3"/>
    <s v="Marketing"/>
    <n v="1"/>
    <n v="485"/>
    <n v="4"/>
    <x v="0"/>
    <n v="34"/>
    <x v="0"/>
    <n v="1"/>
    <x v="6"/>
    <n v="3"/>
    <x v="0"/>
    <n v="2851"/>
    <n v="9150"/>
    <n v="1"/>
    <s v="Y"/>
    <s v="Yes"/>
    <n v="13"/>
    <x v="0"/>
    <n v="2"/>
    <n v="80"/>
    <x v="0"/>
    <n v="1"/>
    <x v="2"/>
    <n v="3"/>
    <n v="1"/>
    <n v="0"/>
    <n v="0"/>
    <n v="0"/>
  </r>
  <r>
    <n v="37"/>
    <x v="1"/>
    <x v="0"/>
    <n v="921"/>
    <x v="1"/>
    <n v="10"/>
    <n v="3"/>
    <s v="Medical"/>
    <n v="1"/>
    <n v="486"/>
    <n v="3"/>
    <x v="0"/>
    <n v="98"/>
    <x v="0"/>
    <n v="1"/>
    <x v="2"/>
    <n v="1"/>
    <x v="1"/>
    <n v="3452"/>
    <n v="17663"/>
    <n v="6"/>
    <s v="Y"/>
    <s v="No"/>
    <n v="20"/>
    <x v="1"/>
    <n v="2"/>
    <n v="80"/>
    <x v="1"/>
    <n v="17"/>
    <x v="1"/>
    <n v="3"/>
    <n v="5"/>
    <n v="4"/>
    <n v="0"/>
    <n v="3"/>
  </r>
  <r>
    <n v="46"/>
    <x v="1"/>
    <x v="2"/>
    <n v="1144"/>
    <x v="1"/>
    <n v="7"/>
    <n v="4"/>
    <s v="Medical"/>
    <n v="1"/>
    <n v="487"/>
    <n v="3"/>
    <x v="0"/>
    <n v="30"/>
    <x v="0"/>
    <n v="2"/>
    <x v="3"/>
    <n v="3"/>
    <x v="1"/>
    <n v="5258"/>
    <n v="16044"/>
    <n v="2"/>
    <s v="Y"/>
    <s v="No"/>
    <n v="14"/>
    <x v="0"/>
    <n v="3"/>
    <n v="80"/>
    <x v="0"/>
    <n v="7"/>
    <x v="2"/>
    <n v="4"/>
    <n v="1"/>
    <n v="0"/>
    <n v="0"/>
    <n v="0"/>
  </r>
  <r>
    <n v="41"/>
    <x v="0"/>
    <x v="1"/>
    <n v="143"/>
    <x v="0"/>
    <n v="4"/>
    <n v="3"/>
    <s v="Marketing"/>
    <n v="1"/>
    <n v="488"/>
    <n v="1"/>
    <x v="1"/>
    <n v="56"/>
    <x v="0"/>
    <n v="2"/>
    <x v="0"/>
    <n v="2"/>
    <x v="0"/>
    <n v="9355"/>
    <n v="9558"/>
    <n v="1"/>
    <s v="Y"/>
    <s v="No"/>
    <n v="18"/>
    <x v="0"/>
    <n v="3"/>
    <n v="80"/>
    <x v="0"/>
    <n v="8"/>
    <x v="3"/>
    <n v="3"/>
    <n v="8"/>
    <n v="7"/>
    <n v="7"/>
    <n v="7"/>
  </r>
  <r>
    <n v="50"/>
    <x v="1"/>
    <x v="0"/>
    <n v="1046"/>
    <x v="1"/>
    <n v="10"/>
    <n v="3"/>
    <s v="Technical Degree"/>
    <n v="1"/>
    <n v="491"/>
    <n v="4"/>
    <x v="1"/>
    <n v="100"/>
    <x v="1"/>
    <n v="3"/>
    <x v="4"/>
    <n v="4"/>
    <x v="0"/>
    <n v="10496"/>
    <n v="2755"/>
    <n v="6"/>
    <s v="Y"/>
    <s v="No"/>
    <n v="15"/>
    <x v="0"/>
    <n v="4"/>
    <n v="80"/>
    <x v="0"/>
    <n v="20"/>
    <x v="2"/>
    <n v="3"/>
    <n v="4"/>
    <n v="3"/>
    <n v="1"/>
    <n v="3"/>
  </r>
  <r>
    <n v="40"/>
    <x v="0"/>
    <x v="0"/>
    <n v="575"/>
    <x v="0"/>
    <n v="22"/>
    <n v="2"/>
    <s v="Marketing"/>
    <n v="1"/>
    <n v="492"/>
    <n v="3"/>
    <x v="1"/>
    <n v="68"/>
    <x v="1"/>
    <n v="2"/>
    <x v="0"/>
    <n v="3"/>
    <x v="1"/>
    <n v="6380"/>
    <n v="6110"/>
    <n v="2"/>
    <s v="Y"/>
    <s v="Yes"/>
    <n v="12"/>
    <x v="0"/>
    <n v="1"/>
    <n v="80"/>
    <x v="3"/>
    <n v="8"/>
    <x v="6"/>
    <n v="3"/>
    <n v="6"/>
    <n v="4"/>
    <n v="1"/>
    <n v="0"/>
  </r>
  <r>
    <n v="31"/>
    <x v="1"/>
    <x v="0"/>
    <n v="408"/>
    <x v="1"/>
    <n v="9"/>
    <n v="4"/>
    <s v="Life Sciences"/>
    <n v="1"/>
    <n v="493"/>
    <n v="3"/>
    <x v="1"/>
    <n v="42"/>
    <x v="1"/>
    <n v="1"/>
    <x v="1"/>
    <n v="2"/>
    <x v="0"/>
    <n v="2657"/>
    <n v="7551"/>
    <n v="0"/>
    <s v="Y"/>
    <s v="Yes"/>
    <n v="16"/>
    <x v="0"/>
    <n v="4"/>
    <n v="80"/>
    <x v="0"/>
    <n v="3"/>
    <x v="3"/>
    <n v="3"/>
    <n v="2"/>
    <n v="2"/>
    <n v="2"/>
    <n v="2"/>
  </r>
  <r>
    <n v="21"/>
    <x v="0"/>
    <x v="0"/>
    <n v="156"/>
    <x v="0"/>
    <n v="12"/>
    <n v="3"/>
    <s v="Life Sciences"/>
    <n v="1"/>
    <n v="494"/>
    <n v="3"/>
    <x v="0"/>
    <n v="90"/>
    <x v="2"/>
    <n v="1"/>
    <x v="6"/>
    <n v="2"/>
    <x v="0"/>
    <n v="2716"/>
    <n v="25422"/>
    <n v="1"/>
    <s v="Y"/>
    <s v="No"/>
    <n v="15"/>
    <x v="0"/>
    <n v="4"/>
    <n v="80"/>
    <x v="0"/>
    <n v="1"/>
    <x v="0"/>
    <n v="3"/>
    <n v="1"/>
    <n v="0"/>
    <n v="0"/>
    <n v="0"/>
  </r>
  <r>
    <n v="29"/>
    <x v="1"/>
    <x v="0"/>
    <n v="1283"/>
    <x v="1"/>
    <n v="23"/>
    <n v="3"/>
    <s v="Life Sciences"/>
    <n v="1"/>
    <n v="495"/>
    <n v="4"/>
    <x v="1"/>
    <n v="54"/>
    <x v="0"/>
    <n v="1"/>
    <x v="1"/>
    <n v="4"/>
    <x v="0"/>
    <n v="2201"/>
    <n v="18168"/>
    <n v="9"/>
    <s v="Y"/>
    <s v="No"/>
    <n v="16"/>
    <x v="0"/>
    <n v="4"/>
    <n v="80"/>
    <x v="0"/>
    <n v="6"/>
    <x v="5"/>
    <n v="3"/>
    <n v="3"/>
    <n v="2"/>
    <n v="1"/>
    <n v="2"/>
  </r>
  <r>
    <n v="35"/>
    <x v="1"/>
    <x v="0"/>
    <n v="755"/>
    <x v="1"/>
    <n v="9"/>
    <n v="4"/>
    <s v="Life Sciences"/>
    <n v="1"/>
    <n v="496"/>
    <n v="3"/>
    <x v="1"/>
    <n v="97"/>
    <x v="1"/>
    <n v="2"/>
    <x v="4"/>
    <n v="2"/>
    <x v="0"/>
    <n v="6540"/>
    <n v="19394"/>
    <n v="9"/>
    <s v="Y"/>
    <s v="No"/>
    <n v="19"/>
    <x v="0"/>
    <n v="3"/>
    <n v="80"/>
    <x v="0"/>
    <n v="10"/>
    <x v="3"/>
    <n v="3"/>
    <n v="1"/>
    <n v="1"/>
    <n v="0"/>
    <n v="0"/>
  </r>
  <r>
    <n v="27"/>
    <x v="1"/>
    <x v="0"/>
    <n v="1469"/>
    <x v="1"/>
    <n v="1"/>
    <n v="2"/>
    <s v="Medical"/>
    <n v="1"/>
    <n v="497"/>
    <n v="4"/>
    <x v="1"/>
    <n v="82"/>
    <x v="0"/>
    <n v="1"/>
    <x v="2"/>
    <n v="2"/>
    <x v="2"/>
    <n v="3816"/>
    <n v="17881"/>
    <n v="1"/>
    <s v="Y"/>
    <s v="No"/>
    <n v="11"/>
    <x v="0"/>
    <n v="2"/>
    <n v="80"/>
    <x v="1"/>
    <n v="5"/>
    <x v="2"/>
    <n v="3"/>
    <n v="5"/>
    <n v="2"/>
    <n v="0"/>
    <n v="4"/>
  </r>
  <r>
    <n v="28"/>
    <x v="1"/>
    <x v="0"/>
    <n v="304"/>
    <x v="0"/>
    <n v="9"/>
    <n v="4"/>
    <s v="Life Sciences"/>
    <n v="1"/>
    <n v="498"/>
    <n v="2"/>
    <x v="1"/>
    <n v="92"/>
    <x v="0"/>
    <n v="2"/>
    <x v="0"/>
    <n v="4"/>
    <x v="0"/>
    <n v="5253"/>
    <n v="20750"/>
    <n v="1"/>
    <s v="Y"/>
    <s v="No"/>
    <n v="16"/>
    <x v="0"/>
    <n v="4"/>
    <n v="80"/>
    <x v="0"/>
    <n v="7"/>
    <x v="4"/>
    <n v="3"/>
    <n v="7"/>
    <n v="5"/>
    <n v="0"/>
    <n v="7"/>
  </r>
  <r>
    <n v="49"/>
    <x v="1"/>
    <x v="0"/>
    <n v="1261"/>
    <x v="1"/>
    <n v="7"/>
    <n v="3"/>
    <s v="Other"/>
    <n v="1"/>
    <n v="499"/>
    <n v="2"/>
    <x v="1"/>
    <n v="31"/>
    <x v="1"/>
    <n v="3"/>
    <x v="4"/>
    <n v="3"/>
    <x v="0"/>
    <n v="10965"/>
    <n v="12066"/>
    <n v="8"/>
    <s v="Y"/>
    <s v="No"/>
    <n v="24"/>
    <x v="1"/>
    <n v="3"/>
    <n v="80"/>
    <x v="0"/>
    <n v="26"/>
    <x v="2"/>
    <n v="3"/>
    <n v="5"/>
    <n v="2"/>
    <n v="0"/>
    <n v="0"/>
  </r>
  <r>
    <n v="51"/>
    <x v="1"/>
    <x v="0"/>
    <n v="1178"/>
    <x v="0"/>
    <n v="14"/>
    <n v="2"/>
    <s v="Life Sciences"/>
    <n v="1"/>
    <n v="500"/>
    <n v="3"/>
    <x v="0"/>
    <n v="87"/>
    <x v="0"/>
    <n v="2"/>
    <x v="0"/>
    <n v="4"/>
    <x v="1"/>
    <n v="4936"/>
    <n v="14862"/>
    <n v="4"/>
    <s v="Y"/>
    <s v="No"/>
    <n v="11"/>
    <x v="0"/>
    <n v="3"/>
    <n v="80"/>
    <x v="1"/>
    <n v="18"/>
    <x v="2"/>
    <n v="2"/>
    <n v="7"/>
    <n v="7"/>
    <n v="0"/>
    <n v="7"/>
  </r>
  <r>
    <n v="36"/>
    <x v="1"/>
    <x v="0"/>
    <n v="329"/>
    <x v="1"/>
    <n v="2"/>
    <n v="3"/>
    <s v="Life Sciences"/>
    <n v="1"/>
    <n v="501"/>
    <n v="4"/>
    <x v="0"/>
    <n v="96"/>
    <x v="0"/>
    <n v="1"/>
    <x v="1"/>
    <n v="3"/>
    <x v="1"/>
    <n v="2543"/>
    <n v="11868"/>
    <n v="4"/>
    <s v="Y"/>
    <s v="No"/>
    <n v="13"/>
    <x v="0"/>
    <n v="2"/>
    <n v="80"/>
    <x v="1"/>
    <n v="6"/>
    <x v="1"/>
    <n v="3"/>
    <n v="2"/>
    <n v="2"/>
    <n v="2"/>
    <n v="2"/>
  </r>
  <r>
    <n v="34"/>
    <x v="0"/>
    <x v="2"/>
    <n v="1362"/>
    <x v="0"/>
    <n v="19"/>
    <n v="3"/>
    <s v="Marketing"/>
    <n v="1"/>
    <n v="502"/>
    <n v="1"/>
    <x v="1"/>
    <n v="67"/>
    <x v="2"/>
    <n v="2"/>
    <x v="0"/>
    <n v="4"/>
    <x v="0"/>
    <n v="5304"/>
    <n v="4652"/>
    <n v="8"/>
    <s v="Y"/>
    <s v="Yes"/>
    <n v="13"/>
    <x v="0"/>
    <n v="2"/>
    <n v="80"/>
    <x v="0"/>
    <n v="9"/>
    <x v="1"/>
    <n v="2"/>
    <n v="5"/>
    <n v="2"/>
    <n v="0"/>
    <n v="4"/>
  </r>
  <r>
    <n v="55"/>
    <x v="1"/>
    <x v="0"/>
    <n v="1311"/>
    <x v="1"/>
    <n v="2"/>
    <n v="3"/>
    <s v="Life Sciences"/>
    <n v="1"/>
    <n v="505"/>
    <n v="3"/>
    <x v="0"/>
    <n v="97"/>
    <x v="0"/>
    <n v="4"/>
    <x v="5"/>
    <n v="4"/>
    <x v="0"/>
    <n v="16659"/>
    <n v="23258"/>
    <n v="2"/>
    <s v="Y"/>
    <s v="Yes"/>
    <n v="13"/>
    <x v="0"/>
    <n v="3"/>
    <n v="80"/>
    <x v="0"/>
    <n v="30"/>
    <x v="2"/>
    <n v="3"/>
    <n v="5"/>
    <n v="4"/>
    <n v="1"/>
    <n v="2"/>
  </r>
  <r>
    <n v="24"/>
    <x v="1"/>
    <x v="0"/>
    <n v="1371"/>
    <x v="0"/>
    <n v="10"/>
    <n v="4"/>
    <s v="Marketing"/>
    <n v="1"/>
    <n v="507"/>
    <n v="4"/>
    <x v="0"/>
    <n v="77"/>
    <x v="0"/>
    <n v="2"/>
    <x v="0"/>
    <n v="3"/>
    <x v="2"/>
    <n v="4260"/>
    <n v="5915"/>
    <n v="1"/>
    <s v="Y"/>
    <s v="Yes"/>
    <n v="12"/>
    <x v="0"/>
    <n v="4"/>
    <n v="80"/>
    <x v="1"/>
    <n v="5"/>
    <x v="2"/>
    <n v="4"/>
    <n v="5"/>
    <n v="2"/>
    <n v="0"/>
    <n v="3"/>
  </r>
  <r>
    <n v="30"/>
    <x v="1"/>
    <x v="0"/>
    <n v="202"/>
    <x v="0"/>
    <n v="2"/>
    <n v="1"/>
    <s v="Technical Degree"/>
    <n v="1"/>
    <n v="508"/>
    <n v="3"/>
    <x v="1"/>
    <n v="72"/>
    <x v="0"/>
    <n v="1"/>
    <x v="6"/>
    <n v="2"/>
    <x v="1"/>
    <n v="2476"/>
    <n v="17434"/>
    <n v="1"/>
    <s v="Y"/>
    <s v="No"/>
    <n v="18"/>
    <x v="0"/>
    <n v="1"/>
    <n v="80"/>
    <x v="1"/>
    <n v="1"/>
    <x v="1"/>
    <n v="3"/>
    <n v="1"/>
    <n v="0"/>
    <n v="0"/>
    <n v="0"/>
  </r>
  <r>
    <n v="26"/>
    <x v="0"/>
    <x v="1"/>
    <n v="575"/>
    <x v="1"/>
    <n v="3"/>
    <n v="1"/>
    <s v="Technical Degree"/>
    <n v="1"/>
    <n v="510"/>
    <n v="3"/>
    <x v="1"/>
    <n v="73"/>
    <x v="0"/>
    <n v="1"/>
    <x v="1"/>
    <n v="1"/>
    <x v="0"/>
    <n v="3102"/>
    <n v="6582"/>
    <n v="0"/>
    <s v="Y"/>
    <s v="No"/>
    <n v="22"/>
    <x v="1"/>
    <n v="3"/>
    <n v="80"/>
    <x v="0"/>
    <n v="7"/>
    <x v="2"/>
    <n v="3"/>
    <n v="6"/>
    <n v="4"/>
    <n v="0"/>
    <n v="4"/>
  </r>
  <r>
    <n v="22"/>
    <x v="1"/>
    <x v="0"/>
    <n v="253"/>
    <x v="1"/>
    <n v="11"/>
    <n v="3"/>
    <s v="Medical"/>
    <n v="1"/>
    <n v="511"/>
    <n v="1"/>
    <x v="0"/>
    <n v="43"/>
    <x v="0"/>
    <n v="1"/>
    <x v="1"/>
    <n v="2"/>
    <x v="1"/>
    <n v="2244"/>
    <n v="24440"/>
    <n v="1"/>
    <s v="Y"/>
    <s v="No"/>
    <n v="13"/>
    <x v="0"/>
    <n v="4"/>
    <n v="80"/>
    <x v="1"/>
    <n v="2"/>
    <x v="4"/>
    <n v="3"/>
    <n v="2"/>
    <n v="1"/>
    <n v="1"/>
    <n v="2"/>
  </r>
  <r>
    <n v="36"/>
    <x v="1"/>
    <x v="0"/>
    <n v="164"/>
    <x v="0"/>
    <n v="2"/>
    <n v="2"/>
    <s v="Medical"/>
    <n v="1"/>
    <n v="513"/>
    <n v="2"/>
    <x v="1"/>
    <n v="61"/>
    <x v="1"/>
    <n v="3"/>
    <x v="0"/>
    <n v="3"/>
    <x v="1"/>
    <n v="7596"/>
    <n v="3809"/>
    <n v="1"/>
    <s v="Y"/>
    <s v="No"/>
    <n v="13"/>
    <x v="0"/>
    <n v="2"/>
    <n v="80"/>
    <x v="3"/>
    <n v="10"/>
    <x v="2"/>
    <n v="3"/>
    <n v="10"/>
    <n v="9"/>
    <n v="9"/>
    <n v="0"/>
  </r>
  <r>
    <n v="30"/>
    <x v="0"/>
    <x v="1"/>
    <n v="464"/>
    <x v="1"/>
    <n v="4"/>
    <n v="3"/>
    <s v="Technical Degree"/>
    <n v="1"/>
    <n v="514"/>
    <n v="3"/>
    <x v="1"/>
    <n v="40"/>
    <x v="0"/>
    <n v="1"/>
    <x v="1"/>
    <n v="4"/>
    <x v="0"/>
    <n v="2285"/>
    <n v="3427"/>
    <n v="9"/>
    <s v="Y"/>
    <s v="Yes"/>
    <n v="23"/>
    <x v="1"/>
    <n v="3"/>
    <n v="80"/>
    <x v="0"/>
    <n v="3"/>
    <x v="5"/>
    <n v="3"/>
    <n v="1"/>
    <n v="0"/>
    <n v="0"/>
    <n v="0"/>
  </r>
  <r>
    <n v="37"/>
    <x v="1"/>
    <x v="0"/>
    <n v="1107"/>
    <x v="1"/>
    <n v="14"/>
    <n v="3"/>
    <s v="Life Sciences"/>
    <n v="1"/>
    <n v="515"/>
    <n v="4"/>
    <x v="0"/>
    <n v="95"/>
    <x v="0"/>
    <n v="1"/>
    <x v="2"/>
    <n v="1"/>
    <x v="2"/>
    <n v="3034"/>
    <n v="26914"/>
    <n v="1"/>
    <s v="Y"/>
    <s v="No"/>
    <n v="12"/>
    <x v="0"/>
    <n v="3"/>
    <n v="80"/>
    <x v="1"/>
    <n v="18"/>
    <x v="2"/>
    <n v="2"/>
    <n v="18"/>
    <n v="7"/>
    <n v="12"/>
    <n v="17"/>
  </r>
  <r>
    <n v="40"/>
    <x v="1"/>
    <x v="0"/>
    <n v="759"/>
    <x v="0"/>
    <n v="2"/>
    <n v="2"/>
    <s v="Marketing"/>
    <n v="1"/>
    <n v="516"/>
    <n v="4"/>
    <x v="0"/>
    <n v="46"/>
    <x v="0"/>
    <n v="2"/>
    <x v="0"/>
    <n v="2"/>
    <x v="2"/>
    <n v="5715"/>
    <n v="22553"/>
    <n v="7"/>
    <s v="Y"/>
    <s v="No"/>
    <n v="12"/>
    <x v="0"/>
    <n v="3"/>
    <n v="80"/>
    <x v="3"/>
    <n v="8"/>
    <x v="3"/>
    <n v="3"/>
    <n v="5"/>
    <n v="4"/>
    <n v="1"/>
    <n v="3"/>
  </r>
  <r>
    <n v="42"/>
    <x v="1"/>
    <x v="0"/>
    <n v="201"/>
    <x v="1"/>
    <n v="1"/>
    <n v="4"/>
    <s v="Life Sciences"/>
    <n v="1"/>
    <n v="517"/>
    <n v="2"/>
    <x v="0"/>
    <n v="95"/>
    <x v="0"/>
    <n v="1"/>
    <x v="2"/>
    <n v="1"/>
    <x v="2"/>
    <n v="2576"/>
    <n v="20490"/>
    <n v="3"/>
    <s v="Y"/>
    <s v="No"/>
    <n v="16"/>
    <x v="0"/>
    <n v="2"/>
    <n v="80"/>
    <x v="1"/>
    <n v="8"/>
    <x v="3"/>
    <n v="3"/>
    <n v="5"/>
    <n v="2"/>
    <n v="1"/>
    <n v="2"/>
  </r>
  <r>
    <n v="37"/>
    <x v="1"/>
    <x v="0"/>
    <n v="1305"/>
    <x v="1"/>
    <n v="10"/>
    <n v="4"/>
    <s v="Life Sciences"/>
    <n v="1"/>
    <n v="518"/>
    <n v="3"/>
    <x v="1"/>
    <n v="49"/>
    <x v="0"/>
    <n v="2"/>
    <x v="3"/>
    <n v="2"/>
    <x v="0"/>
    <n v="4197"/>
    <n v="21123"/>
    <n v="2"/>
    <s v="Y"/>
    <s v="Yes"/>
    <n v="12"/>
    <x v="0"/>
    <n v="4"/>
    <n v="80"/>
    <x v="0"/>
    <n v="18"/>
    <x v="2"/>
    <n v="2"/>
    <n v="1"/>
    <n v="0"/>
    <n v="0"/>
    <n v="1"/>
  </r>
  <r>
    <n v="43"/>
    <x v="1"/>
    <x v="0"/>
    <n v="982"/>
    <x v="1"/>
    <n v="12"/>
    <n v="3"/>
    <s v="Life Sciences"/>
    <n v="1"/>
    <n v="520"/>
    <n v="1"/>
    <x v="1"/>
    <n v="59"/>
    <x v="1"/>
    <n v="4"/>
    <x v="7"/>
    <n v="2"/>
    <x v="2"/>
    <n v="14336"/>
    <n v="4345"/>
    <n v="1"/>
    <s v="Y"/>
    <s v="No"/>
    <n v="11"/>
    <x v="0"/>
    <n v="3"/>
    <n v="80"/>
    <x v="1"/>
    <n v="25"/>
    <x v="1"/>
    <n v="3"/>
    <n v="25"/>
    <n v="10"/>
    <n v="3"/>
    <n v="9"/>
  </r>
  <r>
    <n v="40"/>
    <x v="1"/>
    <x v="0"/>
    <n v="555"/>
    <x v="1"/>
    <n v="2"/>
    <n v="3"/>
    <s v="Medical"/>
    <n v="1"/>
    <n v="521"/>
    <n v="2"/>
    <x v="0"/>
    <n v="78"/>
    <x v="1"/>
    <n v="2"/>
    <x v="2"/>
    <n v="3"/>
    <x v="1"/>
    <n v="3448"/>
    <n v="13436"/>
    <n v="6"/>
    <s v="Y"/>
    <s v="No"/>
    <n v="22"/>
    <x v="1"/>
    <n v="2"/>
    <n v="80"/>
    <x v="1"/>
    <n v="20"/>
    <x v="1"/>
    <n v="3"/>
    <n v="1"/>
    <n v="0"/>
    <n v="0"/>
    <n v="0"/>
  </r>
  <r>
    <n v="54"/>
    <x v="1"/>
    <x v="0"/>
    <n v="821"/>
    <x v="1"/>
    <n v="5"/>
    <n v="2"/>
    <s v="Medical"/>
    <n v="1"/>
    <n v="522"/>
    <n v="1"/>
    <x v="1"/>
    <n v="86"/>
    <x v="0"/>
    <n v="5"/>
    <x v="7"/>
    <n v="1"/>
    <x v="1"/>
    <n v="19406"/>
    <n v="8509"/>
    <n v="4"/>
    <s v="Y"/>
    <s v="No"/>
    <n v="11"/>
    <x v="0"/>
    <n v="3"/>
    <n v="80"/>
    <x v="1"/>
    <n v="24"/>
    <x v="5"/>
    <n v="2"/>
    <n v="4"/>
    <n v="2"/>
    <n v="1"/>
    <n v="2"/>
  </r>
  <r>
    <n v="34"/>
    <x v="1"/>
    <x v="2"/>
    <n v="1381"/>
    <x v="0"/>
    <n v="4"/>
    <n v="4"/>
    <s v="Marketing"/>
    <n v="1"/>
    <n v="523"/>
    <n v="3"/>
    <x v="0"/>
    <n v="72"/>
    <x v="0"/>
    <n v="2"/>
    <x v="0"/>
    <n v="3"/>
    <x v="1"/>
    <n v="6538"/>
    <n v="12740"/>
    <n v="9"/>
    <s v="Y"/>
    <s v="No"/>
    <n v="15"/>
    <x v="0"/>
    <n v="1"/>
    <n v="80"/>
    <x v="1"/>
    <n v="6"/>
    <x v="1"/>
    <n v="3"/>
    <n v="3"/>
    <n v="2"/>
    <n v="1"/>
    <n v="2"/>
  </r>
  <r>
    <n v="31"/>
    <x v="1"/>
    <x v="0"/>
    <n v="480"/>
    <x v="1"/>
    <n v="7"/>
    <n v="2"/>
    <s v="Medical"/>
    <n v="1"/>
    <n v="524"/>
    <n v="2"/>
    <x v="0"/>
    <n v="31"/>
    <x v="0"/>
    <n v="2"/>
    <x v="3"/>
    <n v="1"/>
    <x v="1"/>
    <n v="4306"/>
    <n v="4156"/>
    <n v="1"/>
    <s v="Y"/>
    <s v="No"/>
    <n v="12"/>
    <x v="0"/>
    <n v="2"/>
    <n v="80"/>
    <x v="1"/>
    <n v="13"/>
    <x v="3"/>
    <n v="1"/>
    <n v="13"/>
    <n v="10"/>
    <n v="3"/>
    <n v="12"/>
  </r>
  <r>
    <n v="43"/>
    <x v="1"/>
    <x v="1"/>
    <n v="313"/>
    <x v="1"/>
    <n v="21"/>
    <n v="3"/>
    <s v="Medical"/>
    <n v="1"/>
    <n v="525"/>
    <n v="4"/>
    <x v="1"/>
    <n v="61"/>
    <x v="0"/>
    <n v="1"/>
    <x v="2"/>
    <n v="4"/>
    <x v="1"/>
    <n v="2258"/>
    <n v="15238"/>
    <n v="7"/>
    <s v="Y"/>
    <s v="No"/>
    <n v="20"/>
    <x v="1"/>
    <n v="1"/>
    <n v="80"/>
    <x v="1"/>
    <n v="8"/>
    <x v="4"/>
    <n v="3"/>
    <n v="3"/>
    <n v="2"/>
    <n v="1"/>
    <n v="2"/>
  </r>
  <r>
    <n v="43"/>
    <x v="1"/>
    <x v="0"/>
    <n v="1473"/>
    <x v="1"/>
    <n v="8"/>
    <n v="4"/>
    <s v="Other"/>
    <n v="1"/>
    <n v="526"/>
    <n v="3"/>
    <x v="0"/>
    <n v="74"/>
    <x v="0"/>
    <n v="2"/>
    <x v="4"/>
    <n v="3"/>
    <x v="2"/>
    <n v="4522"/>
    <n v="2227"/>
    <n v="4"/>
    <s v="Y"/>
    <s v="Yes"/>
    <n v="14"/>
    <x v="0"/>
    <n v="4"/>
    <n v="80"/>
    <x v="0"/>
    <n v="8"/>
    <x v="1"/>
    <n v="3"/>
    <n v="5"/>
    <n v="2"/>
    <n v="0"/>
    <n v="2"/>
  </r>
  <r>
    <n v="25"/>
    <x v="1"/>
    <x v="0"/>
    <n v="891"/>
    <x v="0"/>
    <n v="4"/>
    <n v="2"/>
    <s v="Life Sciences"/>
    <n v="1"/>
    <n v="527"/>
    <n v="2"/>
    <x v="0"/>
    <n v="99"/>
    <x v="1"/>
    <n v="2"/>
    <x v="0"/>
    <n v="4"/>
    <x v="0"/>
    <n v="4487"/>
    <n v="12090"/>
    <n v="1"/>
    <s v="Y"/>
    <s v="Yes"/>
    <n v="11"/>
    <x v="0"/>
    <n v="2"/>
    <n v="80"/>
    <x v="0"/>
    <n v="5"/>
    <x v="1"/>
    <n v="3"/>
    <n v="5"/>
    <n v="4"/>
    <n v="1"/>
    <n v="3"/>
  </r>
  <r>
    <n v="37"/>
    <x v="1"/>
    <x v="2"/>
    <n v="1063"/>
    <x v="1"/>
    <n v="25"/>
    <n v="5"/>
    <s v="Medical"/>
    <n v="1"/>
    <n v="529"/>
    <n v="2"/>
    <x v="0"/>
    <n v="72"/>
    <x v="0"/>
    <n v="2"/>
    <x v="1"/>
    <n v="3"/>
    <x v="1"/>
    <n v="4449"/>
    <n v="23866"/>
    <n v="3"/>
    <s v="Y"/>
    <s v="Yes"/>
    <n v="15"/>
    <x v="0"/>
    <n v="1"/>
    <n v="80"/>
    <x v="3"/>
    <n v="15"/>
    <x v="2"/>
    <n v="3"/>
    <n v="13"/>
    <n v="11"/>
    <n v="10"/>
    <n v="7"/>
  </r>
  <r>
    <n v="31"/>
    <x v="1"/>
    <x v="0"/>
    <n v="329"/>
    <x v="1"/>
    <n v="1"/>
    <n v="2"/>
    <s v="Life Sciences"/>
    <n v="1"/>
    <n v="530"/>
    <n v="4"/>
    <x v="1"/>
    <n v="98"/>
    <x v="1"/>
    <n v="1"/>
    <x v="2"/>
    <n v="1"/>
    <x v="1"/>
    <n v="2218"/>
    <n v="16193"/>
    <n v="1"/>
    <s v="Y"/>
    <s v="No"/>
    <n v="12"/>
    <x v="0"/>
    <n v="3"/>
    <n v="80"/>
    <x v="1"/>
    <n v="4"/>
    <x v="1"/>
    <n v="3"/>
    <n v="4"/>
    <n v="2"/>
    <n v="3"/>
    <n v="2"/>
  </r>
  <r>
    <n v="39"/>
    <x v="1"/>
    <x v="1"/>
    <n v="1218"/>
    <x v="1"/>
    <n v="1"/>
    <n v="1"/>
    <s v="Life Sciences"/>
    <n v="1"/>
    <n v="531"/>
    <n v="2"/>
    <x v="1"/>
    <n v="52"/>
    <x v="0"/>
    <n v="5"/>
    <x v="5"/>
    <n v="3"/>
    <x v="2"/>
    <n v="19197"/>
    <n v="8213"/>
    <n v="1"/>
    <s v="Y"/>
    <s v="Yes"/>
    <n v="14"/>
    <x v="0"/>
    <n v="3"/>
    <n v="80"/>
    <x v="1"/>
    <n v="21"/>
    <x v="1"/>
    <n v="3"/>
    <n v="21"/>
    <n v="8"/>
    <n v="1"/>
    <n v="6"/>
  </r>
  <r>
    <n v="56"/>
    <x v="1"/>
    <x v="1"/>
    <n v="906"/>
    <x v="0"/>
    <n v="6"/>
    <n v="3"/>
    <s v="Life Sciences"/>
    <n v="1"/>
    <n v="532"/>
    <n v="3"/>
    <x v="0"/>
    <n v="86"/>
    <x v="2"/>
    <n v="4"/>
    <x v="0"/>
    <n v="1"/>
    <x v="1"/>
    <n v="13212"/>
    <n v="18256"/>
    <n v="9"/>
    <s v="Y"/>
    <s v="No"/>
    <n v="11"/>
    <x v="0"/>
    <n v="4"/>
    <n v="80"/>
    <x v="2"/>
    <n v="36"/>
    <x v="0"/>
    <n v="2"/>
    <n v="7"/>
    <n v="7"/>
    <n v="7"/>
    <n v="7"/>
  </r>
  <r>
    <n v="30"/>
    <x v="1"/>
    <x v="0"/>
    <n v="1082"/>
    <x v="0"/>
    <n v="12"/>
    <n v="3"/>
    <s v="Technical Degree"/>
    <n v="1"/>
    <n v="533"/>
    <n v="2"/>
    <x v="0"/>
    <n v="83"/>
    <x v="0"/>
    <n v="2"/>
    <x v="0"/>
    <n v="3"/>
    <x v="0"/>
    <n v="6577"/>
    <n v="19558"/>
    <n v="0"/>
    <s v="Y"/>
    <s v="No"/>
    <n v="11"/>
    <x v="0"/>
    <n v="2"/>
    <n v="80"/>
    <x v="0"/>
    <n v="6"/>
    <x v="6"/>
    <n v="3"/>
    <n v="5"/>
    <n v="4"/>
    <n v="4"/>
    <n v="4"/>
  </r>
  <r>
    <n v="41"/>
    <x v="1"/>
    <x v="0"/>
    <n v="645"/>
    <x v="0"/>
    <n v="1"/>
    <n v="3"/>
    <s v="Marketing"/>
    <n v="1"/>
    <n v="534"/>
    <n v="2"/>
    <x v="1"/>
    <n v="49"/>
    <x v="2"/>
    <n v="3"/>
    <x v="0"/>
    <n v="1"/>
    <x v="1"/>
    <n v="8392"/>
    <n v="19566"/>
    <n v="1"/>
    <s v="Y"/>
    <s v="No"/>
    <n v="16"/>
    <x v="0"/>
    <n v="3"/>
    <n v="80"/>
    <x v="1"/>
    <n v="10"/>
    <x v="2"/>
    <n v="3"/>
    <n v="10"/>
    <n v="7"/>
    <n v="0"/>
    <n v="7"/>
  </r>
  <r>
    <n v="28"/>
    <x v="1"/>
    <x v="0"/>
    <n v="1300"/>
    <x v="1"/>
    <n v="17"/>
    <n v="2"/>
    <s v="Medical"/>
    <n v="1"/>
    <n v="536"/>
    <n v="3"/>
    <x v="1"/>
    <n v="79"/>
    <x v="0"/>
    <n v="2"/>
    <x v="2"/>
    <n v="1"/>
    <x v="2"/>
    <n v="4558"/>
    <n v="13535"/>
    <n v="1"/>
    <s v="Y"/>
    <s v="No"/>
    <n v="12"/>
    <x v="0"/>
    <n v="4"/>
    <n v="80"/>
    <x v="1"/>
    <n v="10"/>
    <x v="2"/>
    <n v="3"/>
    <n v="10"/>
    <n v="0"/>
    <n v="1"/>
    <n v="8"/>
  </r>
  <r>
    <n v="25"/>
    <x v="0"/>
    <x v="0"/>
    <n v="688"/>
    <x v="1"/>
    <n v="3"/>
    <n v="3"/>
    <s v="Medical"/>
    <n v="1"/>
    <n v="538"/>
    <n v="1"/>
    <x v="1"/>
    <n v="91"/>
    <x v="0"/>
    <n v="1"/>
    <x v="2"/>
    <n v="1"/>
    <x v="1"/>
    <n v="4031"/>
    <n v="9396"/>
    <n v="5"/>
    <s v="Y"/>
    <s v="No"/>
    <n v="13"/>
    <x v="0"/>
    <n v="3"/>
    <n v="80"/>
    <x v="1"/>
    <n v="6"/>
    <x v="3"/>
    <n v="3"/>
    <n v="2"/>
    <n v="2"/>
    <n v="0"/>
    <n v="2"/>
  </r>
  <r>
    <n v="52"/>
    <x v="1"/>
    <x v="0"/>
    <n v="319"/>
    <x v="1"/>
    <n v="3"/>
    <n v="3"/>
    <s v="Medical"/>
    <n v="1"/>
    <n v="543"/>
    <n v="4"/>
    <x v="1"/>
    <n v="39"/>
    <x v="1"/>
    <n v="3"/>
    <x v="3"/>
    <n v="3"/>
    <x v="1"/>
    <n v="7969"/>
    <n v="19609"/>
    <n v="2"/>
    <s v="Y"/>
    <s v="Yes"/>
    <n v="14"/>
    <x v="0"/>
    <n v="3"/>
    <n v="80"/>
    <x v="0"/>
    <n v="28"/>
    <x v="5"/>
    <n v="3"/>
    <n v="5"/>
    <n v="4"/>
    <n v="0"/>
    <n v="4"/>
  </r>
  <r>
    <n v="45"/>
    <x v="1"/>
    <x v="0"/>
    <n v="192"/>
    <x v="1"/>
    <n v="10"/>
    <n v="2"/>
    <s v="Life Sciences"/>
    <n v="1"/>
    <n v="544"/>
    <n v="1"/>
    <x v="1"/>
    <n v="69"/>
    <x v="0"/>
    <n v="1"/>
    <x v="1"/>
    <n v="4"/>
    <x v="1"/>
    <n v="2654"/>
    <n v="9655"/>
    <n v="3"/>
    <s v="Y"/>
    <s v="No"/>
    <n v="21"/>
    <x v="1"/>
    <n v="4"/>
    <n v="80"/>
    <x v="3"/>
    <n v="8"/>
    <x v="1"/>
    <n v="2"/>
    <n v="2"/>
    <n v="2"/>
    <n v="0"/>
    <n v="2"/>
  </r>
  <r>
    <n v="52"/>
    <x v="1"/>
    <x v="0"/>
    <n v="1490"/>
    <x v="1"/>
    <n v="4"/>
    <n v="2"/>
    <s v="Life Sciences"/>
    <n v="1"/>
    <n v="546"/>
    <n v="4"/>
    <x v="0"/>
    <n v="30"/>
    <x v="0"/>
    <n v="4"/>
    <x v="5"/>
    <n v="4"/>
    <x v="1"/>
    <n v="16555"/>
    <n v="10310"/>
    <n v="2"/>
    <s v="Y"/>
    <s v="No"/>
    <n v="13"/>
    <x v="0"/>
    <n v="4"/>
    <n v="80"/>
    <x v="0"/>
    <n v="31"/>
    <x v="2"/>
    <n v="1"/>
    <n v="5"/>
    <n v="2"/>
    <n v="1"/>
    <n v="4"/>
  </r>
  <r>
    <n v="42"/>
    <x v="1"/>
    <x v="1"/>
    <n v="532"/>
    <x v="1"/>
    <n v="29"/>
    <n v="2"/>
    <s v="Life Sciences"/>
    <n v="1"/>
    <n v="547"/>
    <n v="1"/>
    <x v="0"/>
    <n v="92"/>
    <x v="0"/>
    <n v="2"/>
    <x v="1"/>
    <n v="3"/>
    <x v="2"/>
    <n v="4556"/>
    <n v="12932"/>
    <n v="2"/>
    <s v="Y"/>
    <s v="No"/>
    <n v="11"/>
    <x v="0"/>
    <n v="2"/>
    <n v="80"/>
    <x v="1"/>
    <n v="19"/>
    <x v="1"/>
    <n v="3"/>
    <n v="5"/>
    <n v="4"/>
    <n v="0"/>
    <n v="2"/>
  </r>
  <r>
    <n v="30"/>
    <x v="1"/>
    <x v="0"/>
    <n v="317"/>
    <x v="1"/>
    <n v="2"/>
    <n v="3"/>
    <s v="Life Sciences"/>
    <n v="1"/>
    <n v="548"/>
    <n v="3"/>
    <x v="0"/>
    <n v="43"/>
    <x v="3"/>
    <n v="2"/>
    <x v="3"/>
    <n v="4"/>
    <x v="0"/>
    <n v="6091"/>
    <n v="24793"/>
    <n v="2"/>
    <s v="Y"/>
    <s v="No"/>
    <n v="20"/>
    <x v="1"/>
    <n v="3"/>
    <n v="80"/>
    <x v="0"/>
    <n v="11"/>
    <x v="2"/>
    <n v="3"/>
    <n v="5"/>
    <n v="4"/>
    <n v="0"/>
    <n v="2"/>
  </r>
  <r>
    <n v="60"/>
    <x v="1"/>
    <x v="0"/>
    <n v="422"/>
    <x v="1"/>
    <n v="7"/>
    <n v="3"/>
    <s v="Life Sciences"/>
    <n v="1"/>
    <n v="549"/>
    <n v="1"/>
    <x v="0"/>
    <n v="41"/>
    <x v="0"/>
    <n v="5"/>
    <x v="5"/>
    <n v="1"/>
    <x v="1"/>
    <n v="19566"/>
    <n v="3854"/>
    <n v="5"/>
    <s v="Y"/>
    <s v="No"/>
    <n v="11"/>
    <x v="0"/>
    <n v="4"/>
    <n v="80"/>
    <x v="0"/>
    <n v="33"/>
    <x v="3"/>
    <n v="1"/>
    <n v="29"/>
    <n v="8"/>
    <n v="11"/>
    <n v="10"/>
  </r>
  <r>
    <n v="46"/>
    <x v="1"/>
    <x v="0"/>
    <n v="1485"/>
    <x v="1"/>
    <n v="18"/>
    <n v="3"/>
    <s v="Medical"/>
    <n v="1"/>
    <n v="550"/>
    <n v="3"/>
    <x v="0"/>
    <n v="87"/>
    <x v="0"/>
    <n v="2"/>
    <x v="3"/>
    <n v="3"/>
    <x v="2"/>
    <n v="4810"/>
    <n v="26314"/>
    <n v="2"/>
    <s v="Y"/>
    <s v="No"/>
    <n v="14"/>
    <x v="0"/>
    <n v="3"/>
    <n v="80"/>
    <x v="1"/>
    <n v="19"/>
    <x v="3"/>
    <n v="2"/>
    <n v="10"/>
    <n v="7"/>
    <n v="0"/>
    <n v="8"/>
  </r>
  <r>
    <n v="42"/>
    <x v="1"/>
    <x v="1"/>
    <n v="1368"/>
    <x v="1"/>
    <n v="28"/>
    <n v="4"/>
    <s v="Technical Degree"/>
    <n v="1"/>
    <n v="551"/>
    <n v="4"/>
    <x v="0"/>
    <n v="88"/>
    <x v="1"/>
    <n v="2"/>
    <x v="4"/>
    <n v="4"/>
    <x v="1"/>
    <n v="4523"/>
    <n v="4386"/>
    <n v="0"/>
    <s v="Y"/>
    <s v="No"/>
    <n v="11"/>
    <x v="0"/>
    <n v="4"/>
    <n v="80"/>
    <x v="2"/>
    <n v="7"/>
    <x v="5"/>
    <n v="4"/>
    <n v="6"/>
    <n v="5"/>
    <n v="0"/>
    <n v="4"/>
  </r>
  <r>
    <n v="24"/>
    <x v="0"/>
    <x v="0"/>
    <n v="1448"/>
    <x v="0"/>
    <n v="1"/>
    <n v="1"/>
    <s v="Technical Degree"/>
    <n v="1"/>
    <n v="554"/>
    <n v="1"/>
    <x v="0"/>
    <n v="62"/>
    <x v="0"/>
    <n v="1"/>
    <x v="6"/>
    <n v="2"/>
    <x v="0"/>
    <n v="3202"/>
    <n v="21972"/>
    <n v="1"/>
    <s v="Y"/>
    <s v="Yes"/>
    <n v="16"/>
    <x v="0"/>
    <n v="2"/>
    <n v="80"/>
    <x v="0"/>
    <n v="6"/>
    <x v="5"/>
    <n v="3"/>
    <n v="5"/>
    <n v="3"/>
    <n v="1"/>
    <n v="4"/>
  </r>
  <r>
    <n v="34"/>
    <x v="0"/>
    <x v="1"/>
    <n v="296"/>
    <x v="0"/>
    <n v="6"/>
    <n v="2"/>
    <s v="Marketing"/>
    <n v="1"/>
    <n v="555"/>
    <n v="4"/>
    <x v="0"/>
    <n v="33"/>
    <x v="3"/>
    <n v="1"/>
    <x v="6"/>
    <n v="3"/>
    <x v="2"/>
    <n v="2351"/>
    <n v="12253"/>
    <n v="0"/>
    <s v="Y"/>
    <s v="No"/>
    <n v="16"/>
    <x v="0"/>
    <n v="4"/>
    <n v="80"/>
    <x v="1"/>
    <n v="3"/>
    <x v="1"/>
    <n v="2"/>
    <n v="2"/>
    <n v="2"/>
    <n v="1"/>
    <n v="0"/>
  </r>
  <r>
    <n v="38"/>
    <x v="1"/>
    <x v="1"/>
    <n v="1490"/>
    <x v="1"/>
    <n v="2"/>
    <n v="2"/>
    <s v="Life Sciences"/>
    <n v="1"/>
    <n v="556"/>
    <n v="4"/>
    <x v="1"/>
    <n v="42"/>
    <x v="0"/>
    <n v="1"/>
    <x v="2"/>
    <n v="4"/>
    <x v="1"/>
    <n v="1702"/>
    <n v="12106"/>
    <n v="1"/>
    <s v="Y"/>
    <s v="Yes"/>
    <n v="23"/>
    <x v="1"/>
    <n v="3"/>
    <n v="80"/>
    <x v="1"/>
    <n v="1"/>
    <x v="1"/>
    <n v="3"/>
    <n v="1"/>
    <n v="0"/>
    <n v="0"/>
    <n v="0"/>
  </r>
  <r>
    <n v="40"/>
    <x v="1"/>
    <x v="0"/>
    <n v="1398"/>
    <x v="0"/>
    <n v="2"/>
    <n v="4"/>
    <s v="Life Sciences"/>
    <n v="1"/>
    <n v="558"/>
    <n v="3"/>
    <x v="0"/>
    <n v="79"/>
    <x v="0"/>
    <n v="5"/>
    <x v="5"/>
    <n v="3"/>
    <x v="1"/>
    <n v="18041"/>
    <n v="13022"/>
    <n v="0"/>
    <s v="Y"/>
    <s v="No"/>
    <n v="14"/>
    <x v="0"/>
    <n v="4"/>
    <n v="80"/>
    <x v="0"/>
    <n v="21"/>
    <x v="2"/>
    <n v="3"/>
    <n v="20"/>
    <n v="15"/>
    <n v="1"/>
    <n v="12"/>
  </r>
  <r>
    <n v="26"/>
    <x v="1"/>
    <x v="0"/>
    <n v="1349"/>
    <x v="1"/>
    <n v="23"/>
    <n v="3"/>
    <s v="Life Sciences"/>
    <n v="1"/>
    <n v="560"/>
    <n v="1"/>
    <x v="0"/>
    <n v="90"/>
    <x v="0"/>
    <n v="1"/>
    <x v="1"/>
    <n v="4"/>
    <x v="2"/>
    <n v="2886"/>
    <n v="3032"/>
    <n v="1"/>
    <s v="Y"/>
    <s v="No"/>
    <n v="22"/>
    <x v="1"/>
    <n v="2"/>
    <n v="80"/>
    <x v="3"/>
    <n v="3"/>
    <x v="1"/>
    <n v="1"/>
    <n v="3"/>
    <n v="2"/>
    <n v="0"/>
    <n v="2"/>
  </r>
  <r>
    <n v="30"/>
    <x v="1"/>
    <x v="2"/>
    <n v="1400"/>
    <x v="1"/>
    <n v="3"/>
    <n v="3"/>
    <s v="Life Sciences"/>
    <n v="1"/>
    <n v="562"/>
    <n v="3"/>
    <x v="1"/>
    <n v="53"/>
    <x v="0"/>
    <n v="1"/>
    <x v="2"/>
    <n v="4"/>
    <x v="1"/>
    <n v="2097"/>
    <n v="16734"/>
    <n v="4"/>
    <s v="Y"/>
    <s v="No"/>
    <n v="15"/>
    <x v="0"/>
    <n v="3"/>
    <n v="80"/>
    <x v="1"/>
    <n v="9"/>
    <x v="1"/>
    <n v="1"/>
    <n v="5"/>
    <n v="3"/>
    <n v="1"/>
    <n v="4"/>
  </r>
  <r>
    <n v="29"/>
    <x v="1"/>
    <x v="0"/>
    <n v="986"/>
    <x v="1"/>
    <n v="3"/>
    <n v="4"/>
    <s v="Medical"/>
    <n v="1"/>
    <n v="564"/>
    <n v="2"/>
    <x v="1"/>
    <n v="93"/>
    <x v="1"/>
    <n v="3"/>
    <x v="7"/>
    <n v="3"/>
    <x v="1"/>
    <n v="11935"/>
    <n v="21526"/>
    <n v="1"/>
    <s v="Y"/>
    <s v="No"/>
    <n v="18"/>
    <x v="0"/>
    <n v="3"/>
    <n v="80"/>
    <x v="0"/>
    <n v="10"/>
    <x v="2"/>
    <n v="3"/>
    <n v="10"/>
    <n v="2"/>
    <n v="0"/>
    <n v="7"/>
  </r>
  <r>
    <n v="29"/>
    <x v="0"/>
    <x v="0"/>
    <n v="408"/>
    <x v="1"/>
    <n v="25"/>
    <n v="5"/>
    <s v="Technical Degree"/>
    <n v="1"/>
    <n v="565"/>
    <n v="3"/>
    <x v="0"/>
    <n v="71"/>
    <x v="1"/>
    <n v="1"/>
    <x v="1"/>
    <n v="2"/>
    <x v="1"/>
    <n v="2546"/>
    <n v="18300"/>
    <n v="5"/>
    <s v="Y"/>
    <s v="No"/>
    <n v="16"/>
    <x v="0"/>
    <n v="2"/>
    <n v="80"/>
    <x v="0"/>
    <n v="6"/>
    <x v="2"/>
    <n v="4"/>
    <n v="2"/>
    <n v="2"/>
    <n v="1"/>
    <n v="1"/>
  </r>
  <r>
    <n v="19"/>
    <x v="0"/>
    <x v="0"/>
    <n v="489"/>
    <x v="2"/>
    <n v="2"/>
    <n v="2"/>
    <s v="Technical Degree"/>
    <n v="1"/>
    <n v="566"/>
    <n v="1"/>
    <x v="1"/>
    <n v="52"/>
    <x v="1"/>
    <n v="1"/>
    <x v="8"/>
    <n v="4"/>
    <x v="0"/>
    <n v="2564"/>
    <n v="18437"/>
    <n v="1"/>
    <s v="Y"/>
    <s v="No"/>
    <n v="12"/>
    <x v="0"/>
    <n v="3"/>
    <n v="80"/>
    <x v="0"/>
    <n v="1"/>
    <x v="1"/>
    <n v="4"/>
    <n v="1"/>
    <n v="0"/>
    <n v="0"/>
    <n v="0"/>
  </r>
  <r>
    <n v="30"/>
    <x v="1"/>
    <x v="2"/>
    <n v="1398"/>
    <x v="0"/>
    <n v="22"/>
    <n v="4"/>
    <s v="Other"/>
    <n v="1"/>
    <n v="567"/>
    <n v="3"/>
    <x v="0"/>
    <n v="69"/>
    <x v="0"/>
    <n v="3"/>
    <x v="0"/>
    <n v="1"/>
    <x v="1"/>
    <n v="8412"/>
    <n v="2890"/>
    <n v="0"/>
    <s v="Y"/>
    <s v="No"/>
    <n v="11"/>
    <x v="0"/>
    <n v="3"/>
    <n v="80"/>
    <x v="0"/>
    <n v="10"/>
    <x v="1"/>
    <n v="3"/>
    <n v="9"/>
    <n v="8"/>
    <n v="7"/>
    <n v="8"/>
  </r>
  <r>
    <n v="57"/>
    <x v="1"/>
    <x v="0"/>
    <n v="210"/>
    <x v="0"/>
    <n v="29"/>
    <n v="3"/>
    <s v="Marketing"/>
    <n v="1"/>
    <n v="568"/>
    <n v="1"/>
    <x v="1"/>
    <n v="56"/>
    <x v="1"/>
    <n v="4"/>
    <x v="5"/>
    <n v="4"/>
    <x v="2"/>
    <n v="14118"/>
    <n v="22102"/>
    <n v="3"/>
    <s v="Y"/>
    <s v="No"/>
    <n v="12"/>
    <x v="0"/>
    <n v="3"/>
    <n v="80"/>
    <x v="1"/>
    <n v="32"/>
    <x v="1"/>
    <n v="2"/>
    <n v="1"/>
    <n v="0"/>
    <n v="0"/>
    <n v="0"/>
  </r>
  <r>
    <n v="50"/>
    <x v="1"/>
    <x v="0"/>
    <n v="1099"/>
    <x v="1"/>
    <n v="29"/>
    <n v="4"/>
    <s v="Life Sciences"/>
    <n v="1"/>
    <n v="569"/>
    <n v="2"/>
    <x v="1"/>
    <n v="88"/>
    <x v="1"/>
    <n v="4"/>
    <x v="5"/>
    <n v="3"/>
    <x v="1"/>
    <n v="17046"/>
    <n v="9314"/>
    <n v="0"/>
    <s v="Y"/>
    <s v="No"/>
    <n v="15"/>
    <x v="0"/>
    <n v="2"/>
    <n v="80"/>
    <x v="1"/>
    <n v="28"/>
    <x v="2"/>
    <n v="3"/>
    <n v="27"/>
    <n v="10"/>
    <n v="15"/>
    <n v="7"/>
  </r>
  <r>
    <n v="30"/>
    <x v="1"/>
    <x v="2"/>
    <n v="1116"/>
    <x v="1"/>
    <n v="2"/>
    <n v="3"/>
    <s v="Medical"/>
    <n v="1"/>
    <n v="571"/>
    <n v="3"/>
    <x v="0"/>
    <n v="49"/>
    <x v="0"/>
    <n v="1"/>
    <x v="2"/>
    <n v="4"/>
    <x v="0"/>
    <n v="2564"/>
    <n v="7181"/>
    <n v="0"/>
    <s v="Y"/>
    <s v="No"/>
    <n v="14"/>
    <x v="0"/>
    <n v="3"/>
    <n v="80"/>
    <x v="0"/>
    <n v="12"/>
    <x v="2"/>
    <n v="2"/>
    <n v="11"/>
    <n v="7"/>
    <n v="6"/>
    <n v="7"/>
  </r>
  <r>
    <n v="60"/>
    <x v="1"/>
    <x v="1"/>
    <n v="1499"/>
    <x v="0"/>
    <n v="28"/>
    <n v="3"/>
    <s v="Marketing"/>
    <n v="1"/>
    <n v="573"/>
    <n v="3"/>
    <x v="0"/>
    <n v="80"/>
    <x v="1"/>
    <n v="3"/>
    <x v="0"/>
    <n v="1"/>
    <x v="1"/>
    <n v="10266"/>
    <n v="2845"/>
    <n v="4"/>
    <s v="Y"/>
    <s v="No"/>
    <n v="19"/>
    <x v="0"/>
    <n v="4"/>
    <n v="80"/>
    <x v="0"/>
    <n v="22"/>
    <x v="3"/>
    <n v="4"/>
    <n v="18"/>
    <n v="13"/>
    <n v="13"/>
    <n v="11"/>
  </r>
  <r>
    <n v="47"/>
    <x v="1"/>
    <x v="0"/>
    <n v="983"/>
    <x v="1"/>
    <n v="2"/>
    <n v="2"/>
    <s v="Medical"/>
    <n v="1"/>
    <n v="574"/>
    <n v="1"/>
    <x v="0"/>
    <n v="65"/>
    <x v="0"/>
    <n v="2"/>
    <x v="3"/>
    <n v="4"/>
    <x v="2"/>
    <n v="5070"/>
    <n v="7389"/>
    <n v="5"/>
    <s v="Y"/>
    <s v="No"/>
    <n v="13"/>
    <x v="0"/>
    <n v="3"/>
    <n v="80"/>
    <x v="2"/>
    <n v="20"/>
    <x v="2"/>
    <n v="3"/>
    <n v="5"/>
    <n v="0"/>
    <n v="0"/>
    <n v="4"/>
  </r>
  <r>
    <n v="46"/>
    <x v="1"/>
    <x v="0"/>
    <n v="1009"/>
    <x v="1"/>
    <n v="2"/>
    <n v="3"/>
    <s v="Life Sciences"/>
    <n v="1"/>
    <n v="575"/>
    <n v="1"/>
    <x v="1"/>
    <n v="51"/>
    <x v="0"/>
    <n v="4"/>
    <x v="7"/>
    <n v="3"/>
    <x v="1"/>
    <n v="17861"/>
    <n v="2288"/>
    <n v="6"/>
    <s v="Y"/>
    <s v="No"/>
    <n v="13"/>
    <x v="0"/>
    <n v="3"/>
    <n v="80"/>
    <x v="0"/>
    <n v="26"/>
    <x v="2"/>
    <n v="1"/>
    <n v="3"/>
    <n v="2"/>
    <n v="0"/>
    <n v="1"/>
  </r>
  <r>
    <n v="35"/>
    <x v="1"/>
    <x v="0"/>
    <n v="144"/>
    <x v="1"/>
    <n v="22"/>
    <n v="3"/>
    <s v="Life Sciences"/>
    <n v="1"/>
    <n v="577"/>
    <n v="4"/>
    <x v="1"/>
    <n v="46"/>
    <x v="3"/>
    <n v="1"/>
    <x v="2"/>
    <n v="3"/>
    <x v="0"/>
    <n v="4230"/>
    <n v="19225"/>
    <n v="0"/>
    <s v="Y"/>
    <s v="No"/>
    <n v="15"/>
    <x v="0"/>
    <n v="3"/>
    <n v="80"/>
    <x v="0"/>
    <n v="6"/>
    <x v="2"/>
    <n v="3"/>
    <n v="5"/>
    <n v="4"/>
    <n v="4"/>
    <n v="3"/>
  </r>
  <r>
    <n v="54"/>
    <x v="1"/>
    <x v="0"/>
    <n v="548"/>
    <x v="1"/>
    <n v="8"/>
    <n v="4"/>
    <s v="Life Sciences"/>
    <n v="1"/>
    <n v="578"/>
    <n v="3"/>
    <x v="0"/>
    <n v="42"/>
    <x v="0"/>
    <n v="2"/>
    <x v="2"/>
    <n v="3"/>
    <x v="0"/>
    <n v="3780"/>
    <n v="23428"/>
    <n v="7"/>
    <s v="Y"/>
    <s v="No"/>
    <n v="11"/>
    <x v="0"/>
    <n v="3"/>
    <n v="80"/>
    <x v="0"/>
    <n v="19"/>
    <x v="1"/>
    <n v="3"/>
    <n v="1"/>
    <n v="0"/>
    <n v="0"/>
    <n v="0"/>
  </r>
  <r>
    <n v="34"/>
    <x v="1"/>
    <x v="0"/>
    <n v="1303"/>
    <x v="1"/>
    <n v="2"/>
    <n v="4"/>
    <s v="Life Sciences"/>
    <n v="1"/>
    <n v="579"/>
    <n v="4"/>
    <x v="1"/>
    <n v="62"/>
    <x v="1"/>
    <n v="1"/>
    <x v="1"/>
    <n v="3"/>
    <x v="2"/>
    <n v="2768"/>
    <n v="8416"/>
    <n v="3"/>
    <s v="Y"/>
    <s v="No"/>
    <n v="12"/>
    <x v="0"/>
    <n v="3"/>
    <n v="80"/>
    <x v="1"/>
    <n v="14"/>
    <x v="1"/>
    <n v="3"/>
    <n v="7"/>
    <n v="3"/>
    <n v="5"/>
    <n v="7"/>
  </r>
  <r>
    <n v="46"/>
    <x v="1"/>
    <x v="0"/>
    <n v="1125"/>
    <x v="0"/>
    <n v="10"/>
    <n v="3"/>
    <s v="Marketing"/>
    <n v="1"/>
    <n v="580"/>
    <n v="3"/>
    <x v="0"/>
    <n v="94"/>
    <x v="1"/>
    <n v="3"/>
    <x v="0"/>
    <n v="4"/>
    <x v="1"/>
    <n v="9071"/>
    <n v="11563"/>
    <n v="2"/>
    <s v="Y"/>
    <s v="Yes"/>
    <n v="19"/>
    <x v="0"/>
    <n v="3"/>
    <n v="80"/>
    <x v="1"/>
    <n v="15"/>
    <x v="1"/>
    <n v="3"/>
    <n v="3"/>
    <n v="2"/>
    <n v="1"/>
    <n v="2"/>
  </r>
  <r>
    <n v="31"/>
    <x v="1"/>
    <x v="0"/>
    <n v="1274"/>
    <x v="1"/>
    <n v="9"/>
    <n v="1"/>
    <s v="Life Sciences"/>
    <n v="1"/>
    <n v="581"/>
    <n v="3"/>
    <x v="1"/>
    <n v="33"/>
    <x v="0"/>
    <n v="3"/>
    <x v="3"/>
    <n v="2"/>
    <x v="2"/>
    <n v="10648"/>
    <n v="14394"/>
    <n v="1"/>
    <s v="Y"/>
    <s v="No"/>
    <n v="25"/>
    <x v="1"/>
    <n v="4"/>
    <n v="80"/>
    <x v="1"/>
    <n v="13"/>
    <x v="6"/>
    <n v="4"/>
    <n v="13"/>
    <n v="8"/>
    <n v="0"/>
    <n v="8"/>
  </r>
  <r>
    <n v="33"/>
    <x v="0"/>
    <x v="0"/>
    <n v="1277"/>
    <x v="1"/>
    <n v="15"/>
    <n v="1"/>
    <s v="Medical"/>
    <n v="1"/>
    <n v="582"/>
    <n v="2"/>
    <x v="1"/>
    <n v="56"/>
    <x v="0"/>
    <n v="3"/>
    <x v="5"/>
    <n v="3"/>
    <x v="1"/>
    <n v="13610"/>
    <n v="24619"/>
    <n v="7"/>
    <s v="Y"/>
    <s v="Yes"/>
    <n v="12"/>
    <x v="0"/>
    <n v="4"/>
    <n v="80"/>
    <x v="0"/>
    <n v="15"/>
    <x v="2"/>
    <n v="4"/>
    <n v="7"/>
    <n v="6"/>
    <n v="7"/>
    <n v="7"/>
  </r>
  <r>
    <n v="33"/>
    <x v="0"/>
    <x v="0"/>
    <n v="587"/>
    <x v="1"/>
    <n v="10"/>
    <n v="1"/>
    <s v="Medical"/>
    <n v="1"/>
    <n v="584"/>
    <n v="1"/>
    <x v="1"/>
    <n v="38"/>
    <x v="3"/>
    <n v="1"/>
    <x v="2"/>
    <n v="4"/>
    <x v="2"/>
    <n v="3408"/>
    <n v="6705"/>
    <n v="7"/>
    <s v="Y"/>
    <s v="No"/>
    <n v="13"/>
    <x v="0"/>
    <n v="1"/>
    <n v="80"/>
    <x v="2"/>
    <n v="8"/>
    <x v="2"/>
    <n v="3"/>
    <n v="4"/>
    <n v="3"/>
    <n v="1"/>
    <n v="3"/>
  </r>
  <r>
    <n v="30"/>
    <x v="1"/>
    <x v="0"/>
    <n v="413"/>
    <x v="0"/>
    <n v="7"/>
    <n v="1"/>
    <s v="Marketing"/>
    <n v="1"/>
    <n v="585"/>
    <n v="4"/>
    <x v="1"/>
    <n v="57"/>
    <x v="0"/>
    <n v="1"/>
    <x v="6"/>
    <n v="2"/>
    <x v="0"/>
    <n v="2983"/>
    <n v="18398"/>
    <n v="0"/>
    <s v="Y"/>
    <s v="No"/>
    <n v="14"/>
    <x v="0"/>
    <n v="1"/>
    <n v="80"/>
    <x v="0"/>
    <n v="4"/>
    <x v="1"/>
    <n v="3"/>
    <n v="3"/>
    <n v="2"/>
    <n v="1"/>
    <n v="2"/>
  </r>
  <r>
    <n v="35"/>
    <x v="1"/>
    <x v="0"/>
    <n v="1276"/>
    <x v="1"/>
    <n v="16"/>
    <n v="3"/>
    <s v="Life Sciences"/>
    <n v="1"/>
    <n v="586"/>
    <n v="4"/>
    <x v="1"/>
    <n v="72"/>
    <x v="0"/>
    <n v="3"/>
    <x v="4"/>
    <n v="3"/>
    <x v="1"/>
    <n v="7632"/>
    <n v="14295"/>
    <n v="4"/>
    <s v="Y"/>
    <s v="Yes"/>
    <n v="12"/>
    <x v="0"/>
    <n v="3"/>
    <n v="80"/>
    <x v="0"/>
    <n v="10"/>
    <x v="2"/>
    <n v="3"/>
    <n v="8"/>
    <n v="7"/>
    <n v="0"/>
    <n v="0"/>
  </r>
  <r>
    <n v="31"/>
    <x v="0"/>
    <x v="1"/>
    <n v="534"/>
    <x v="1"/>
    <n v="20"/>
    <n v="3"/>
    <s v="Life Sciences"/>
    <n v="1"/>
    <n v="587"/>
    <n v="1"/>
    <x v="1"/>
    <n v="66"/>
    <x v="0"/>
    <n v="3"/>
    <x v="4"/>
    <n v="3"/>
    <x v="1"/>
    <n v="9824"/>
    <n v="22908"/>
    <n v="3"/>
    <s v="Y"/>
    <s v="No"/>
    <n v="12"/>
    <x v="0"/>
    <n v="1"/>
    <n v="80"/>
    <x v="0"/>
    <n v="12"/>
    <x v="2"/>
    <n v="3"/>
    <n v="1"/>
    <n v="0"/>
    <n v="0"/>
    <n v="0"/>
  </r>
  <r>
    <n v="34"/>
    <x v="0"/>
    <x v="1"/>
    <n v="988"/>
    <x v="2"/>
    <n v="23"/>
    <n v="3"/>
    <s v="Human Resources"/>
    <n v="1"/>
    <n v="590"/>
    <n v="2"/>
    <x v="0"/>
    <n v="43"/>
    <x v="0"/>
    <n v="3"/>
    <x v="8"/>
    <n v="1"/>
    <x v="2"/>
    <n v="9950"/>
    <n v="11533"/>
    <n v="9"/>
    <s v="Y"/>
    <s v="Yes"/>
    <n v="15"/>
    <x v="0"/>
    <n v="3"/>
    <n v="80"/>
    <x v="2"/>
    <n v="11"/>
    <x v="2"/>
    <n v="3"/>
    <n v="3"/>
    <n v="2"/>
    <n v="0"/>
    <n v="2"/>
  </r>
  <r>
    <n v="42"/>
    <x v="1"/>
    <x v="1"/>
    <n v="1474"/>
    <x v="1"/>
    <n v="5"/>
    <n v="2"/>
    <s v="Other"/>
    <n v="1"/>
    <n v="591"/>
    <n v="2"/>
    <x v="1"/>
    <n v="97"/>
    <x v="0"/>
    <n v="1"/>
    <x v="2"/>
    <n v="3"/>
    <x v="1"/>
    <n v="2093"/>
    <n v="9260"/>
    <n v="4"/>
    <s v="Y"/>
    <s v="No"/>
    <n v="17"/>
    <x v="0"/>
    <n v="4"/>
    <n v="80"/>
    <x v="1"/>
    <n v="8"/>
    <x v="5"/>
    <n v="3"/>
    <n v="2"/>
    <n v="2"/>
    <n v="2"/>
    <n v="0"/>
  </r>
  <r>
    <n v="36"/>
    <x v="1"/>
    <x v="2"/>
    <n v="635"/>
    <x v="0"/>
    <n v="10"/>
    <n v="4"/>
    <s v="Medical"/>
    <n v="1"/>
    <n v="592"/>
    <n v="2"/>
    <x v="1"/>
    <n v="32"/>
    <x v="0"/>
    <n v="3"/>
    <x v="0"/>
    <n v="4"/>
    <x v="0"/>
    <n v="9980"/>
    <n v="15318"/>
    <n v="1"/>
    <s v="Y"/>
    <s v="No"/>
    <n v="14"/>
    <x v="0"/>
    <n v="4"/>
    <n v="80"/>
    <x v="0"/>
    <n v="10"/>
    <x v="1"/>
    <n v="2"/>
    <n v="10"/>
    <n v="3"/>
    <n v="9"/>
    <n v="7"/>
  </r>
  <r>
    <n v="22"/>
    <x v="0"/>
    <x v="1"/>
    <n v="1368"/>
    <x v="1"/>
    <n v="4"/>
    <n v="1"/>
    <s v="Technical Degree"/>
    <n v="1"/>
    <n v="593"/>
    <n v="3"/>
    <x v="1"/>
    <n v="99"/>
    <x v="1"/>
    <n v="1"/>
    <x v="2"/>
    <n v="3"/>
    <x v="0"/>
    <n v="3894"/>
    <n v="9129"/>
    <n v="5"/>
    <s v="Y"/>
    <s v="No"/>
    <n v="16"/>
    <x v="0"/>
    <n v="3"/>
    <n v="80"/>
    <x v="0"/>
    <n v="4"/>
    <x v="1"/>
    <n v="3"/>
    <n v="2"/>
    <n v="2"/>
    <n v="1"/>
    <n v="2"/>
  </r>
  <r>
    <n v="48"/>
    <x v="1"/>
    <x v="0"/>
    <n v="163"/>
    <x v="0"/>
    <n v="2"/>
    <n v="5"/>
    <s v="Marketing"/>
    <n v="1"/>
    <n v="595"/>
    <n v="2"/>
    <x v="0"/>
    <n v="37"/>
    <x v="0"/>
    <n v="2"/>
    <x v="0"/>
    <n v="4"/>
    <x v="1"/>
    <n v="4051"/>
    <n v="19658"/>
    <n v="2"/>
    <s v="Y"/>
    <s v="No"/>
    <n v="14"/>
    <x v="0"/>
    <n v="1"/>
    <n v="80"/>
    <x v="1"/>
    <n v="14"/>
    <x v="2"/>
    <n v="3"/>
    <n v="9"/>
    <n v="7"/>
    <n v="6"/>
    <n v="7"/>
  </r>
  <r>
    <n v="55"/>
    <x v="1"/>
    <x v="0"/>
    <n v="1117"/>
    <x v="0"/>
    <n v="18"/>
    <n v="5"/>
    <s v="Life Sciences"/>
    <n v="1"/>
    <n v="597"/>
    <n v="1"/>
    <x v="0"/>
    <n v="83"/>
    <x v="0"/>
    <n v="4"/>
    <x v="5"/>
    <n v="2"/>
    <x v="0"/>
    <n v="16835"/>
    <n v="9873"/>
    <n v="3"/>
    <s v="Y"/>
    <s v="No"/>
    <n v="23"/>
    <x v="1"/>
    <n v="4"/>
    <n v="80"/>
    <x v="0"/>
    <n v="37"/>
    <x v="2"/>
    <n v="3"/>
    <n v="10"/>
    <n v="9"/>
    <n v="7"/>
    <n v="7"/>
  </r>
  <r>
    <n v="41"/>
    <x v="1"/>
    <x v="2"/>
    <n v="267"/>
    <x v="0"/>
    <n v="10"/>
    <n v="2"/>
    <s v="Life Sciences"/>
    <n v="1"/>
    <n v="599"/>
    <n v="4"/>
    <x v="1"/>
    <n v="56"/>
    <x v="0"/>
    <n v="2"/>
    <x v="0"/>
    <n v="4"/>
    <x v="0"/>
    <n v="6230"/>
    <n v="13430"/>
    <n v="7"/>
    <s v="Y"/>
    <s v="No"/>
    <n v="14"/>
    <x v="0"/>
    <n v="4"/>
    <n v="80"/>
    <x v="0"/>
    <n v="16"/>
    <x v="1"/>
    <n v="3"/>
    <n v="14"/>
    <n v="3"/>
    <n v="1"/>
    <n v="10"/>
  </r>
  <r>
    <n v="35"/>
    <x v="1"/>
    <x v="0"/>
    <n v="619"/>
    <x v="0"/>
    <n v="1"/>
    <n v="3"/>
    <s v="Marketing"/>
    <n v="1"/>
    <n v="600"/>
    <n v="2"/>
    <x v="1"/>
    <n v="85"/>
    <x v="0"/>
    <n v="2"/>
    <x v="0"/>
    <n v="3"/>
    <x v="1"/>
    <n v="4717"/>
    <n v="18659"/>
    <n v="9"/>
    <s v="Y"/>
    <s v="No"/>
    <n v="11"/>
    <x v="0"/>
    <n v="3"/>
    <n v="80"/>
    <x v="0"/>
    <n v="15"/>
    <x v="2"/>
    <n v="3"/>
    <n v="11"/>
    <n v="9"/>
    <n v="6"/>
    <n v="9"/>
  </r>
  <r>
    <n v="40"/>
    <x v="1"/>
    <x v="0"/>
    <n v="302"/>
    <x v="1"/>
    <n v="6"/>
    <n v="3"/>
    <s v="Life Sciences"/>
    <n v="1"/>
    <n v="601"/>
    <n v="2"/>
    <x v="0"/>
    <n v="75"/>
    <x v="0"/>
    <n v="4"/>
    <x v="3"/>
    <n v="3"/>
    <x v="0"/>
    <n v="13237"/>
    <n v="20364"/>
    <n v="7"/>
    <s v="Y"/>
    <s v="No"/>
    <n v="15"/>
    <x v="0"/>
    <n v="3"/>
    <n v="80"/>
    <x v="0"/>
    <n v="22"/>
    <x v="1"/>
    <n v="3"/>
    <n v="20"/>
    <n v="6"/>
    <n v="5"/>
    <n v="13"/>
  </r>
  <r>
    <n v="39"/>
    <x v="1"/>
    <x v="1"/>
    <n v="443"/>
    <x v="1"/>
    <n v="8"/>
    <n v="1"/>
    <s v="Life Sciences"/>
    <n v="1"/>
    <n v="602"/>
    <n v="3"/>
    <x v="0"/>
    <n v="48"/>
    <x v="0"/>
    <n v="1"/>
    <x v="2"/>
    <n v="3"/>
    <x v="1"/>
    <n v="3755"/>
    <n v="17872"/>
    <n v="1"/>
    <s v="Y"/>
    <s v="No"/>
    <n v="11"/>
    <x v="0"/>
    <n v="1"/>
    <n v="80"/>
    <x v="1"/>
    <n v="8"/>
    <x v="1"/>
    <n v="3"/>
    <n v="8"/>
    <n v="3"/>
    <n v="0"/>
    <n v="7"/>
  </r>
  <r>
    <n v="31"/>
    <x v="1"/>
    <x v="0"/>
    <n v="828"/>
    <x v="0"/>
    <n v="2"/>
    <n v="1"/>
    <s v="Life Sciences"/>
    <n v="1"/>
    <n v="604"/>
    <n v="2"/>
    <x v="1"/>
    <n v="77"/>
    <x v="0"/>
    <n v="2"/>
    <x v="0"/>
    <n v="4"/>
    <x v="0"/>
    <n v="6582"/>
    <n v="8346"/>
    <n v="4"/>
    <s v="Y"/>
    <s v="Yes"/>
    <n v="13"/>
    <x v="0"/>
    <n v="3"/>
    <n v="80"/>
    <x v="0"/>
    <n v="10"/>
    <x v="2"/>
    <n v="4"/>
    <n v="6"/>
    <n v="5"/>
    <n v="0"/>
    <n v="5"/>
  </r>
  <r>
    <n v="42"/>
    <x v="1"/>
    <x v="0"/>
    <n v="319"/>
    <x v="1"/>
    <n v="24"/>
    <n v="3"/>
    <s v="Medical"/>
    <n v="1"/>
    <n v="605"/>
    <n v="4"/>
    <x v="1"/>
    <n v="56"/>
    <x v="0"/>
    <n v="3"/>
    <x v="3"/>
    <n v="1"/>
    <x v="1"/>
    <n v="7406"/>
    <n v="6950"/>
    <n v="1"/>
    <s v="Y"/>
    <s v="Yes"/>
    <n v="21"/>
    <x v="1"/>
    <n v="4"/>
    <n v="80"/>
    <x v="1"/>
    <n v="10"/>
    <x v="3"/>
    <n v="2"/>
    <n v="10"/>
    <n v="9"/>
    <n v="5"/>
    <n v="8"/>
  </r>
  <r>
    <n v="45"/>
    <x v="1"/>
    <x v="0"/>
    <n v="561"/>
    <x v="0"/>
    <n v="2"/>
    <n v="3"/>
    <s v="Other"/>
    <n v="1"/>
    <n v="606"/>
    <n v="4"/>
    <x v="1"/>
    <n v="61"/>
    <x v="0"/>
    <n v="2"/>
    <x v="0"/>
    <n v="2"/>
    <x v="1"/>
    <n v="4805"/>
    <n v="16177"/>
    <n v="0"/>
    <s v="Y"/>
    <s v="No"/>
    <n v="19"/>
    <x v="0"/>
    <n v="2"/>
    <n v="80"/>
    <x v="1"/>
    <n v="9"/>
    <x v="1"/>
    <n v="4"/>
    <n v="8"/>
    <n v="7"/>
    <n v="3"/>
    <n v="7"/>
  </r>
  <r>
    <n v="26"/>
    <x v="0"/>
    <x v="1"/>
    <n v="426"/>
    <x v="2"/>
    <n v="17"/>
    <n v="4"/>
    <s v="Life Sciences"/>
    <n v="1"/>
    <n v="608"/>
    <n v="2"/>
    <x v="0"/>
    <n v="58"/>
    <x v="0"/>
    <n v="1"/>
    <x v="8"/>
    <n v="3"/>
    <x v="2"/>
    <n v="2741"/>
    <n v="22808"/>
    <n v="0"/>
    <s v="Y"/>
    <s v="Yes"/>
    <n v="11"/>
    <x v="0"/>
    <n v="2"/>
    <n v="80"/>
    <x v="1"/>
    <n v="8"/>
    <x v="2"/>
    <n v="2"/>
    <n v="7"/>
    <n v="7"/>
    <n v="1"/>
    <n v="0"/>
  </r>
  <r>
    <n v="29"/>
    <x v="1"/>
    <x v="0"/>
    <n v="232"/>
    <x v="1"/>
    <n v="19"/>
    <n v="3"/>
    <s v="Technical Degree"/>
    <n v="1"/>
    <n v="611"/>
    <n v="4"/>
    <x v="1"/>
    <n v="34"/>
    <x v="0"/>
    <n v="2"/>
    <x v="3"/>
    <n v="4"/>
    <x v="2"/>
    <n v="4262"/>
    <n v="22645"/>
    <n v="4"/>
    <s v="Y"/>
    <s v="No"/>
    <n v="12"/>
    <x v="0"/>
    <n v="2"/>
    <n v="80"/>
    <x v="3"/>
    <n v="8"/>
    <x v="2"/>
    <n v="4"/>
    <n v="3"/>
    <n v="2"/>
    <n v="1"/>
    <n v="2"/>
  </r>
  <r>
    <n v="33"/>
    <x v="1"/>
    <x v="0"/>
    <n v="922"/>
    <x v="1"/>
    <n v="1"/>
    <n v="5"/>
    <s v="Medical"/>
    <n v="1"/>
    <n v="612"/>
    <n v="1"/>
    <x v="0"/>
    <n v="95"/>
    <x v="2"/>
    <n v="4"/>
    <x v="7"/>
    <n v="3"/>
    <x v="2"/>
    <n v="16184"/>
    <n v="22578"/>
    <n v="4"/>
    <s v="Y"/>
    <s v="No"/>
    <n v="19"/>
    <x v="0"/>
    <n v="3"/>
    <n v="80"/>
    <x v="1"/>
    <n v="10"/>
    <x v="2"/>
    <n v="3"/>
    <n v="6"/>
    <n v="1"/>
    <n v="0"/>
    <n v="5"/>
  </r>
  <r>
    <n v="31"/>
    <x v="1"/>
    <x v="0"/>
    <n v="688"/>
    <x v="0"/>
    <n v="7"/>
    <n v="3"/>
    <s v="Life Sciences"/>
    <n v="1"/>
    <n v="613"/>
    <n v="3"/>
    <x v="1"/>
    <n v="44"/>
    <x v="1"/>
    <n v="3"/>
    <x v="5"/>
    <n v="4"/>
    <x v="2"/>
    <n v="11557"/>
    <n v="25291"/>
    <n v="9"/>
    <s v="Y"/>
    <s v="No"/>
    <n v="21"/>
    <x v="1"/>
    <n v="3"/>
    <n v="80"/>
    <x v="1"/>
    <n v="10"/>
    <x v="1"/>
    <n v="2"/>
    <n v="5"/>
    <n v="4"/>
    <n v="0"/>
    <n v="1"/>
  </r>
  <r>
    <n v="18"/>
    <x v="0"/>
    <x v="1"/>
    <n v="1306"/>
    <x v="0"/>
    <n v="5"/>
    <n v="3"/>
    <s v="Marketing"/>
    <n v="1"/>
    <n v="614"/>
    <n v="2"/>
    <x v="1"/>
    <n v="69"/>
    <x v="0"/>
    <n v="1"/>
    <x v="6"/>
    <n v="2"/>
    <x v="0"/>
    <n v="1878"/>
    <n v="8059"/>
    <n v="1"/>
    <s v="Y"/>
    <s v="Yes"/>
    <n v="14"/>
    <x v="0"/>
    <n v="4"/>
    <n v="80"/>
    <x v="0"/>
    <n v="0"/>
    <x v="1"/>
    <n v="3"/>
    <n v="0"/>
    <n v="0"/>
    <n v="0"/>
    <n v="0"/>
  </r>
  <r>
    <n v="40"/>
    <x v="1"/>
    <x v="2"/>
    <n v="1094"/>
    <x v="0"/>
    <n v="28"/>
    <n v="3"/>
    <s v="Other"/>
    <n v="1"/>
    <n v="615"/>
    <n v="3"/>
    <x v="1"/>
    <n v="58"/>
    <x v="3"/>
    <n v="3"/>
    <x v="0"/>
    <n v="1"/>
    <x v="2"/>
    <n v="10932"/>
    <n v="11373"/>
    <n v="3"/>
    <s v="Y"/>
    <s v="No"/>
    <n v="15"/>
    <x v="0"/>
    <n v="3"/>
    <n v="80"/>
    <x v="1"/>
    <n v="20"/>
    <x v="2"/>
    <n v="3"/>
    <n v="1"/>
    <n v="0"/>
    <n v="0"/>
    <n v="1"/>
  </r>
  <r>
    <n v="41"/>
    <x v="1"/>
    <x v="2"/>
    <n v="509"/>
    <x v="1"/>
    <n v="2"/>
    <n v="4"/>
    <s v="Other"/>
    <n v="1"/>
    <n v="616"/>
    <n v="1"/>
    <x v="0"/>
    <n v="62"/>
    <x v="1"/>
    <n v="2"/>
    <x v="4"/>
    <n v="3"/>
    <x v="0"/>
    <n v="6811"/>
    <n v="2112"/>
    <n v="2"/>
    <s v="Y"/>
    <s v="Yes"/>
    <n v="17"/>
    <x v="0"/>
    <n v="1"/>
    <n v="80"/>
    <x v="0"/>
    <n v="10"/>
    <x v="1"/>
    <n v="3"/>
    <n v="8"/>
    <n v="7"/>
    <n v="0"/>
    <n v="7"/>
  </r>
  <r>
    <n v="26"/>
    <x v="1"/>
    <x v="0"/>
    <n v="775"/>
    <x v="0"/>
    <n v="29"/>
    <n v="2"/>
    <s v="Medical"/>
    <n v="1"/>
    <n v="618"/>
    <n v="1"/>
    <x v="1"/>
    <n v="45"/>
    <x v="0"/>
    <n v="2"/>
    <x v="0"/>
    <n v="3"/>
    <x v="2"/>
    <n v="4306"/>
    <n v="4267"/>
    <n v="5"/>
    <s v="Y"/>
    <s v="No"/>
    <n v="12"/>
    <x v="0"/>
    <n v="1"/>
    <n v="80"/>
    <x v="3"/>
    <n v="8"/>
    <x v="3"/>
    <n v="3"/>
    <n v="0"/>
    <n v="0"/>
    <n v="0"/>
    <n v="0"/>
  </r>
  <r>
    <n v="35"/>
    <x v="1"/>
    <x v="0"/>
    <n v="195"/>
    <x v="0"/>
    <n v="1"/>
    <n v="3"/>
    <s v="Medical"/>
    <n v="1"/>
    <n v="620"/>
    <n v="1"/>
    <x v="0"/>
    <n v="80"/>
    <x v="0"/>
    <n v="2"/>
    <x v="0"/>
    <n v="3"/>
    <x v="0"/>
    <n v="4859"/>
    <n v="6698"/>
    <n v="1"/>
    <s v="Y"/>
    <s v="No"/>
    <n v="16"/>
    <x v="0"/>
    <n v="4"/>
    <n v="80"/>
    <x v="0"/>
    <n v="5"/>
    <x v="1"/>
    <n v="3"/>
    <n v="5"/>
    <n v="4"/>
    <n v="0"/>
    <n v="3"/>
  </r>
  <r>
    <n v="34"/>
    <x v="1"/>
    <x v="0"/>
    <n v="258"/>
    <x v="0"/>
    <n v="21"/>
    <n v="4"/>
    <s v="Life Sciences"/>
    <n v="1"/>
    <n v="621"/>
    <n v="4"/>
    <x v="1"/>
    <n v="74"/>
    <x v="2"/>
    <n v="2"/>
    <x v="0"/>
    <n v="4"/>
    <x v="0"/>
    <n v="5337"/>
    <n v="19921"/>
    <n v="1"/>
    <s v="Y"/>
    <s v="No"/>
    <n v="12"/>
    <x v="0"/>
    <n v="4"/>
    <n v="80"/>
    <x v="0"/>
    <n v="10"/>
    <x v="1"/>
    <n v="3"/>
    <n v="10"/>
    <n v="7"/>
    <n v="5"/>
    <n v="7"/>
  </r>
  <r>
    <n v="26"/>
    <x v="0"/>
    <x v="0"/>
    <n v="471"/>
    <x v="1"/>
    <n v="24"/>
    <n v="3"/>
    <s v="Technical Degree"/>
    <n v="1"/>
    <n v="622"/>
    <n v="3"/>
    <x v="1"/>
    <n v="66"/>
    <x v="3"/>
    <n v="1"/>
    <x v="2"/>
    <n v="4"/>
    <x v="0"/>
    <n v="2340"/>
    <n v="23213"/>
    <n v="1"/>
    <s v="Y"/>
    <s v="Yes"/>
    <n v="18"/>
    <x v="0"/>
    <n v="2"/>
    <n v="80"/>
    <x v="0"/>
    <n v="1"/>
    <x v="1"/>
    <n v="1"/>
    <n v="1"/>
    <n v="0"/>
    <n v="0"/>
    <n v="0"/>
  </r>
  <r>
    <n v="37"/>
    <x v="1"/>
    <x v="0"/>
    <n v="799"/>
    <x v="1"/>
    <n v="1"/>
    <n v="3"/>
    <s v="Technical Degree"/>
    <n v="1"/>
    <n v="623"/>
    <n v="2"/>
    <x v="0"/>
    <n v="59"/>
    <x v="0"/>
    <n v="3"/>
    <x v="3"/>
    <n v="4"/>
    <x v="0"/>
    <n v="7491"/>
    <n v="23848"/>
    <n v="4"/>
    <s v="Y"/>
    <s v="No"/>
    <n v="17"/>
    <x v="0"/>
    <n v="4"/>
    <n v="80"/>
    <x v="0"/>
    <n v="12"/>
    <x v="1"/>
    <n v="4"/>
    <n v="6"/>
    <n v="5"/>
    <n v="1"/>
    <n v="2"/>
  </r>
  <r>
    <n v="46"/>
    <x v="1"/>
    <x v="1"/>
    <n v="1034"/>
    <x v="1"/>
    <n v="18"/>
    <n v="1"/>
    <s v="Medical"/>
    <n v="1"/>
    <n v="624"/>
    <n v="1"/>
    <x v="0"/>
    <n v="86"/>
    <x v="0"/>
    <n v="3"/>
    <x v="4"/>
    <n v="3"/>
    <x v="1"/>
    <n v="10527"/>
    <n v="8984"/>
    <n v="5"/>
    <s v="Y"/>
    <s v="No"/>
    <n v="11"/>
    <x v="0"/>
    <n v="4"/>
    <n v="80"/>
    <x v="0"/>
    <n v="28"/>
    <x v="1"/>
    <n v="2"/>
    <n v="2"/>
    <n v="2"/>
    <n v="1"/>
    <n v="2"/>
  </r>
  <r>
    <n v="41"/>
    <x v="1"/>
    <x v="0"/>
    <n v="1276"/>
    <x v="0"/>
    <n v="2"/>
    <n v="5"/>
    <s v="Life Sciences"/>
    <n v="1"/>
    <n v="625"/>
    <n v="2"/>
    <x v="0"/>
    <n v="91"/>
    <x v="0"/>
    <n v="4"/>
    <x v="5"/>
    <n v="1"/>
    <x v="1"/>
    <n v="16595"/>
    <n v="5626"/>
    <n v="7"/>
    <s v="Y"/>
    <s v="No"/>
    <n v="16"/>
    <x v="0"/>
    <n v="2"/>
    <n v="80"/>
    <x v="1"/>
    <n v="22"/>
    <x v="2"/>
    <n v="3"/>
    <n v="18"/>
    <n v="16"/>
    <n v="11"/>
    <n v="8"/>
  </r>
  <r>
    <n v="37"/>
    <x v="1"/>
    <x v="2"/>
    <n v="142"/>
    <x v="0"/>
    <n v="9"/>
    <n v="4"/>
    <s v="Medical"/>
    <n v="1"/>
    <n v="626"/>
    <n v="1"/>
    <x v="1"/>
    <n v="69"/>
    <x v="0"/>
    <n v="3"/>
    <x v="0"/>
    <n v="2"/>
    <x v="2"/>
    <n v="8834"/>
    <n v="24666"/>
    <n v="1"/>
    <s v="Y"/>
    <s v="No"/>
    <n v="13"/>
    <x v="0"/>
    <n v="4"/>
    <n v="80"/>
    <x v="1"/>
    <n v="9"/>
    <x v="6"/>
    <n v="3"/>
    <n v="9"/>
    <n v="5"/>
    <n v="7"/>
    <n v="7"/>
  </r>
  <r>
    <n v="52"/>
    <x v="1"/>
    <x v="0"/>
    <n v="956"/>
    <x v="1"/>
    <n v="6"/>
    <n v="2"/>
    <s v="Technical Degree"/>
    <n v="1"/>
    <n v="630"/>
    <n v="4"/>
    <x v="1"/>
    <n v="78"/>
    <x v="0"/>
    <n v="2"/>
    <x v="1"/>
    <n v="1"/>
    <x v="2"/>
    <n v="5577"/>
    <n v="22087"/>
    <n v="3"/>
    <s v="Y"/>
    <s v="Yes"/>
    <n v="12"/>
    <x v="0"/>
    <n v="2"/>
    <n v="80"/>
    <x v="3"/>
    <n v="18"/>
    <x v="1"/>
    <n v="3"/>
    <n v="10"/>
    <n v="9"/>
    <n v="6"/>
    <n v="9"/>
  </r>
  <r>
    <n v="32"/>
    <x v="0"/>
    <x v="2"/>
    <n v="1474"/>
    <x v="0"/>
    <n v="11"/>
    <n v="4"/>
    <s v="Other"/>
    <n v="1"/>
    <n v="631"/>
    <n v="4"/>
    <x v="1"/>
    <n v="60"/>
    <x v="2"/>
    <n v="2"/>
    <x v="0"/>
    <n v="3"/>
    <x v="1"/>
    <n v="4707"/>
    <n v="23914"/>
    <n v="8"/>
    <s v="Y"/>
    <s v="No"/>
    <n v="12"/>
    <x v="0"/>
    <n v="4"/>
    <n v="80"/>
    <x v="0"/>
    <n v="6"/>
    <x v="2"/>
    <n v="3"/>
    <n v="4"/>
    <n v="2"/>
    <n v="1"/>
    <n v="2"/>
  </r>
  <r>
    <n v="24"/>
    <x v="1"/>
    <x v="1"/>
    <n v="535"/>
    <x v="0"/>
    <n v="24"/>
    <n v="3"/>
    <s v="Medical"/>
    <n v="1"/>
    <n v="632"/>
    <n v="4"/>
    <x v="1"/>
    <n v="38"/>
    <x v="0"/>
    <n v="1"/>
    <x v="6"/>
    <n v="4"/>
    <x v="1"/>
    <n v="2400"/>
    <n v="5530"/>
    <n v="0"/>
    <s v="Y"/>
    <s v="No"/>
    <n v="13"/>
    <x v="0"/>
    <n v="3"/>
    <n v="80"/>
    <x v="3"/>
    <n v="3"/>
    <x v="1"/>
    <n v="3"/>
    <n v="2"/>
    <n v="2"/>
    <n v="2"/>
    <n v="1"/>
  </r>
  <r>
    <n v="38"/>
    <x v="1"/>
    <x v="0"/>
    <n v="1495"/>
    <x v="1"/>
    <n v="10"/>
    <n v="3"/>
    <s v="Medical"/>
    <n v="1"/>
    <n v="634"/>
    <n v="3"/>
    <x v="0"/>
    <n v="76"/>
    <x v="0"/>
    <n v="2"/>
    <x v="4"/>
    <n v="3"/>
    <x v="1"/>
    <n v="9824"/>
    <n v="22174"/>
    <n v="3"/>
    <s v="Y"/>
    <s v="No"/>
    <n v="19"/>
    <x v="0"/>
    <n v="3"/>
    <n v="80"/>
    <x v="1"/>
    <n v="18"/>
    <x v="5"/>
    <n v="3"/>
    <n v="1"/>
    <n v="0"/>
    <n v="0"/>
    <n v="0"/>
  </r>
  <r>
    <n v="37"/>
    <x v="1"/>
    <x v="0"/>
    <n v="446"/>
    <x v="1"/>
    <n v="1"/>
    <n v="4"/>
    <s v="Life Sciences"/>
    <n v="1"/>
    <n v="635"/>
    <n v="2"/>
    <x v="0"/>
    <n v="65"/>
    <x v="0"/>
    <n v="2"/>
    <x v="3"/>
    <n v="2"/>
    <x v="1"/>
    <n v="6447"/>
    <n v="15701"/>
    <n v="6"/>
    <s v="Y"/>
    <s v="No"/>
    <n v="12"/>
    <x v="0"/>
    <n v="2"/>
    <n v="80"/>
    <x v="1"/>
    <n v="8"/>
    <x v="2"/>
    <n v="2"/>
    <n v="6"/>
    <n v="5"/>
    <n v="4"/>
    <n v="3"/>
  </r>
  <r>
    <n v="49"/>
    <x v="1"/>
    <x v="0"/>
    <n v="1245"/>
    <x v="1"/>
    <n v="18"/>
    <n v="4"/>
    <s v="Life Sciences"/>
    <n v="1"/>
    <n v="638"/>
    <n v="4"/>
    <x v="1"/>
    <n v="58"/>
    <x v="1"/>
    <n v="5"/>
    <x v="7"/>
    <n v="3"/>
    <x v="2"/>
    <n v="19502"/>
    <n v="2125"/>
    <n v="1"/>
    <s v="Y"/>
    <s v="Yes"/>
    <n v="17"/>
    <x v="0"/>
    <n v="3"/>
    <n v="80"/>
    <x v="1"/>
    <n v="31"/>
    <x v="3"/>
    <n v="3"/>
    <n v="31"/>
    <n v="9"/>
    <n v="0"/>
    <n v="9"/>
  </r>
  <r>
    <n v="24"/>
    <x v="1"/>
    <x v="0"/>
    <n v="691"/>
    <x v="1"/>
    <n v="23"/>
    <n v="3"/>
    <s v="Medical"/>
    <n v="1"/>
    <n v="639"/>
    <n v="2"/>
    <x v="1"/>
    <n v="89"/>
    <x v="2"/>
    <n v="1"/>
    <x v="1"/>
    <n v="4"/>
    <x v="1"/>
    <n v="2725"/>
    <n v="21630"/>
    <n v="1"/>
    <s v="Y"/>
    <s v="Yes"/>
    <n v="11"/>
    <x v="0"/>
    <n v="2"/>
    <n v="80"/>
    <x v="3"/>
    <n v="6"/>
    <x v="1"/>
    <n v="3"/>
    <n v="6"/>
    <n v="5"/>
    <n v="1"/>
    <n v="4"/>
  </r>
  <r>
    <n v="26"/>
    <x v="1"/>
    <x v="0"/>
    <n v="703"/>
    <x v="0"/>
    <n v="28"/>
    <n v="2"/>
    <s v="Marketing"/>
    <n v="1"/>
    <n v="641"/>
    <n v="1"/>
    <x v="1"/>
    <n v="66"/>
    <x v="0"/>
    <n v="2"/>
    <x v="0"/>
    <n v="2"/>
    <x v="1"/>
    <n v="6272"/>
    <n v="7428"/>
    <n v="1"/>
    <s v="Y"/>
    <s v="No"/>
    <n v="20"/>
    <x v="1"/>
    <n v="4"/>
    <n v="80"/>
    <x v="3"/>
    <n v="6"/>
    <x v="3"/>
    <n v="4"/>
    <n v="5"/>
    <n v="3"/>
    <n v="1"/>
    <n v="4"/>
  </r>
  <r>
    <n v="24"/>
    <x v="1"/>
    <x v="0"/>
    <n v="823"/>
    <x v="1"/>
    <n v="17"/>
    <n v="2"/>
    <s v="Other"/>
    <n v="1"/>
    <n v="643"/>
    <n v="4"/>
    <x v="1"/>
    <n v="94"/>
    <x v="1"/>
    <n v="1"/>
    <x v="2"/>
    <n v="2"/>
    <x v="1"/>
    <n v="2127"/>
    <n v="9100"/>
    <n v="1"/>
    <s v="Y"/>
    <s v="No"/>
    <n v="21"/>
    <x v="1"/>
    <n v="4"/>
    <n v="80"/>
    <x v="1"/>
    <n v="1"/>
    <x v="2"/>
    <n v="3"/>
    <n v="1"/>
    <n v="0"/>
    <n v="0"/>
    <n v="0"/>
  </r>
  <r>
    <n v="50"/>
    <x v="1"/>
    <x v="1"/>
    <n v="1246"/>
    <x v="2"/>
    <n v="3"/>
    <n v="3"/>
    <s v="Medical"/>
    <n v="1"/>
    <n v="644"/>
    <n v="1"/>
    <x v="1"/>
    <n v="99"/>
    <x v="0"/>
    <n v="5"/>
    <x v="5"/>
    <n v="2"/>
    <x v="1"/>
    <n v="18200"/>
    <n v="7999"/>
    <n v="1"/>
    <s v="Y"/>
    <s v="No"/>
    <n v="11"/>
    <x v="0"/>
    <n v="3"/>
    <n v="80"/>
    <x v="1"/>
    <n v="32"/>
    <x v="2"/>
    <n v="3"/>
    <n v="32"/>
    <n v="5"/>
    <n v="10"/>
    <n v="7"/>
  </r>
  <r>
    <n v="25"/>
    <x v="1"/>
    <x v="0"/>
    <n v="622"/>
    <x v="0"/>
    <n v="13"/>
    <n v="1"/>
    <s v="Medical"/>
    <n v="1"/>
    <n v="645"/>
    <n v="2"/>
    <x v="1"/>
    <n v="40"/>
    <x v="0"/>
    <n v="1"/>
    <x v="6"/>
    <n v="3"/>
    <x v="1"/>
    <n v="2096"/>
    <n v="26376"/>
    <n v="1"/>
    <s v="Y"/>
    <s v="No"/>
    <n v="11"/>
    <x v="0"/>
    <n v="3"/>
    <n v="80"/>
    <x v="0"/>
    <n v="7"/>
    <x v="4"/>
    <n v="3"/>
    <n v="7"/>
    <n v="4"/>
    <n v="0"/>
    <n v="6"/>
  </r>
  <r>
    <n v="24"/>
    <x v="0"/>
    <x v="1"/>
    <n v="1287"/>
    <x v="1"/>
    <n v="7"/>
    <n v="3"/>
    <s v="Life Sciences"/>
    <n v="1"/>
    <n v="647"/>
    <n v="1"/>
    <x v="0"/>
    <n v="55"/>
    <x v="0"/>
    <n v="1"/>
    <x v="2"/>
    <n v="3"/>
    <x v="1"/>
    <n v="2886"/>
    <n v="14168"/>
    <n v="1"/>
    <s v="Y"/>
    <s v="Yes"/>
    <n v="16"/>
    <x v="0"/>
    <n v="4"/>
    <n v="80"/>
    <x v="1"/>
    <n v="6"/>
    <x v="5"/>
    <n v="3"/>
    <n v="6"/>
    <n v="3"/>
    <n v="1"/>
    <n v="2"/>
  </r>
  <r>
    <n v="30"/>
    <x v="0"/>
    <x v="1"/>
    <n v="448"/>
    <x v="0"/>
    <n v="12"/>
    <n v="4"/>
    <s v="Life Sciences"/>
    <n v="1"/>
    <n v="648"/>
    <n v="2"/>
    <x v="1"/>
    <n v="74"/>
    <x v="1"/>
    <n v="1"/>
    <x v="6"/>
    <n v="1"/>
    <x v="1"/>
    <n v="2033"/>
    <n v="14470"/>
    <n v="1"/>
    <s v="Y"/>
    <s v="No"/>
    <n v="18"/>
    <x v="0"/>
    <n v="3"/>
    <n v="80"/>
    <x v="1"/>
    <n v="1"/>
    <x v="2"/>
    <n v="4"/>
    <n v="1"/>
    <n v="0"/>
    <n v="0"/>
    <n v="0"/>
  </r>
  <r>
    <n v="34"/>
    <x v="1"/>
    <x v="0"/>
    <n v="254"/>
    <x v="1"/>
    <n v="1"/>
    <n v="2"/>
    <s v="Life Sciences"/>
    <n v="1"/>
    <n v="649"/>
    <n v="2"/>
    <x v="1"/>
    <n v="83"/>
    <x v="1"/>
    <n v="1"/>
    <x v="1"/>
    <n v="4"/>
    <x v="1"/>
    <n v="3622"/>
    <n v="22794"/>
    <n v="1"/>
    <s v="Y"/>
    <s v="Yes"/>
    <n v="13"/>
    <x v="0"/>
    <n v="4"/>
    <n v="80"/>
    <x v="1"/>
    <n v="6"/>
    <x v="1"/>
    <n v="3"/>
    <n v="6"/>
    <n v="5"/>
    <n v="1"/>
    <n v="3"/>
  </r>
  <r>
    <n v="31"/>
    <x v="0"/>
    <x v="0"/>
    <n v="1365"/>
    <x v="0"/>
    <n v="13"/>
    <n v="4"/>
    <s v="Medical"/>
    <n v="1"/>
    <n v="650"/>
    <n v="2"/>
    <x v="1"/>
    <n v="46"/>
    <x v="0"/>
    <n v="2"/>
    <x v="0"/>
    <n v="1"/>
    <x v="2"/>
    <n v="4233"/>
    <n v="11512"/>
    <n v="2"/>
    <s v="Y"/>
    <s v="No"/>
    <n v="17"/>
    <x v="0"/>
    <n v="3"/>
    <n v="80"/>
    <x v="0"/>
    <n v="9"/>
    <x v="2"/>
    <n v="1"/>
    <n v="3"/>
    <n v="1"/>
    <n v="1"/>
    <n v="2"/>
  </r>
  <r>
    <n v="35"/>
    <x v="1"/>
    <x v="0"/>
    <n v="538"/>
    <x v="1"/>
    <n v="25"/>
    <n v="2"/>
    <s v="Other"/>
    <n v="1"/>
    <n v="652"/>
    <n v="1"/>
    <x v="1"/>
    <n v="54"/>
    <x v="1"/>
    <n v="2"/>
    <x v="2"/>
    <n v="4"/>
    <x v="0"/>
    <n v="3681"/>
    <n v="14004"/>
    <n v="4"/>
    <s v="Y"/>
    <s v="No"/>
    <n v="14"/>
    <x v="0"/>
    <n v="4"/>
    <n v="80"/>
    <x v="0"/>
    <n v="9"/>
    <x v="1"/>
    <n v="3"/>
    <n v="3"/>
    <n v="2"/>
    <n v="0"/>
    <n v="2"/>
  </r>
  <r>
    <n v="31"/>
    <x v="1"/>
    <x v="0"/>
    <n v="525"/>
    <x v="0"/>
    <n v="6"/>
    <n v="4"/>
    <s v="Medical"/>
    <n v="1"/>
    <n v="653"/>
    <n v="1"/>
    <x v="1"/>
    <n v="66"/>
    <x v="2"/>
    <n v="2"/>
    <x v="0"/>
    <n v="4"/>
    <x v="2"/>
    <n v="5460"/>
    <n v="6219"/>
    <n v="4"/>
    <s v="Y"/>
    <s v="No"/>
    <n v="22"/>
    <x v="1"/>
    <n v="4"/>
    <n v="80"/>
    <x v="3"/>
    <n v="13"/>
    <x v="5"/>
    <n v="4"/>
    <n v="7"/>
    <n v="7"/>
    <n v="5"/>
    <n v="7"/>
  </r>
  <r>
    <n v="27"/>
    <x v="1"/>
    <x v="0"/>
    <n v="798"/>
    <x v="1"/>
    <n v="6"/>
    <n v="4"/>
    <s v="Medical"/>
    <n v="1"/>
    <n v="655"/>
    <n v="1"/>
    <x v="0"/>
    <n v="66"/>
    <x v="1"/>
    <n v="1"/>
    <x v="1"/>
    <n v="3"/>
    <x v="2"/>
    <n v="2187"/>
    <n v="5013"/>
    <n v="0"/>
    <s v="Y"/>
    <s v="No"/>
    <n v="12"/>
    <x v="0"/>
    <n v="3"/>
    <n v="80"/>
    <x v="3"/>
    <n v="6"/>
    <x v="3"/>
    <n v="2"/>
    <n v="5"/>
    <n v="3"/>
    <n v="0"/>
    <n v="3"/>
  </r>
  <r>
    <n v="37"/>
    <x v="1"/>
    <x v="0"/>
    <n v="558"/>
    <x v="0"/>
    <n v="2"/>
    <n v="3"/>
    <s v="Marketing"/>
    <n v="1"/>
    <n v="656"/>
    <n v="4"/>
    <x v="1"/>
    <n v="75"/>
    <x v="0"/>
    <n v="2"/>
    <x v="0"/>
    <n v="3"/>
    <x v="1"/>
    <n v="9602"/>
    <n v="3010"/>
    <n v="4"/>
    <s v="Y"/>
    <s v="Yes"/>
    <n v="11"/>
    <x v="0"/>
    <n v="3"/>
    <n v="80"/>
    <x v="1"/>
    <n v="17"/>
    <x v="1"/>
    <n v="2"/>
    <n v="3"/>
    <n v="0"/>
    <n v="1"/>
    <n v="0"/>
  </r>
  <r>
    <n v="20"/>
    <x v="1"/>
    <x v="0"/>
    <n v="959"/>
    <x v="1"/>
    <n v="1"/>
    <n v="3"/>
    <s v="Life Sciences"/>
    <n v="1"/>
    <n v="657"/>
    <n v="4"/>
    <x v="0"/>
    <n v="83"/>
    <x v="1"/>
    <n v="1"/>
    <x v="1"/>
    <n v="2"/>
    <x v="0"/>
    <n v="2836"/>
    <n v="11757"/>
    <n v="1"/>
    <s v="Y"/>
    <s v="No"/>
    <n v="13"/>
    <x v="0"/>
    <n v="4"/>
    <n v="80"/>
    <x v="0"/>
    <n v="1"/>
    <x v="0"/>
    <n v="4"/>
    <n v="1"/>
    <n v="0"/>
    <n v="0"/>
    <n v="0"/>
  </r>
  <r>
    <n v="42"/>
    <x v="1"/>
    <x v="0"/>
    <n v="622"/>
    <x v="1"/>
    <n v="2"/>
    <n v="4"/>
    <s v="Life Sciences"/>
    <n v="1"/>
    <n v="659"/>
    <n v="3"/>
    <x v="0"/>
    <n v="81"/>
    <x v="0"/>
    <n v="2"/>
    <x v="4"/>
    <n v="4"/>
    <x v="1"/>
    <n v="4089"/>
    <n v="5718"/>
    <n v="1"/>
    <s v="Y"/>
    <s v="No"/>
    <n v="13"/>
    <x v="0"/>
    <n v="2"/>
    <n v="80"/>
    <x v="3"/>
    <n v="10"/>
    <x v="5"/>
    <n v="3"/>
    <n v="10"/>
    <n v="2"/>
    <n v="2"/>
    <n v="2"/>
  </r>
  <r>
    <n v="43"/>
    <x v="1"/>
    <x v="0"/>
    <n v="782"/>
    <x v="1"/>
    <n v="6"/>
    <n v="4"/>
    <s v="Other"/>
    <n v="1"/>
    <n v="661"/>
    <n v="2"/>
    <x v="1"/>
    <n v="50"/>
    <x v="1"/>
    <n v="4"/>
    <x v="7"/>
    <n v="4"/>
    <x v="2"/>
    <n v="16627"/>
    <n v="2671"/>
    <n v="4"/>
    <s v="Y"/>
    <s v="Yes"/>
    <n v="14"/>
    <x v="0"/>
    <n v="3"/>
    <n v="80"/>
    <x v="1"/>
    <n v="21"/>
    <x v="1"/>
    <n v="2"/>
    <n v="1"/>
    <n v="0"/>
    <n v="0"/>
    <n v="0"/>
  </r>
  <r>
    <n v="38"/>
    <x v="1"/>
    <x v="0"/>
    <n v="362"/>
    <x v="1"/>
    <n v="1"/>
    <n v="1"/>
    <s v="Life Sciences"/>
    <n v="1"/>
    <n v="662"/>
    <n v="3"/>
    <x v="0"/>
    <n v="43"/>
    <x v="0"/>
    <n v="1"/>
    <x v="1"/>
    <n v="1"/>
    <x v="0"/>
    <n v="2619"/>
    <n v="14561"/>
    <n v="3"/>
    <s v="Y"/>
    <s v="No"/>
    <n v="17"/>
    <x v="0"/>
    <n v="4"/>
    <n v="80"/>
    <x v="0"/>
    <n v="8"/>
    <x v="1"/>
    <n v="2"/>
    <n v="0"/>
    <n v="0"/>
    <n v="0"/>
    <n v="0"/>
  </r>
  <r>
    <n v="43"/>
    <x v="1"/>
    <x v="1"/>
    <n v="1001"/>
    <x v="1"/>
    <n v="9"/>
    <n v="5"/>
    <s v="Medical"/>
    <n v="1"/>
    <n v="663"/>
    <n v="4"/>
    <x v="1"/>
    <n v="72"/>
    <x v="0"/>
    <n v="2"/>
    <x v="2"/>
    <n v="3"/>
    <x v="2"/>
    <n v="5679"/>
    <n v="19627"/>
    <n v="3"/>
    <s v="Y"/>
    <s v="Yes"/>
    <n v="13"/>
    <x v="0"/>
    <n v="2"/>
    <n v="80"/>
    <x v="1"/>
    <n v="10"/>
    <x v="1"/>
    <n v="3"/>
    <n v="8"/>
    <n v="7"/>
    <n v="4"/>
    <n v="7"/>
  </r>
  <r>
    <n v="48"/>
    <x v="1"/>
    <x v="0"/>
    <n v="1236"/>
    <x v="1"/>
    <n v="1"/>
    <n v="4"/>
    <s v="Life Sciences"/>
    <n v="1"/>
    <n v="664"/>
    <n v="4"/>
    <x v="0"/>
    <n v="40"/>
    <x v="1"/>
    <n v="4"/>
    <x v="5"/>
    <n v="1"/>
    <x v="1"/>
    <n v="15402"/>
    <n v="17997"/>
    <n v="7"/>
    <s v="Y"/>
    <s v="No"/>
    <n v="11"/>
    <x v="0"/>
    <n v="1"/>
    <n v="80"/>
    <x v="1"/>
    <n v="21"/>
    <x v="1"/>
    <n v="1"/>
    <n v="3"/>
    <n v="2"/>
    <n v="0"/>
    <n v="2"/>
  </r>
  <r>
    <n v="44"/>
    <x v="1"/>
    <x v="0"/>
    <n v="1112"/>
    <x v="2"/>
    <n v="1"/>
    <n v="4"/>
    <s v="Life Sciences"/>
    <n v="1"/>
    <n v="665"/>
    <n v="1"/>
    <x v="0"/>
    <n v="50"/>
    <x v="1"/>
    <n v="2"/>
    <x v="8"/>
    <n v="3"/>
    <x v="0"/>
    <n v="5985"/>
    <n v="26894"/>
    <n v="4"/>
    <s v="Y"/>
    <s v="No"/>
    <n v="11"/>
    <x v="0"/>
    <n v="2"/>
    <n v="80"/>
    <x v="0"/>
    <n v="10"/>
    <x v="4"/>
    <n v="4"/>
    <n v="2"/>
    <n v="2"/>
    <n v="0"/>
    <n v="2"/>
  </r>
  <r>
    <n v="34"/>
    <x v="1"/>
    <x v="0"/>
    <n v="204"/>
    <x v="0"/>
    <n v="14"/>
    <n v="3"/>
    <s v="Technical Degree"/>
    <n v="1"/>
    <n v="666"/>
    <n v="3"/>
    <x v="0"/>
    <n v="31"/>
    <x v="0"/>
    <n v="1"/>
    <x v="6"/>
    <n v="3"/>
    <x v="2"/>
    <n v="2579"/>
    <n v="2912"/>
    <n v="1"/>
    <s v="Y"/>
    <s v="Yes"/>
    <n v="18"/>
    <x v="0"/>
    <n v="4"/>
    <n v="80"/>
    <x v="3"/>
    <n v="8"/>
    <x v="1"/>
    <n v="3"/>
    <n v="8"/>
    <n v="2"/>
    <n v="0"/>
    <n v="6"/>
  </r>
  <r>
    <n v="27"/>
    <x v="0"/>
    <x v="0"/>
    <n v="1420"/>
    <x v="0"/>
    <n v="2"/>
    <n v="1"/>
    <s v="Marketing"/>
    <n v="1"/>
    <n v="667"/>
    <n v="3"/>
    <x v="1"/>
    <n v="85"/>
    <x v="0"/>
    <n v="1"/>
    <x v="6"/>
    <n v="1"/>
    <x v="2"/>
    <n v="3041"/>
    <n v="16346"/>
    <n v="0"/>
    <s v="Y"/>
    <s v="No"/>
    <n v="11"/>
    <x v="0"/>
    <n v="2"/>
    <n v="80"/>
    <x v="1"/>
    <n v="5"/>
    <x v="1"/>
    <n v="3"/>
    <n v="4"/>
    <n v="3"/>
    <n v="0"/>
    <n v="2"/>
  </r>
  <r>
    <n v="21"/>
    <x v="1"/>
    <x v="0"/>
    <n v="1343"/>
    <x v="0"/>
    <n v="22"/>
    <n v="1"/>
    <s v="Technical Degree"/>
    <n v="1"/>
    <n v="669"/>
    <n v="3"/>
    <x v="1"/>
    <n v="49"/>
    <x v="0"/>
    <n v="1"/>
    <x v="6"/>
    <n v="3"/>
    <x v="0"/>
    <n v="3447"/>
    <n v="24444"/>
    <n v="1"/>
    <s v="Y"/>
    <s v="No"/>
    <n v="11"/>
    <x v="0"/>
    <n v="3"/>
    <n v="80"/>
    <x v="0"/>
    <n v="3"/>
    <x v="2"/>
    <n v="3"/>
    <n v="3"/>
    <n v="2"/>
    <n v="1"/>
    <n v="2"/>
  </r>
  <r>
    <n v="44"/>
    <x v="1"/>
    <x v="0"/>
    <n v="1315"/>
    <x v="1"/>
    <n v="3"/>
    <n v="4"/>
    <s v="Other"/>
    <n v="1"/>
    <n v="671"/>
    <n v="4"/>
    <x v="1"/>
    <n v="35"/>
    <x v="0"/>
    <n v="5"/>
    <x v="5"/>
    <n v="4"/>
    <x v="1"/>
    <n v="19513"/>
    <n v="9358"/>
    <n v="4"/>
    <s v="Y"/>
    <s v="Yes"/>
    <n v="12"/>
    <x v="0"/>
    <n v="1"/>
    <n v="80"/>
    <x v="1"/>
    <n v="26"/>
    <x v="2"/>
    <n v="4"/>
    <n v="2"/>
    <n v="2"/>
    <n v="0"/>
    <n v="1"/>
  </r>
  <r>
    <n v="22"/>
    <x v="1"/>
    <x v="0"/>
    <n v="604"/>
    <x v="1"/>
    <n v="6"/>
    <n v="1"/>
    <s v="Medical"/>
    <n v="1"/>
    <n v="675"/>
    <n v="1"/>
    <x v="1"/>
    <n v="69"/>
    <x v="0"/>
    <n v="1"/>
    <x v="1"/>
    <n v="3"/>
    <x v="1"/>
    <n v="2773"/>
    <n v="12145"/>
    <n v="0"/>
    <s v="Y"/>
    <s v="No"/>
    <n v="20"/>
    <x v="1"/>
    <n v="4"/>
    <n v="80"/>
    <x v="0"/>
    <n v="3"/>
    <x v="1"/>
    <n v="3"/>
    <n v="2"/>
    <n v="2"/>
    <n v="2"/>
    <n v="2"/>
  </r>
  <r>
    <n v="33"/>
    <x v="1"/>
    <x v="0"/>
    <n v="1216"/>
    <x v="0"/>
    <n v="8"/>
    <n v="4"/>
    <s v="Marketing"/>
    <n v="1"/>
    <n v="677"/>
    <n v="3"/>
    <x v="1"/>
    <n v="39"/>
    <x v="0"/>
    <n v="2"/>
    <x v="0"/>
    <n v="3"/>
    <x v="2"/>
    <n v="7104"/>
    <n v="20431"/>
    <n v="0"/>
    <s v="Y"/>
    <s v="No"/>
    <n v="12"/>
    <x v="0"/>
    <n v="4"/>
    <n v="80"/>
    <x v="0"/>
    <n v="6"/>
    <x v="1"/>
    <n v="3"/>
    <n v="5"/>
    <n v="0"/>
    <n v="1"/>
    <n v="2"/>
  </r>
  <r>
    <n v="32"/>
    <x v="1"/>
    <x v="0"/>
    <n v="646"/>
    <x v="1"/>
    <n v="9"/>
    <n v="4"/>
    <s v="Life Sciences"/>
    <n v="1"/>
    <n v="679"/>
    <n v="1"/>
    <x v="0"/>
    <n v="92"/>
    <x v="0"/>
    <n v="2"/>
    <x v="1"/>
    <n v="4"/>
    <x v="1"/>
    <n v="6322"/>
    <n v="18089"/>
    <n v="1"/>
    <s v="Y"/>
    <s v="Yes"/>
    <n v="12"/>
    <x v="0"/>
    <n v="4"/>
    <n v="80"/>
    <x v="1"/>
    <n v="6"/>
    <x v="2"/>
    <n v="2"/>
    <n v="6"/>
    <n v="4"/>
    <n v="0"/>
    <n v="5"/>
  </r>
  <r>
    <n v="30"/>
    <x v="1"/>
    <x v="1"/>
    <n v="160"/>
    <x v="1"/>
    <n v="3"/>
    <n v="3"/>
    <s v="Medical"/>
    <n v="1"/>
    <n v="680"/>
    <n v="3"/>
    <x v="0"/>
    <n v="71"/>
    <x v="0"/>
    <n v="1"/>
    <x v="1"/>
    <n v="3"/>
    <x v="2"/>
    <n v="2083"/>
    <n v="22653"/>
    <n v="1"/>
    <s v="Y"/>
    <s v="No"/>
    <n v="20"/>
    <x v="1"/>
    <n v="3"/>
    <n v="80"/>
    <x v="1"/>
    <n v="1"/>
    <x v="2"/>
    <n v="3"/>
    <n v="1"/>
    <n v="0"/>
    <n v="0"/>
    <n v="0"/>
  </r>
  <r>
    <n v="53"/>
    <x v="1"/>
    <x v="0"/>
    <n v="238"/>
    <x v="0"/>
    <n v="1"/>
    <n v="1"/>
    <s v="Medical"/>
    <n v="1"/>
    <n v="682"/>
    <n v="4"/>
    <x v="0"/>
    <n v="34"/>
    <x v="0"/>
    <n v="2"/>
    <x v="0"/>
    <n v="1"/>
    <x v="0"/>
    <n v="8381"/>
    <n v="7507"/>
    <n v="7"/>
    <s v="Y"/>
    <s v="No"/>
    <n v="20"/>
    <x v="1"/>
    <n v="4"/>
    <n v="80"/>
    <x v="0"/>
    <n v="18"/>
    <x v="2"/>
    <n v="4"/>
    <n v="14"/>
    <n v="7"/>
    <n v="8"/>
    <n v="10"/>
  </r>
  <r>
    <n v="34"/>
    <x v="1"/>
    <x v="0"/>
    <n v="1397"/>
    <x v="1"/>
    <n v="1"/>
    <n v="5"/>
    <s v="Life Sciences"/>
    <n v="1"/>
    <n v="683"/>
    <n v="2"/>
    <x v="1"/>
    <n v="42"/>
    <x v="0"/>
    <n v="1"/>
    <x v="1"/>
    <n v="4"/>
    <x v="1"/>
    <n v="2691"/>
    <n v="7660"/>
    <n v="1"/>
    <s v="Y"/>
    <s v="No"/>
    <n v="12"/>
    <x v="0"/>
    <n v="4"/>
    <n v="80"/>
    <x v="1"/>
    <n v="10"/>
    <x v="5"/>
    <n v="2"/>
    <n v="10"/>
    <n v="9"/>
    <n v="8"/>
    <n v="8"/>
  </r>
  <r>
    <n v="45"/>
    <x v="0"/>
    <x v="1"/>
    <n v="306"/>
    <x v="0"/>
    <n v="26"/>
    <n v="4"/>
    <s v="Life Sciences"/>
    <n v="1"/>
    <n v="684"/>
    <n v="1"/>
    <x v="0"/>
    <n v="100"/>
    <x v="0"/>
    <n v="2"/>
    <x v="0"/>
    <n v="1"/>
    <x v="1"/>
    <n v="4286"/>
    <n v="5630"/>
    <n v="2"/>
    <s v="Y"/>
    <s v="No"/>
    <n v="14"/>
    <x v="0"/>
    <n v="4"/>
    <n v="80"/>
    <x v="3"/>
    <n v="5"/>
    <x v="5"/>
    <n v="3"/>
    <n v="1"/>
    <n v="1"/>
    <n v="0"/>
    <n v="0"/>
  </r>
  <r>
    <n v="26"/>
    <x v="1"/>
    <x v="0"/>
    <n v="991"/>
    <x v="1"/>
    <n v="6"/>
    <n v="3"/>
    <s v="Life Sciences"/>
    <n v="1"/>
    <n v="686"/>
    <n v="3"/>
    <x v="0"/>
    <n v="71"/>
    <x v="0"/>
    <n v="1"/>
    <x v="2"/>
    <n v="4"/>
    <x v="1"/>
    <n v="2659"/>
    <n v="17759"/>
    <n v="1"/>
    <s v="Y"/>
    <s v="Yes"/>
    <n v="13"/>
    <x v="0"/>
    <n v="3"/>
    <n v="80"/>
    <x v="1"/>
    <n v="3"/>
    <x v="2"/>
    <n v="3"/>
    <n v="3"/>
    <n v="2"/>
    <n v="0"/>
    <n v="2"/>
  </r>
  <r>
    <n v="37"/>
    <x v="1"/>
    <x v="0"/>
    <n v="482"/>
    <x v="1"/>
    <n v="3"/>
    <n v="3"/>
    <s v="Other"/>
    <n v="1"/>
    <n v="689"/>
    <n v="3"/>
    <x v="1"/>
    <n v="36"/>
    <x v="0"/>
    <n v="3"/>
    <x v="3"/>
    <n v="3"/>
    <x v="1"/>
    <n v="9434"/>
    <n v="9606"/>
    <n v="1"/>
    <s v="Y"/>
    <s v="No"/>
    <n v="15"/>
    <x v="0"/>
    <n v="3"/>
    <n v="80"/>
    <x v="1"/>
    <n v="10"/>
    <x v="2"/>
    <n v="3"/>
    <n v="10"/>
    <n v="7"/>
    <n v="7"/>
    <n v="8"/>
  </r>
  <r>
    <n v="29"/>
    <x v="1"/>
    <x v="0"/>
    <n v="1176"/>
    <x v="0"/>
    <n v="3"/>
    <n v="2"/>
    <s v="Medical"/>
    <n v="1"/>
    <n v="690"/>
    <n v="2"/>
    <x v="0"/>
    <n v="62"/>
    <x v="0"/>
    <n v="2"/>
    <x v="0"/>
    <n v="3"/>
    <x v="1"/>
    <n v="5561"/>
    <n v="3487"/>
    <n v="1"/>
    <s v="Y"/>
    <s v="No"/>
    <n v="14"/>
    <x v="0"/>
    <n v="1"/>
    <n v="80"/>
    <x v="1"/>
    <n v="6"/>
    <x v="3"/>
    <n v="2"/>
    <n v="6"/>
    <n v="0"/>
    <n v="1"/>
    <n v="2"/>
  </r>
  <r>
    <n v="35"/>
    <x v="1"/>
    <x v="0"/>
    <n v="1017"/>
    <x v="1"/>
    <n v="6"/>
    <n v="4"/>
    <s v="Life Sciences"/>
    <n v="1"/>
    <n v="691"/>
    <n v="2"/>
    <x v="1"/>
    <n v="82"/>
    <x v="3"/>
    <n v="2"/>
    <x v="1"/>
    <n v="4"/>
    <x v="0"/>
    <n v="6646"/>
    <n v="19368"/>
    <n v="1"/>
    <s v="Y"/>
    <s v="No"/>
    <n v="13"/>
    <x v="0"/>
    <n v="2"/>
    <n v="80"/>
    <x v="0"/>
    <n v="17"/>
    <x v="1"/>
    <n v="3"/>
    <n v="17"/>
    <n v="11"/>
    <n v="11"/>
    <n v="8"/>
  </r>
  <r>
    <n v="33"/>
    <x v="1"/>
    <x v="1"/>
    <n v="1296"/>
    <x v="1"/>
    <n v="6"/>
    <n v="3"/>
    <s v="Life Sciences"/>
    <n v="1"/>
    <n v="692"/>
    <n v="3"/>
    <x v="1"/>
    <n v="30"/>
    <x v="0"/>
    <n v="2"/>
    <x v="4"/>
    <n v="4"/>
    <x v="2"/>
    <n v="7725"/>
    <n v="5335"/>
    <n v="3"/>
    <s v="Y"/>
    <s v="No"/>
    <n v="23"/>
    <x v="1"/>
    <n v="3"/>
    <n v="80"/>
    <x v="1"/>
    <n v="15"/>
    <x v="2"/>
    <n v="1"/>
    <n v="13"/>
    <n v="11"/>
    <n v="4"/>
    <n v="7"/>
  </r>
  <r>
    <n v="54"/>
    <x v="1"/>
    <x v="0"/>
    <n v="397"/>
    <x v="2"/>
    <n v="19"/>
    <n v="4"/>
    <s v="Medical"/>
    <n v="1"/>
    <n v="698"/>
    <n v="3"/>
    <x v="1"/>
    <n v="88"/>
    <x v="0"/>
    <n v="3"/>
    <x v="8"/>
    <n v="2"/>
    <x v="1"/>
    <n v="10725"/>
    <n v="6729"/>
    <n v="2"/>
    <s v="Y"/>
    <s v="No"/>
    <n v="15"/>
    <x v="0"/>
    <n v="3"/>
    <n v="80"/>
    <x v="1"/>
    <n v="16"/>
    <x v="4"/>
    <n v="4"/>
    <n v="9"/>
    <n v="7"/>
    <n v="7"/>
    <n v="1"/>
  </r>
  <r>
    <n v="36"/>
    <x v="1"/>
    <x v="0"/>
    <n v="913"/>
    <x v="1"/>
    <n v="9"/>
    <n v="2"/>
    <s v="Medical"/>
    <n v="1"/>
    <n v="699"/>
    <n v="2"/>
    <x v="1"/>
    <n v="48"/>
    <x v="1"/>
    <n v="2"/>
    <x v="3"/>
    <n v="2"/>
    <x v="2"/>
    <n v="8847"/>
    <n v="13934"/>
    <n v="2"/>
    <s v="Y"/>
    <s v="Yes"/>
    <n v="11"/>
    <x v="0"/>
    <n v="3"/>
    <n v="80"/>
    <x v="1"/>
    <n v="13"/>
    <x v="2"/>
    <n v="3"/>
    <n v="3"/>
    <n v="2"/>
    <n v="0"/>
    <n v="2"/>
  </r>
  <r>
    <n v="27"/>
    <x v="1"/>
    <x v="0"/>
    <n v="1115"/>
    <x v="1"/>
    <n v="3"/>
    <n v="4"/>
    <s v="Medical"/>
    <n v="1"/>
    <n v="700"/>
    <n v="1"/>
    <x v="1"/>
    <n v="54"/>
    <x v="1"/>
    <n v="1"/>
    <x v="1"/>
    <n v="4"/>
    <x v="0"/>
    <n v="2045"/>
    <n v="15174"/>
    <n v="0"/>
    <s v="Y"/>
    <s v="No"/>
    <n v="13"/>
    <x v="0"/>
    <n v="4"/>
    <n v="80"/>
    <x v="0"/>
    <n v="5"/>
    <x v="0"/>
    <n v="3"/>
    <n v="4"/>
    <n v="2"/>
    <n v="1"/>
    <n v="1"/>
  </r>
  <r>
    <n v="20"/>
    <x v="0"/>
    <x v="0"/>
    <n v="1362"/>
    <x v="1"/>
    <n v="10"/>
    <n v="1"/>
    <s v="Medical"/>
    <n v="1"/>
    <n v="701"/>
    <n v="4"/>
    <x v="1"/>
    <n v="32"/>
    <x v="0"/>
    <n v="1"/>
    <x v="1"/>
    <n v="3"/>
    <x v="0"/>
    <n v="1009"/>
    <n v="26999"/>
    <n v="1"/>
    <s v="Y"/>
    <s v="Yes"/>
    <n v="11"/>
    <x v="0"/>
    <n v="4"/>
    <n v="80"/>
    <x v="0"/>
    <n v="1"/>
    <x v="3"/>
    <n v="3"/>
    <n v="1"/>
    <n v="0"/>
    <n v="1"/>
    <n v="1"/>
  </r>
  <r>
    <n v="33"/>
    <x v="0"/>
    <x v="1"/>
    <n v="1076"/>
    <x v="1"/>
    <n v="3"/>
    <n v="3"/>
    <s v="Life Sciences"/>
    <n v="1"/>
    <n v="702"/>
    <n v="1"/>
    <x v="1"/>
    <n v="70"/>
    <x v="0"/>
    <n v="1"/>
    <x v="1"/>
    <n v="1"/>
    <x v="0"/>
    <n v="3348"/>
    <n v="3164"/>
    <n v="1"/>
    <s v="Y"/>
    <s v="Yes"/>
    <n v="11"/>
    <x v="0"/>
    <n v="1"/>
    <n v="80"/>
    <x v="0"/>
    <n v="10"/>
    <x v="1"/>
    <n v="3"/>
    <n v="10"/>
    <n v="8"/>
    <n v="9"/>
    <n v="7"/>
  </r>
  <r>
    <n v="35"/>
    <x v="1"/>
    <x v="2"/>
    <n v="727"/>
    <x v="1"/>
    <n v="3"/>
    <n v="3"/>
    <s v="Life Sciences"/>
    <n v="1"/>
    <n v="704"/>
    <n v="3"/>
    <x v="1"/>
    <n v="41"/>
    <x v="1"/>
    <n v="1"/>
    <x v="2"/>
    <n v="3"/>
    <x v="1"/>
    <n v="1281"/>
    <n v="16900"/>
    <n v="1"/>
    <s v="Y"/>
    <s v="No"/>
    <n v="18"/>
    <x v="0"/>
    <n v="3"/>
    <n v="80"/>
    <x v="3"/>
    <n v="1"/>
    <x v="1"/>
    <n v="3"/>
    <n v="1"/>
    <n v="0"/>
    <n v="0"/>
    <n v="0"/>
  </r>
  <r>
    <n v="23"/>
    <x v="1"/>
    <x v="0"/>
    <n v="885"/>
    <x v="1"/>
    <n v="4"/>
    <n v="3"/>
    <s v="Medical"/>
    <n v="1"/>
    <n v="705"/>
    <n v="1"/>
    <x v="1"/>
    <n v="58"/>
    <x v="2"/>
    <n v="1"/>
    <x v="1"/>
    <n v="1"/>
    <x v="1"/>
    <n v="2819"/>
    <n v="8544"/>
    <n v="2"/>
    <s v="Y"/>
    <s v="No"/>
    <n v="16"/>
    <x v="0"/>
    <n v="1"/>
    <n v="80"/>
    <x v="1"/>
    <n v="5"/>
    <x v="1"/>
    <n v="4"/>
    <n v="3"/>
    <n v="2"/>
    <n v="0"/>
    <n v="2"/>
  </r>
  <r>
    <n v="25"/>
    <x v="1"/>
    <x v="0"/>
    <n v="810"/>
    <x v="0"/>
    <n v="8"/>
    <n v="3"/>
    <s v="Life Sciences"/>
    <n v="1"/>
    <n v="707"/>
    <n v="4"/>
    <x v="1"/>
    <n v="57"/>
    <x v="2"/>
    <n v="2"/>
    <x v="0"/>
    <n v="2"/>
    <x v="1"/>
    <n v="4851"/>
    <n v="15678"/>
    <n v="0"/>
    <s v="Y"/>
    <s v="No"/>
    <n v="22"/>
    <x v="1"/>
    <n v="3"/>
    <n v="80"/>
    <x v="1"/>
    <n v="4"/>
    <x v="5"/>
    <n v="3"/>
    <n v="3"/>
    <n v="2"/>
    <n v="1"/>
    <n v="2"/>
  </r>
  <r>
    <n v="38"/>
    <x v="1"/>
    <x v="0"/>
    <n v="243"/>
    <x v="0"/>
    <n v="7"/>
    <n v="4"/>
    <s v="Marketing"/>
    <n v="1"/>
    <n v="709"/>
    <n v="4"/>
    <x v="0"/>
    <n v="46"/>
    <x v="1"/>
    <n v="2"/>
    <x v="0"/>
    <n v="4"/>
    <x v="0"/>
    <n v="4028"/>
    <n v="7791"/>
    <n v="0"/>
    <s v="Y"/>
    <s v="No"/>
    <n v="20"/>
    <x v="1"/>
    <n v="1"/>
    <n v="80"/>
    <x v="0"/>
    <n v="8"/>
    <x v="2"/>
    <n v="3"/>
    <n v="7"/>
    <n v="7"/>
    <n v="0"/>
    <n v="5"/>
  </r>
  <r>
    <n v="29"/>
    <x v="1"/>
    <x v="1"/>
    <n v="806"/>
    <x v="1"/>
    <n v="1"/>
    <n v="4"/>
    <s v="Life Sciences"/>
    <n v="1"/>
    <n v="710"/>
    <n v="2"/>
    <x v="1"/>
    <n v="76"/>
    <x v="3"/>
    <n v="1"/>
    <x v="1"/>
    <n v="4"/>
    <x v="2"/>
    <n v="2720"/>
    <n v="18959"/>
    <n v="1"/>
    <s v="Y"/>
    <s v="No"/>
    <n v="18"/>
    <x v="0"/>
    <n v="4"/>
    <n v="80"/>
    <x v="1"/>
    <n v="10"/>
    <x v="3"/>
    <n v="3"/>
    <n v="10"/>
    <n v="7"/>
    <n v="2"/>
    <n v="8"/>
  </r>
  <r>
    <n v="48"/>
    <x v="1"/>
    <x v="0"/>
    <n v="817"/>
    <x v="0"/>
    <n v="2"/>
    <n v="1"/>
    <s v="Marketing"/>
    <n v="1"/>
    <n v="712"/>
    <n v="2"/>
    <x v="1"/>
    <n v="56"/>
    <x v="2"/>
    <n v="2"/>
    <x v="0"/>
    <n v="2"/>
    <x v="1"/>
    <n v="8120"/>
    <n v="18597"/>
    <n v="3"/>
    <s v="Y"/>
    <s v="No"/>
    <n v="12"/>
    <x v="0"/>
    <n v="4"/>
    <n v="80"/>
    <x v="0"/>
    <n v="12"/>
    <x v="1"/>
    <n v="3"/>
    <n v="2"/>
    <n v="2"/>
    <n v="2"/>
    <n v="2"/>
  </r>
  <r>
    <n v="27"/>
    <x v="1"/>
    <x v="1"/>
    <n v="1410"/>
    <x v="0"/>
    <n v="3"/>
    <n v="1"/>
    <s v="Medical"/>
    <n v="1"/>
    <n v="714"/>
    <n v="4"/>
    <x v="0"/>
    <n v="71"/>
    <x v="2"/>
    <n v="2"/>
    <x v="0"/>
    <n v="4"/>
    <x v="2"/>
    <n v="4647"/>
    <n v="16673"/>
    <n v="1"/>
    <s v="Y"/>
    <s v="Yes"/>
    <n v="20"/>
    <x v="1"/>
    <n v="2"/>
    <n v="80"/>
    <x v="3"/>
    <n v="6"/>
    <x v="1"/>
    <n v="3"/>
    <n v="6"/>
    <n v="5"/>
    <n v="0"/>
    <n v="4"/>
  </r>
  <r>
    <n v="37"/>
    <x v="1"/>
    <x v="0"/>
    <n v="1225"/>
    <x v="1"/>
    <n v="10"/>
    <n v="2"/>
    <s v="Life Sciences"/>
    <n v="1"/>
    <n v="715"/>
    <n v="4"/>
    <x v="1"/>
    <n v="80"/>
    <x v="2"/>
    <n v="1"/>
    <x v="1"/>
    <n v="4"/>
    <x v="0"/>
    <n v="4680"/>
    <n v="15232"/>
    <n v="3"/>
    <s v="Y"/>
    <s v="No"/>
    <n v="17"/>
    <x v="0"/>
    <n v="1"/>
    <n v="80"/>
    <x v="0"/>
    <n v="4"/>
    <x v="2"/>
    <n v="3"/>
    <n v="1"/>
    <n v="0"/>
    <n v="0"/>
    <n v="0"/>
  </r>
  <r>
    <n v="50"/>
    <x v="1"/>
    <x v="0"/>
    <n v="1207"/>
    <x v="1"/>
    <n v="28"/>
    <n v="1"/>
    <s v="Medical"/>
    <n v="1"/>
    <n v="716"/>
    <n v="4"/>
    <x v="1"/>
    <n v="74"/>
    <x v="2"/>
    <n v="1"/>
    <x v="2"/>
    <n v="3"/>
    <x v="1"/>
    <n v="3221"/>
    <n v="3297"/>
    <n v="1"/>
    <s v="Y"/>
    <s v="Yes"/>
    <n v="11"/>
    <x v="0"/>
    <n v="3"/>
    <n v="80"/>
    <x v="2"/>
    <n v="20"/>
    <x v="1"/>
    <n v="3"/>
    <n v="20"/>
    <n v="8"/>
    <n v="3"/>
    <n v="8"/>
  </r>
  <r>
    <n v="34"/>
    <x v="1"/>
    <x v="0"/>
    <n v="1442"/>
    <x v="1"/>
    <n v="9"/>
    <n v="3"/>
    <s v="Medical"/>
    <n v="1"/>
    <n v="717"/>
    <n v="4"/>
    <x v="0"/>
    <n v="46"/>
    <x v="1"/>
    <n v="3"/>
    <x v="4"/>
    <n v="2"/>
    <x v="0"/>
    <n v="8621"/>
    <n v="17654"/>
    <n v="1"/>
    <s v="Y"/>
    <s v="No"/>
    <n v="14"/>
    <x v="0"/>
    <n v="2"/>
    <n v="80"/>
    <x v="0"/>
    <n v="9"/>
    <x v="1"/>
    <n v="4"/>
    <n v="8"/>
    <n v="7"/>
    <n v="7"/>
    <n v="7"/>
  </r>
  <r>
    <n v="24"/>
    <x v="0"/>
    <x v="0"/>
    <n v="693"/>
    <x v="0"/>
    <n v="3"/>
    <n v="2"/>
    <s v="Life Sciences"/>
    <n v="1"/>
    <n v="720"/>
    <n v="1"/>
    <x v="0"/>
    <n v="65"/>
    <x v="0"/>
    <n v="2"/>
    <x v="0"/>
    <n v="3"/>
    <x v="0"/>
    <n v="4577"/>
    <n v="24785"/>
    <n v="9"/>
    <s v="Y"/>
    <s v="No"/>
    <n v="14"/>
    <x v="0"/>
    <n v="1"/>
    <n v="80"/>
    <x v="0"/>
    <n v="4"/>
    <x v="1"/>
    <n v="3"/>
    <n v="2"/>
    <n v="2"/>
    <n v="2"/>
    <n v="0"/>
  </r>
  <r>
    <n v="39"/>
    <x v="1"/>
    <x v="0"/>
    <n v="408"/>
    <x v="1"/>
    <n v="2"/>
    <n v="4"/>
    <s v="Technical Degree"/>
    <n v="1"/>
    <n v="721"/>
    <n v="4"/>
    <x v="0"/>
    <n v="80"/>
    <x v="1"/>
    <n v="2"/>
    <x v="4"/>
    <n v="3"/>
    <x v="0"/>
    <n v="4553"/>
    <n v="20978"/>
    <n v="1"/>
    <s v="Y"/>
    <s v="No"/>
    <n v="11"/>
    <x v="0"/>
    <n v="1"/>
    <n v="80"/>
    <x v="0"/>
    <n v="20"/>
    <x v="5"/>
    <n v="3"/>
    <n v="20"/>
    <n v="7"/>
    <n v="11"/>
    <n v="10"/>
  </r>
  <r>
    <n v="32"/>
    <x v="1"/>
    <x v="0"/>
    <n v="929"/>
    <x v="0"/>
    <n v="10"/>
    <n v="3"/>
    <s v="Marketing"/>
    <n v="1"/>
    <n v="722"/>
    <n v="4"/>
    <x v="1"/>
    <n v="55"/>
    <x v="0"/>
    <n v="2"/>
    <x v="0"/>
    <n v="4"/>
    <x v="0"/>
    <n v="5396"/>
    <n v="21703"/>
    <n v="1"/>
    <s v="Y"/>
    <s v="No"/>
    <n v="12"/>
    <x v="0"/>
    <n v="4"/>
    <n v="80"/>
    <x v="0"/>
    <n v="10"/>
    <x v="2"/>
    <n v="2"/>
    <n v="10"/>
    <n v="7"/>
    <n v="0"/>
    <n v="8"/>
  </r>
  <r>
    <n v="50"/>
    <x v="0"/>
    <x v="1"/>
    <n v="562"/>
    <x v="0"/>
    <n v="8"/>
    <n v="2"/>
    <s v="Technical Degree"/>
    <n v="1"/>
    <n v="723"/>
    <n v="2"/>
    <x v="1"/>
    <n v="50"/>
    <x v="0"/>
    <n v="2"/>
    <x v="0"/>
    <n v="3"/>
    <x v="1"/>
    <n v="6796"/>
    <n v="23452"/>
    <n v="3"/>
    <s v="Y"/>
    <s v="Yes"/>
    <n v="14"/>
    <x v="0"/>
    <n v="1"/>
    <n v="80"/>
    <x v="1"/>
    <n v="18"/>
    <x v="5"/>
    <n v="3"/>
    <n v="4"/>
    <n v="3"/>
    <n v="1"/>
    <n v="3"/>
  </r>
  <r>
    <n v="38"/>
    <x v="1"/>
    <x v="0"/>
    <n v="827"/>
    <x v="1"/>
    <n v="1"/>
    <n v="4"/>
    <s v="Life Sciences"/>
    <n v="1"/>
    <n v="724"/>
    <n v="2"/>
    <x v="0"/>
    <n v="33"/>
    <x v="2"/>
    <n v="2"/>
    <x v="4"/>
    <n v="4"/>
    <x v="0"/>
    <n v="7625"/>
    <n v="19383"/>
    <n v="0"/>
    <s v="Y"/>
    <s v="No"/>
    <n v="13"/>
    <x v="0"/>
    <n v="3"/>
    <n v="80"/>
    <x v="0"/>
    <n v="10"/>
    <x v="5"/>
    <n v="2"/>
    <n v="9"/>
    <n v="7"/>
    <n v="1"/>
    <n v="8"/>
  </r>
  <r>
    <n v="27"/>
    <x v="1"/>
    <x v="0"/>
    <n v="608"/>
    <x v="1"/>
    <n v="1"/>
    <n v="2"/>
    <s v="Life Sciences"/>
    <n v="1"/>
    <n v="725"/>
    <n v="3"/>
    <x v="0"/>
    <n v="68"/>
    <x v="0"/>
    <n v="3"/>
    <x v="3"/>
    <n v="1"/>
    <x v="1"/>
    <n v="7412"/>
    <n v="6009"/>
    <n v="1"/>
    <s v="Y"/>
    <s v="No"/>
    <n v="11"/>
    <x v="0"/>
    <n v="4"/>
    <n v="80"/>
    <x v="0"/>
    <n v="9"/>
    <x v="1"/>
    <n v="3"/>
    <n v="9"/>
    <n v="7"/>
    <n v="0"/>
    <n v="7"/>
  </r>
  <r>
    <n v="32"/>
    <x v="1"/>
    <x v="0"/>
    <n v="1018"/>
    <x v="1"/>
    <n v="3"/>
    <n v="2"/>
    <s v="Life Sciences"/>
    <n v="1"/>
    <n v="727"/>
    <n v="3"/>
    <x v="0"/>
    <n v="39"/>
    <x v="0"/>
    <n v="3"/>
    <x v="7"/>
    <n v="4"/>
    <x v="0"/>
    <n v="11159"/>
    <n v="19373"/>
    <n v="3"/>
    <s v="Y"/>
    <s v="No"/>
    <n v="15"/>
    <x v="0"/>
    <n v="4"/>
    <n v="80"/>
    <x v="0"/>
    <n v="10"/>
    <x v="6"/>
    <n v="3"/>
    <n v="7"/>
    <n v="7"/>
    <n v="7"/>
    <n v="7"/>
  </r>
  <r>
    <n v="47"/>
    <x v="1"/>
    <x v="0"/>
    <n v="703"/>
    <x v="0"/>
    <n v="14"/>
    <n v="4"/>
    <s v="Marketing"/>
    <n v="1"/>
    <n v="728"/>
    <n v="4"/>
    <x v="1"/>
    <n v="42"/>
    <x v="0"/>
    <n v="2"/>
    <x v="0"/>
    <n v="1"/>
    <x v="0"/>
    <n v="4960"/>
    <n v="11825"/>
    <n v="2"/>
    <s v="Y"/>
    <s v="No"/>
    <n v="12"/>
    <x v="0"/>
    <n v="4"/>
    <n v="80"/>
    <x v="0"/>
    <n v="20"/>
    <x v="2"/>
    <n v="3"/>
    <n v="7"/>
    <n v="7"/>
    <n v="1"/>
    <n v="7"/>
  </r>
  <r>
    <n v="40"/>
    <x v="1"/>
    <x v="1"/>
    <n v="580"/>
    <x v="0"/>
    <n v="5"/>
    <n v="4"/>
    <s v="Life Sciences"/>
    <n v="1"/>
    <n v="729"/>
    <n v="4"/>
    <x v="1"/>
    <n v="48"/>
    <x v="1"/>
    <n v="3"/>
    <x v="0"/>
    <n v="1"/>
    <x v="1"/>
    <n v="10475"/>
    <n v="23772"/>
    <n v="5"/>
    <s v="Y"/>
    <s v="Yes"/>
    <n v="21"/>
    <x v="1"/>
    <n v="3"/>
    <n v="80"/>
    <x v="1"/>
    <n v="20"/>
    <x v="2"/>
    <n v="3"/>
    <n v="18"/>
    <n v="13"/>
    <n v="1"/>
    <n v="12"/>
  </r>
  <r>
    <n v="53"/>
    <x v="1"/>
    <x v="0"/>
    <n v="970"/>
    <x v="1"/>
    <n v="7"/>
    <n v="3"/>
    <s v="Life Sciences"/>
    <n v="1"/>
    <n v="730"/>
    <n v="3"/>
    <x v="1"/>
    <n v="59"/>
    <x v="2"/>
    <n v="4"/>
    <x v="7"/>
    <n v="3"/>
    <x v="1"/>
    <n v="14814"/>
    <n v="13514"/>
    <n v="3"/>
    <s v="Y"/>
    <s v="No"/>
    <n v="19"/>
    <x v="0"/>
    <n v="3"/>
    <n v="80"/>
    <x v="0"/>
    <n v="32"/>
    <x v="1"/>
    <n v="3"/>
    <n v="5"/>
    <n v="1"/>
    <n v="1"/>
    <n v="3"/>
  </r>
  <r>
    <n v="41"/>
    <x v="1"/>
    <x v="0"/>
    <n v="427"/>
    <x v="2"/>
    <n v="10"/>
    <n v="4"/>
    <s v="Human Resources"/>
    <n v="1"/>
    <n v="731"/>
    <n v="2"/>
    <x v="1"/>
    <n v="73"/>
    <x v="1"/>
    <n v="5"/>
    <x v="5"/>
    <n v="4"/>
    <x v="2"/>
    <n v="19141"/>
    <n v="8861"/>
    <n v="3"/>
    <s v="Y"/>
    <s v="No"/>
    <n v="15"/>
    <x v="0"/>
    <n v="2"/>
    <n v="80"/>
    <x v="2"/>
    <n v="23"/>
    <x v="2"/>
    <n v="2"/>
    <n v="21"/>
    <n v="6"/>
    <n v="12"/>
    <n v="6"/>
  </r>
  <r>
    <n v="60"/>
    <x v="1"/>
    <x v="0"/>
    <n v="1179"/>
    <x v="0"/>
    <n v="16"/>
    <n v="4"/>
    <s v="Marketing"/>
    <n v="1"/>
    <n v="732"/>
    <n v="1"/>
    <x v="1"/>
    <n v="84"/>
    <x v="0"/>
    <n v="2"/>
    <x v="0"/>
    <n v="1"/>
    <x v="0"/>
    <n v="5405"/>
    <n v="11924"/>
    <n v="8"/>
    <s v="Y"/>
    <s v="No"/>
    <n v="14"/>
    <x v="0"/>
    <n v="4"/>
    <n v="80"/>
    <x v="0"/>
    <n v="10"/>
    <x v="4"/>
    <n v="3"/>
    <n v="2"/>
    <n v="2"/>
    <n v="2"/>
    <n v="2"/>
  </r>
  <r>
    <n v="27"/>
    <x v="1"/>
    <x v="1"/>
    <n v="294"/>
    <x v="1"/>
    <n v="10"/>
    <n v="2"/>
    <s v="Life Sciences"/>
    <n v="1"/>
    <n v="733"/>
    <n v="4"/>
    <x v="1"/>
    <n v="32"/>
    <x v="0"/>
    <n v="3"/>
    <x v="3"/>
    <n v="1"/>
    <x v="2"/>
    <n v="8793"/>
    <n v="4809"/>
    <n v="1"/>
    <s v="Y"/>
    <s v="No"/>
    <n v="21"/>
    <x v="1"/>
    <n v="3"/>
    <n v="80"/>
    <x v="3"/>
    <n v="9"/>
    <x v="5"/>
    <n v="2"/>
    <n v="9"/>
    <n v="7"/>
    <n v="1"/>
    <n v="7"/>
  </r>
  <r>
    <n v="41"/>
    <x v="1"/>
    <x v="0"/>
    <n v="314"/>
    <x v="2"/>
    <n v="1"/>
    <n v="3"/>
    <s v="Human Resources"/>
    <n v="1"/>
    <n v="734"/>
    <n v="4"/>
    <x v="1"/>
    <n v="59"/>
    <x v="1"/>
    <n v="5"/>
    <x v="5"/>
    <n v="3"/>
    <x v="1"/>
    <n v="19189"/>
    <n v="19562"/>
    <n v="1"/>
    <s v="Y"/>
    <s v="No"/>
    <n v="12"/>
    <x v="0"/>
    <n v="2"/>
    <n v="80"/>
    <x v="1"/>
    <n v="22"/>
    <x v="1"/>
    <n v="3"/>
    <n v="22"/>
    <n v="7"/>
    <n v="2"/>
    <n v="10"/>
  </r>
  <r>
    <n v="50"/>
    <x v="1"/>
    <x v="0"/>
    <n v="316"/>
    <x v="0"/>
    <n v="8"/>
    <n v="4"/>
    <s v="Marketing"/>
    <n v="1"/>
    <n v="738"/>
    <n v="4"/>
    <x v="1"/>
    <n v="54"/>
    <x v="0"/>
    <n v="1"/>
    <x v="6"/>
    <n v="2"/>
    <x v="1"/>
    <n v="3875"/>
    <n v="9983"/>
    <n v="7"/>
    <s v="Y"/>
    <s v="No"/>
    <n v="15"/>
    <x v="0"/>
    <n v="4"/>
    <n v="80"/>
    <x v="1"/>
    <n v="4"/>
    <x v="2"/>
    <n v="3"/>
    <n v="2"/>
    <n v="2"/>
    <n v="2"/>
    <n v="2"/>
  </r>
  <r>
    <n v="28"/>
    <x v="0"/>
    <x v="0"/>
    <n v="654"/>
    <x v="1"/>
    <n v="1"/>
    <n v="2"/>
    <s v="Life Sciences"/>
    <n v="1"/>
    <n v="741"/>
    <n v="1"/>
    <x v="0"/>
    <n v="67"/>
    <x v="3"/>
    <n v="1"/>
    <x v="1"/>
    <n v="2"/>
    <x v="0"/>
    <n v="2216"/>
    <n v="3872"/>
    <n v="7"/>
    <s v="Y"/>
    <s v="Yes"/>
    <n v="13"/>
    <x v="0"/>
    <n v="4"/>
    <n v="80"/>
    <x v="0"/>
    <n v="10"/>
    <x v="5"/>
    <n v="3"/>
    <n v="7"/>
    <n v="7"/>
    <n v="3"/>
    <n v="7"/>
  </r>
  <r>
    <n v="36"/>
    <x v="1"/>
    <x v="2"/>
    <n v="427"/>
    <x v="1"/>
    <n v="8"/>
    <n v="3"/>
    <s v="Life Sciences"/>
    <n v="1"/>
    <n v="742"/>
    <n v="1"/>
    <x v="0"/>
    <n v="63"/>
    <x v="2"/>
    <n v="3"/>
    <x v="7"/>
    <n v="1"/>
    <x v="1"/>
    <n v="11713"/>
    <n v="20335"/>
    <n v="9"/>
    <s v="Y"/>
    <s v="No"/>
    <n v="14"/>
    <x v="0"/>
    <n v="1"/>
    <n v="80"/>
    <x v="1"/>
    <n v="10"/>
    <x v="2"/>
    <n v="3"/>
    <n v="8"/>
    <n v="7"/>
    <n v="0"/>
    <n v="5"/>
  </r>
  <r>
    <n v="38"/>
    <x v="1"/>
    <x v="0"/>
    <n v="168"/>
    <x v="1"/>
    <n v="1"/>
    <n v="3"/>
    <s v="Life Sciences"/>
    <n v="1"/>
    <n v="743"/>
    <n v="3"/>
    <x v="0"/>
    <n v="81"/>
    <x v="0"/>
    <n v="3"/>
    <x v="3"/>
    <n v="3"/>
    <x v="0"/>
    <n v="7861"/>
    <n v="15397"/>
    <n v="4"/>
    <s v="Y"/>
    <s v="Yes"/>
    <n v="14"/>
    <x v="0"/>
    <n v="4"/>
    <n v="80"/>
    <x v="0"/>
    <n v="10"/>
    <x v="5"/>
    <n v="4"/>
    <n v="1"/>
    <n v="0"/>
    <n v="0"/>
    <n v="0"/>
  </r>
  <r>
    <n v="44"/>
    <x v="1"/>
    <x v="2"/>
    <n v="381"/>
    <x v="1"/>
    <n v="24"/>
    <n v="3"/>
    <s v="Medical"/>
    <n v="1"/>
    <n v="744"/>
    <n v="1"/>
    <x v="1"/>
    <n v="49"/>
    <x v="3"/>
    <n v="1"/>
    <x v="2"/>
    <n v="3"/>
    <x v="0"/>
    <n v="3708"/>
    <n v="2104"/>
    <n v="2"/>
    <s v="Y"/>
    <s v="No"/>
    <n v="14"/>
    <x v="0"/>
    <n v="3"/>
    <n v="80"/>
    <x v="0"/>
    <n v="9"/>
    <x v="3"/>
    <n v="3"/>
    <n v="5"/>
    <n v="2"/>
    <n v="1"/>
    <n v="4"/>
  </r>
  <r>
    <n v="47"/>
    <x v="1"/>
    <x v="1"/>
    <n v="217"/>
    <x v="0"/>
    <n v="3"/>
    <n v="3"/>
    <s v="Medical"/>
    <n v="1"/>
    <n v="746"/>
    <n v="4"/>
    <x v="0"/>
    <n v="49"/>
    <x v="0"/>
    <n v="4"/>
    <x v="0"/>
    <n v="3"/>
    <x v="2"/>
    <n v="13770"/>
    <n v="10225"/>
    <n v="9"/>
    <s v="Y"/>
    <s v="Yes"/>
    <n v="12"/>
    <x v="0"/>
    <n v="4"/>
    <n v="80"/>
    <x v="3"/>
    <n v="28"/>
    <x v="2"/>
    <n v="2"/>
    <n v="22"/>
    <n v="2"/>
    <n v="11"/>
    <n v="13"/>
  </r>
  <r>
    <n v="30"/>
    <x v="1"/>
    <x v="0"/>
    <n v="501"/>
    <x v="0"/>
    <n v="27"/>
    <n v="5"/>
    <s v="Marketing"/>
    <n v="1"/>
    <n v="747"/>
    <n v="3"/>
    <x v="1"/>
    <n v="99"/>
    <x v="0"/>
    <n v="2"/>
    <x v="0"/>
    <n v="4"/>
    <x v="2"/>
    <n v="5304"/>
    <n v="25275"/>
    <n v="7"/>
    <s v="Y"/>
    <s v="No"/>
    <n v="23"/>
    <x v="1"/>
    <n v="4"/>
    <n v="80"/>
    <x v="1"/>
    <n v="10"/>
    <x v="2"/>
    <n v="2"/>
    <n v="8"/>
    <n v="7"/>
    <n v="7"/>
    <n v="7"/>
  </r>
  <r>
    <n v="29"/>
    <x v="1"/>
    <x v="0"/>
    <n v="1396"/>
    <x v="0"/>
    <n v="10"/>
    <n v="3"/>
    <s v="Life Sciences"/>
    <n v="1"/>
    <n v="749"/>
    <n v="3"/>
    <x v="1"/>
    <n v="99"/>
    <x v="0"/>
    <n v="1"/>
    <x v="6"/>
    <n v="3"/>
    <x v="0"/>
    <n v="2642"/>
    <n v="2755"/>
    <n v="1"/>
    <s v="Y"/>
    <s v="No"/>
    <n v="11"/>
    <x v="0"/>
    <n v="3"/>
    <n v="80"/>
    <x v="0"/>
    <n v="1"/>
    <x v="6"/>
    <n v="3"/>
    <n v="1"/>
    <n v="0"/>
    <n v="0"/>
    <n v="0"/>
  </r>
  <r>
    <n v="42"/>
    <x v="0"/>
    <x v="1"/>
    <n v="933"/>
    <x v="1"/>
    <n v="19"/>
    <n v="3"/>
    <s v="Medical"/>
    <n v="1"/>
    <n v="752"/>
    <n v="3"/>
    <x v="1"/>
    <n v="57"/>
    <x v="2"/>
    <n v="1"/>
    <x v="1"/>
    <n v="3"/>
    <x v="2"/>
    <n v="2759"/>
    <n v="20366"/>
    <n v="6"/>
    <s v="Y"/>
    <s v="Yes"/>
    <n v="12"/>
    <x v="0"/>
    <n v="4"/>
    <n v="80"/>
    <x v="0"/>
    <n v="7"/>
    <x v="2"/>
    <n v="3"/>
    <n v="2"/>
    <n v="2"/>
    <n v="2"/>
    <n v="2"/>
  </r>
  <r>
    <n v="43"/>
    <x v="1"/>
    <x v="1"/>
    <n v="775"/>
    <x v="0"/>
    <n v="15"/>
    <n v="3"/>
    <s v="Life Sciences"/>
    <n v="1"/>
    <n v="754"/>
    <n v="4"/>
    <x v="1"/>
    <n v="47"/>
    <x v="1"/>
    <n v="2"/>
    <x v="0"/>
    <n v="4"/>
    <x v="1"/>
    <n v="6804"/>
    <n v="23683"/>
    <n v="3"/>
    <s v="Y"/>
    <s v="No"/>
    <n v="18"/>
    <x v="0"/>
    <n v="3"/>
    <n v="80"/>
    <x v="1"/>
    <n v="7"/>
    <x v="3"/>
    <n v="3"/>
    <n v="2"/>
    <n v="2"/>
    <n v="2"/>
    <n v="2"/>
  </r>
  <r>
    <n v="34"/>
    <x v="1"/>
    <x v="0"/>
    <n v="970"/>
    <x v="1"/>
    <n v="8"/>
    <n v="2"/>
    <s v="Medical"/>
    <n v="1"/>
    <n v="757"/>
    <n v="2"/>
    <x v="0"/>
    <n v="96"/>
    <x v="0"/>
    <n v="2"/>
    <x v="4"/>
    <n v="3"/>
    <x v="0"/>
    <n v="6142"/>
    <n v="7360"/>
    <n v="3"/>
    <s v="Y"/>
    <s v="No"/>
    <n v="11"/>
    <x v="0"/>
    <n v="4"/>
    <n v="80"/>
    <x v="0"/>
    <n v="10"/>
    <x v="2"/>
    <n v="3"/>
    <n v="5"/>
    <n v="1"/>
    <n v="4"/>
    <n v="3"/>
  </r>
  <r>
    <n v="23"/>
    <x v="1"/>
    <x v="0"/>
    <n v="650"/>
    <x v="1"/>
    <n v="9"/>
    <n v="1"/>
    <s v="Medical"/>
    <n v="1"/>
    <n v="758"/>
    <n v="2"/>
    <x v="1"/>
    <n v="37"/>
    <x v="0"/>
    <n v="1"/>
    <x v="2"/>
    <n v="1"/>
    <x v="1"/>
    <n v="2500"/>
    <n v="4344"/>
    <n v="1"/>
    <s v="Y"/>
    <s v="No"/>
    <n v="14"/>
    <x v="0"/>
    <n v="4"/>
    <n v="80"/>
    <x v="1"/>
    <n v="5"/>
    <x v="2"/>
    <n v="4"/>
    <n v="4"/>
    <n v="3"/>
    <n v="0"/>
    <n v="2"/>
  </r>
  <r>
    <n v="39"/>
    <x v="1"/>
    <x v="0"/>
    <n v="141"/>
    <x v="2"/>
    <n v="3"/>
    <n v="3"/>
    <s v="Human Resources"/>
    <n v="1"/>
    <n v="760"/>
    <n v="3"/>
    <x v="0"/>
    <n v="44"/>
    <x v="2"/>
    <n v="2"/>
    <x v="8"/>
    <n v="2"/>
    <x v="1"/>
    <n v="6389"/>
    <n v="18767"/>
    <n v="9"/>
    <s v="Y"/>
    <s v="No"/>
    <n v="15"/>
    <x v="0"/>
    <n v="3"/>
    <n v="80"/>
    <x v="1"/>
    <n v="12"/>
    <x v="1"/>
    <n v="1"/>
    <n v="8"/>
    <n v="3"/>
    <n v="3"/>
    <n v="6"/>
  </r>
  <r>
    <n v="56"/>
    <x v="1"/>
    <x v="0"/>
    <n v="832"/>
    <x v="1"/>
    <n v="9"/>
    <n v="3"/>
    <s v="Medical"/>
    <n v="1"/>
    <n v="762"/>
    <n v="3"/>
    <x v="1"/>
    <n v="81"/>
    <x v="0"/>
    <n v="4"/>
    <x v="4"/>
    <n v="4"/>
    <x v="1"/>
    <n v="11103"/>
    <n v="20420"/>
    <n v="7"/>
    <s v="Y"/>
    <s v="No"/>
    <n v="11"/>
    <x v="0"/>
    <n v="3"/>
    <n v="80"/>
    <x v="0"/>
    <n v="30"/>
    <x v="4"/>
    <n v="2"/>
    <n v="10"/>
    <n v="7"/>
    <n v="1"/>
    <n v="1"/>
  </r>
  <r>
    <n v="40"/>
    <x v="1"/>
    <x v="0"/>
    <n v="804"/>
    <x v="1"/>
    <n v="2"/>
    <n v="1"/>
    <s v="Medical"/>
    <n v="1"/>
    <n v="763"/>
    <n v="4"/>
    <x v="0"/>
    <n v="86"/>
    <x v="1"/>
    <n v="1"/>
    <x v="1"/>
    <n v="4"/>
    <x v="0"/>
    <n v="2342"/>
    <n v="22929"/>
    <n v="0"/>
    <s v="Y"/>
    <s v="Yes"/>
    <n v="20"/>
    <x v="1"/>
    <n v="4"/>
    <n v="80"/>
    <x v="0"/>
    <n v="5"/>
    <x v="2"/>
    <n v="2"/>
    <n v="4"/>
    <n v="2"/>
    <n v="2"/>
    <n v="3"/>
  </r>
  <r>
    <n v="27"/>
    <x v="1"/>
    <x v="0"/>
    <n v="975"/>
    <x v="1"/>
    <n v="7"/>
    <n v="3"/>
    <s v="Medical"/>
    <n v="1"/>
    <n v="764"/>
    <n v="4"/>
    <x v="0"/>
    <n v="55"/>
    <x v="1"/>
    <n v="2"/>
    <x v="4"/>
    <n v="1"/>
    <x v="0"/>
    <n v="6811"/>
    <n v="23398"/>
    <n v="8"/>
    <s v="Y"/>
    <s v="No"/>
    <n v="19"/>
    <x v="0"/>
    <n v="1"/>
    <n v="80"/>
    <x v="0"/>
    <n v="9"/>
    <x v="2"/>
    <n v="1"/>
    <n v="7"/>
    <n v="6"/>
    <n v="0"/>
    <n v="7"/>
  </r>
  <r>
    <n v="29"/>
    <x v="1"/>
    <x v="0"/>
    <n v="1090"/>
    <x v="0"/>
    <n v="10"/>
    <n v="3"/>
    <s v="Marketing"/>
    <n v="1"/>
    <n v="766"/>
    <n v="4"/>
    <x v="1"/>
    <n v="83"/>
    <x v="0"/>
    <n v="1"/>
    <x v="6"/>
    <n v="2"/>
    <x v="2"/>
    <n v="2297"/>
    <n v="17967"/>
    <n v="1"/>
    <s v="Y"/>
    <s v="No"/>
    <n v="14"/>
    <x v="0"/>
    <n v="4"/>
    <n v="80"/>
    <x v="3"/>
    <n v="2"/>
    <x v="2"/>
    <n v="3"/>
    <n v="2"/>
    <n v="2"/>
    <n v="2"/>
    <n v="2"/>
  </r>
  <r>
    <n v="53"/>
    <x v="1"/>
    <x v="0"/>
    <n v="346"/>
    <x v="1"/>
    <n v="6"/>
    <n v="3"/>
    <s v="Life Sciences"/>
    <n v="1"/>
    <n v="769"/>
    <n v="4"/>
    <x v="1"/>
    <n v="86"/>
    <x v="0"/>
    <n v="2"/>
    <x v="2"/>
    <n v="4"/>
    <x v="0"/>
    <n v="2450"/>
    <n v="10919"/>
    <n v="2"/>
    <s v="Y"/>
    <s v="No"/>
    <n v="17"/>
    <x v="0"/>
    <n v="4"/>
    <n v="80"/>
    <x v="0"/>
    <n v="19"/>
    <x v="5"/>
    <n v="3"/>
    <n v="2"/>
    <n v="2"/>
    <n v="2"/>
    <n v="2"/>
  </r>
  <r>
    <n v="35"/>
    <x v="1"/>
    <x v="2"/>
    <n v="1225"/>
    <x v="1"/>
    <n v="2"/>
    <n v="4"/>
    <s v="Life Sciences"/>
    <n v="1"/>
    <n v="771"/>
    <n v="4"/>
    <x v="0"/>
    <n v="61"/>
    <x v="0"/>
    <n v="2"/>
    <x v="4"/>
    <n v="1"/>
    <x v="2"/>
    <n v="5093"/>
    <n v="4761"/>
    <n v="2"/>
    <s v="Y"/>
    <s v="No"/>
    <n v="11"/>
    <x v="0"/>
    <n v="1"/>
    <n v="80"/>
    <x v="1"/>
    <n v="16"/>
    <x v="2"/>
    <n v="4"/>
    <n v="1"/>
    <n v="0"/>
    <n v="0"/>
    <n v="0"/>
  </r>
  <r>
    <n v="32"/>
    <x v="1"/>
    <x v="1"/>
    <n v="430"/>
    <x v="1"/>
    <n v="24"/>
    <n v="4"/>
    <s v="Life Sciences"/>
    <n v="1"/>
    <n v="772"/>
    <n v="1"/>
    <x v="1"/>
    <n v="80"/>
    <x v="0"/>
    <n v="2"/>
    <x v="2"/>
    <n v="4"/>
    <x v="1"/>
    <n v="5309"/>
    <n v="21146"/>
    <n v="1"/>
    <s v="Y"/>
    <s v="No"/>
    <n v="15"/>
    <x v="0"/>
    <n v="4"/>
    <n v="80"/>
    <x v="3"/>
    <n v="10"/>
    <x v="2"/>
    <n v="3"/>
    <n v="10"/>
    <n v="8"/>
    <n v="4"/>
    <n v="7"/>
  </r>
  <r>
    <n v="38"/>
    <x v="1"/>
    <x v="0"/>
    <n v="268"/>
    <x v="1"/>
    <n v="2"/>
    <n v="5"/>
    <s v="Medical"/>
    <n v="1"/>
    <n v="773"/>
    <n v="4"/>
    <x v="1"/>
    <n v="92"/>
    <x v="0"/>
    <n v="1"/>
    <x v="1"/>
    <n v="3"/>
    <x v="1"/>
    <n v="3057"/>
    <n v="20471"/>
    <n v="6"/>
    <s v="Y"/>
    <s v="Yes"/>
    <n v="13"/>
    <x v="0"/>
    <n v="2"/>
    <n v="80"/>
    <x v="1"/>
    <n v="6"/>
    <x v="0"/>
    <n v="1"/>
    <n v="1"/>
    <n v="0"/>
    <n v="0"/>
    <n v="1"/>
  </r>
  <r>
    <n v="34"/>
    <x v="1"/>
    <x v="0"/>
    <n v="167"/>
    <x v="1"/>
    <n v="8"/>
    <n v="5"/>
    <s v="Life Sciences"/>
    <n v="1"/>
    <n v="775"/>
    <n v="2"/>
    <x v="0"/>
    <n v="32"/>
    <x v="0"/>
    <n v="2"/>
    <x v="3"/>
    <n v="1"/>
    <x v="2"/>
    <n v="5121"/>
    <n v="4187"/>
    <n v="3"/>
    <s v="Y"/>
    <s v="No"/>
    <n v="14"/>
    <x v="0"/>
    <n v="3"/>
    <n v="80"/>
    <x v="1"/>
    <n v="7"/>
    <x v="1"/>
    <n v="3"/>
    <n v="0"/>
    <n v="0"/>
    <n v="0"/>
    <n v="0"/>
  </r>
  <r>
    <n v="52"/>
    <x v="1"/>
    <x v="0"/>
    <n v="621"/>
    <x v="0"/>
    <n v="3"/>
    <n v="4"/>
    <s v="Marketing"/>
    <n v="1"/>
    <n v="776"/>
    <n v="3"/>
    <x v="1"/>
    <n v="31"/>
    <x v="1"/>
    <n v="4"/>
    <x v="5"/>
    <n v="1"/>
    <x v="1"/>
    <n v="16856"/>
    <n v="10084"/>
    <n v="1"/>
    <s v="Y"/>
    <s v="No"/>
    <n v="11"/>
    <x v="0"/>
    <n v="1"/>
    <n v="80"/>
    <x v="0"/>
    <n v="34"/>
    <x v="1"/>
    <n v="4"/>
    <n v="34"/>
    <n v="6"/>
    <n v="1"/>
    <n v="16"/>
  </r>
  <r>
    <n v="33"/>
    <x v="0"/>
    <x v="0"/>
    <n v="527"/>
    <x v="1"/>
    <n v="1"/>
    <n v="4"/>
    <s v="Other"/>
    <n v="1"/>
    <n v="780"/>
    <n v="4"/>
    <x v="1"/>
    <n v="63"/>
    <x v="0"/>
    <n v="1"/>
    <x v="1"/>
    <n v="4"/>
    <x v="0"/>
    <n v="2686"/>
    <n v="5207"/>
    <n v="1"/>
    <s v="Y"/>
    <s v="Yes"/>
    <n v="13"/>
    <x v="0"/>
    <n v="3"/>
    <n v="80"/>
    <x v="0"/>
    <n v="10"/>
    <x v="2"/>
    <n v="2"/>
    <n v="10"/>
    <n v="9"/>
    <n v="7"/>
    <n v="8"/>
  </r>
  <r>
    <n v="25"/>
    <x v="1"/>
    <x v="0"/>
    <n v="883"/>
    <x v="0"/>
    <n v="26"/>
    <n v="1"/>
    <s v="Medical"/>
    <n v="1"/>
    <n v="781"/>
    <n v="3"/>
    <x v="0"/>
    <n v="32"/>
    <x v="0"/>
    <n v="2"/>
    <x v="0"/>
    <n v="4"/>
    <x v="0"/>
    <n v="6180"/>
    <n v="22807"/>
    <n v="1"/>
    <s v="Y"/>
    <s v="No"/>
    <n v="23"/>
    <x v="1"/>
    <n v="2"/>
    <n v="80"/>
    <x v="0"/>
    <n v="6"/>
    <x v="3"/>
    <n v="2"/>
    <n v="6"/>
    <n v="5"/>
    <n v="1"/>
    <n v="4"/>
  </r>
  <r>
    <n v="45"/>
    <x v="1"/>
    <x v="0"/>
    <n v="954"/>
    <x v="0"/>
    <n v="2"/>
    <n v="2"/>
    <s v="Technical Degree"/>
    <n v="1"/>
    <n v="783"/>
    <n v="2"/>
    <x v="1"/>
    <n v="46"/>
    <x v="3"/>
    <n v="2"/>
    <x v="6"/>
    <n v="3"/>
    <x v="0"/>
    <n v="6632"/>
    <n v="12388"/>
    <n v="0"/>
    <s v="Y"/>
    <s v="No"/>
    <n v="13"/>
    <x v="0"/>
    <n v="1"/>
    <n v="80"/>
    <x v="0"/>
    <n v="9"/>
    <x v="1"/>
    <n v="3"/>
    <n v="8"/>
    <n v="7"/>
    <n v="3"/>
    <n v="1"/>
  </r>
  <r>
    <n v="23"/>
    <x v="1"/>
    <x v="0"/>
    <n v="310"/>
    <x v="1"/>
    <n v="10"/>
    <n v="1"/>
    <s v="Medical"/>
    <n v="1"/>
    <n v="784"/>
    <n v="1"/>
    <x v="1"/>
    <n v="79"/>
    <x v="2"/>
    <n v="1"/>
    <x v="1"/>
    <n v="3"/>
    <x v="0"/>
    <n v="3505"/>
    <n v="19630"/>
    <n v="1"/>
    <s v="Y"/>
    <s v="No"/>
    <n v="18"/>
    <x v="0"/>
    <n v="4"/>
    <n v="80"/>
    <x v="0"/>
    <n v="2"/>
    <x v="1"/>
    <n v="3"/>
    <n v="2"/>
    <n v="2"/>
    <n v="0"/>
    <n v="2"/>
  </r>
  <r>
    <n v="47"/>
    <x v="0"/>
    <x v="1"/>
    <n v="719"/>
    <x v="0"/>
    <n v="27"/>
    <n v="2"/>
    <s v="Life Sciences"/>
    <n v="1"/>
    <n v="785"/>
    <n v="2"/>
    <x v="0"/>
    <n v="77"/>
    <x v="2"/>
    <n v="2"/>
    <x v="0"/>
    <n v="3"/>
    <x v="0"/>
    <n v="6397"/>
    <n v="10339"/>
    <n v="4"/>
    <s v="Y"/>
    <s v="Yes"/>
    <n v="12"/>
    <x v="0"/>
    <n v="4"/>
    <n v="80"/>
    <x v="0"/>
    <n v="8"/>
    <x v="2"/>
    <n v="3"/>
    <n v="5"/>
    <n v="4"/>
    <n v="1"/>
    <n v="3"/>
  </r>
  <r>
    <n v="34"/>
    <x v="1"/>
    <x v="0"/>
    <n v="304"/>
    <x v="0"/>
    <n v="2"/>
    <n v="3"/>
    <s v="Other"/>
    <n v="1"/>
    <n v="786"/>
    <n v="4"/>
    <x v="1"/>
    <n v="60"/>
    <x v="0"/>
    <n v="2"/>
    <x v="0"/>
    <n v="4"/>
    <x v="0"/>
    <n v="6274"/>
    <n v="18686"/>
    <n v="1"/>
    <s v="Y"/>
    <s v="No"/>
    <n v="22"/>
    <x v="1"/>
    <n v="3"/>
    <n v="80"/>
    <x v="0"/>
    <n v="6"/>
    <x v="3"/>
    <n v="3"/>
    <n v="6"/>
    <n v="5"/>
    <n v="1"/>
    <n v="4"/>
  </r>
  <r>
    <n v="55"/>
    <x v="0"/>
    <x v="0"/>
    <n v="725"/>
    <x v="1"/>
    <n v="2"/>
    <n v="3"/>
    <s v="Medical"/>
    <n v="1"/>
    <n v="787"/>
    <n v="4"/>
    <x v="1"/>
    <n v="78"/>
    <x v="0"/>
    <n v="5"/>
    <x v="5"/>
    <n v="1"/>
    <x v="1"/>
    <n v="19859"/>
    <n v="21199"/>
    <n v="5"/>
    <s v="Y"/>
    <s v="Yes"/>
    <n v="13"/>
    <x v="0"/>
    <n v="4"/>
    <n v="80"/>
    <x v="1"/>
    <n v="24"/>
    <x v="2"/>
    <n v="3"/>
    <n v="5"/>
    <n v="2"/>
    <n v="1"/>
    <n v="4"/>
  </r>
  <r>
    <n v="36"/>
    <x v="1"/>
    <x v="2"/>
    <n v="1434"/>
    <x v="0"/>
    <n v="8"/>
    <n v="4"/>
    <s v="Life Sciences"/>
    <n v="1"/>
    <n v="789"/>
    <n v="1"/>
    <x v="1"/>
    <n v="76"/>
    <x v="1"/>
    <n v="3"/>
    <x v="0"/>
    <n v="1"/>
    <x v="0"/>
    <n v="7587"/>
    <n v="14229"/>
    <n v="1"/>
    <s v="Y"/>
    <s v="No"/>
    <n v="15"/>
    <x v="0"/>
    <n v="2"/>
    <n v="80"/>
    <x v="0"/>
    <n v="10"/>
    <x v="4"/>
    <n v="3"/>
    <n v="10"/>
    <n v="7"/>
    <n v="0"/>
    <n v="9"/>
  </r>
  <r>
    <n v="52"/>
    <x v="1"/>
    <x v="2"/>
    <n v="715"/>
    <x v="1"/>
    <n v="19"/>
    <n v="4"/>
    <s v="Medical"/>
    <n v="1"/>
    <n v="791"/>
    <n v="4"/>
    <x v="1"/>
    <n v="41"/>
    <x v="0"/>
    <n v="1"/>
    <x v="1"/>
    <n v="4"/>
    <x v="1"/>
    <n v="4258"/>
    <n v="26589"/>
    <n v="0"/>
    <s v="Y"/>
    <s v="No"/>
    <n v="18"/>
    <x v="0"/>
    <n v="1"/>
    <n v="80"/>
    <x v="1"/>
    <n v="5"/>
    <x v="1"/>
    <n v="3"/>
    <n v="4"/>
    <n v="3"/>
    <n v="1"/>
    <n v="2"/>
  </r>
  <r>
    <n v="26"/>
    <x v="1"/>
    <x v="1"/>
    <n v="575"/>
    <x v="1"/>
    <n v="1"/>
    <n v="2"/>
    <s v="Life Sciences"/>
    <n v="1"/>
    <n v="792"/>
    <n v="1"/>
    <x v="0"/>
    <n v="71"/>
    <x v="3"/>
    <n v="1"/>
    <x v="2"/>
    <n v="4"/>
    <x v="2"/>
    <n v="4364"/>
    <n v="5288"/>
    <n v="3"/>
    <s v="Y"/>
    <s v="No"/>
    <n v="14"/>
    <x v="0"/>
    <n v="1"/>
    <n v="80"/>
    <x v="1"/>
    <n v="5"/>
    <x v="2"/>
    <n v="3"/>
    <n v="2"/>
    <n v="2"/>
    <n v="2"/>
    <n v="0"/>
  </r>
  <r>
    <n v="29"/>
    <x v="1"/>
    <x v="0"/>
    <n v="657"/>
    <x v="1"/>
    <n v="27"/>
    <n v="3"/>
    <s v="Medical"/>
    <n v="1"/>
    <n v="793"/>
    <n v="2"/>
    <x v="0"/>
    <n v="66"/>
    <x v="0"/>
    <n v="2"/>
    <x v="4"/>
    <n v="3"/>
    <x v="1"/>
    <n v="4335"/>
    <n v="25549"/>
    <n v="4"/>
    <s v="Y"/>
    <s v="No"/>
    <n v="12"/>
    <x v="0"/>
    <n v="1"/>
    <n v="80"/>
    <x v="1"/>
    <n v="11"/>
    <x v="1"/>
    <n v="2"/>
    <n v="8"/>
    <n v="7"/>
    <n v="1"/>
    <n v="1"/>
  </r>
  <r>
    <n v="26"/>
    <x v="0"/>
    <x v="0"/>
    <n v="1146"/>
    <x v="0"/>
    <n v="8"/>
    <n v="3"/>
    <s v="Technical Degree"/>
    <n v="1"/>
    <n v="796"/>
    <n v="4"/>
    <x v="1"/>
    <n v="38"/>
    <x v="1"/>
    <n v="2"/>
    <x v="0"/>
    <n v="1"/>
    <x v="0"/>
    <n v="5326"/>
    <n v="3064"/>
    <n v="6"/>
    <s v="Y"/>
    <s v="No"/>
    <n v="17"/>
    <x v="0"/>
    <n v="3"/>
    <n v="80"/>
    <x v="0"/>
    <n v="6"/>
    <x v="2"/>
    <n v="2"/>
    <n v="4"/>
    <n v="3"/>
    <n v="1"/>
    <n v="2"/>
  </r>
  <r>
    <n v="34"/>
    <x v="1"/>
    <x v="0"/>
    <n v="182"/>
    <x v="1"/>
    <n v="1"/>
    <n v="4"/>
    <s v="Life Sciences"/>
    <n v="1"/>
    <n v="797"/>
    <n v="2"/>
    <x v="0"/>
    <n v="72"/>
    <x v="2"/>
    <n v="1"/>
    <x v="1"/>
    <n v="4"/>
    <x v="0"/>
    <n v="3280"/>
    <n v="13551"/>
    <n v="2"/>
    <s v="Y"/>
    <s v="No"/>
    <n v="16"/>
    <x v="0"/>
    <n v="3"/>
    <n v="80"/>
    <x v="0"/>
    <n v="10"/>
    <x v="2"/>
    <n v="3"/>
    <n v="4"/>
    <n v="2"/>
    <n v="1"/>
    <n v="3"/>
  </r>
  <r>
    <n v="54"/>
    <x v="1"/>
    <x v="0"/>
    <n v="376"/>
    <x v="1"/>
    <n v="19"/>
    <n v="4"/>
    <s v="Medical"/>
    <n v="1"/>
    <n v="799"/>
    <n v="4"/>
    <x v="0"/>
    <n v="95"/>
    <x v="0"/>
    <n v="2"/>
    <x v="3"/>
    <n v="1"/>
    <x v="2"/>
    <n v="5485"/>
    <n v="22670"/>
    <n v="9"/>
    <s v="Y"/>
    <s v="Yes"/>
    <n v="11"/>
    <x v="0"/>
    <n v="2"/>
    <n v="80"/>
    <x v="3"/>
    <n v="9"/>
    <x v="5"/>
    <n v="3"/>
    <n v="5"/>
    <n v="3"/>
    <n v="1"/>
    <n v="4"/>
  </r>
  <r>
    <n v="27"/>
    <x v="1"/>
    <x v="1"/>
    <n v="829"/>
    <x v="0"/>
    <n v="8"/>
    <n v="1"/>
    <s v="Marketing"/>
    <n v="1"/>
    <n v="800"/>
    <n v="3"/>
    <x v="1"/>
    <n v="84"/>
    <x v="0"/>
    <n v="2"/>
    <x v="0"/>
    <n v="4"/>
    <x v="1"/>
    <n v="4342"/>
    <n v="24008"/>
    <n v="0"/>
    <s v="Y"/>
    <s v="No"/>
    <n v="19"/>
    <x v="0"/>
    <n v="2"/>
    <n v="80"/>
    <x v="1"/>
    <n v="5"/>
    <x v="1"/>
    <n v="3"/>
    <n v="4"/>
    <n v="2"/>
    <n v="1"/>
    <n v="1"/>
  </r>
  <r>
    <n v="37"/>
    <x v="1"/>
    <x v="0"/>
    <n v="571"/>
    <x v="1"/>
    <n v="10"/>
    <n v="1"/>
    <s v="Life Sciences"/>
    <n v="1"/>
    <n v="802"/>
    <n v="4"/>
    <x v="0"/>
    <n v="82"/>
    <x v="0"/>
    <n v="1"/>
    <x v="1"/>
    <n v="1"/>
    <x v="2"/>
    <n v="2782"/>
    <n v="19905"/>
    <n v="0"/>
    <s v="Y"/>
    <s v="Yes"/>
    <n v="13"/>
    <x v="0"/>
    <n v="2"/>
    <n v="80"/>
    <x v="3"/>
    <n v="6"/>
    <x v="1"/>
    <n v="2"/>
    <n v="5"/>
    <n v="3"/>
    <n v="4"/>
    <n v="3"/>
  </r>
  <r>
    <n v="38"/>
    <x v="1"/>
    <x v="1"/>
    <n v="240"/>
    <x v="1"/>
    <n v="2"/>
    <n v="4"/>
    <s v="Life Sciences"/>
    <n v="1"/>
    <n v="803"/>
    <n v="1"/>
    <x v="0"/>
    <n v="75"/>
    <x v="2"/>
    <n v="2"/>
    <x v="3"/>
    <n v="1"/>
    <x v="0"/>
    <n v="5980"/>
    <n v="26085"/>
    <n v="6"/>
    <s v="Y"/>
    <s v="Yes"/>
    <n v="12"/>
    <x v="0"/>
    <n v="4"/>
    <n v="80"/>
    <x v="0"/>
    <n v="17"/>
    <x v="2"/>
    <n v="3"/>
    <n v="15"/>
    <n v="7"/>
    <n v="4"/>
    <n v="12"/>
  </r>
  <r>
    <n v="34"/>
    <x v="1"/>
    <x v="0"/>
    <n v="121"/>
    <x v="1"/>
    <n v="2"/>
    <n v="4"/>
    <s v="Medical"/>
    <n v="1"/>
    <n v="804"/>
    <n v="3"/>
    <x v="0"/>
    <n v="86"/>
    <x v="1"/>
    <n v="1"/>
    <x v="1"/>
    <n v="1"/>
    <x v="0"/>
    <n v="4381"/>
    <n v="7530"/>
    <n v="1"/>
    <s v="Y"/>
    <s v="No"/>
    <n v="11"/>
    <x v="0"/>
    <n v="3"/>
    <n v="80"/>
    <x v="0"/>
    <n v="6"/>
    <x v="1"/>
    <n v="3"/>
    <n v="6"/>
    <n v="5"/>
    <n v="1"/>
    <n v="3"/>
  </r>
  <r>
    <n v="35"/>
    <x v="1"/>
    <x v="0"/>
    <n v="384"/>
    <x v="0"/>
    <n v="8"/>
    <n v="4"/>
    <s v="Life Sciences"/>
    <n v="1"/>
    <n v="805"/>
    <n v="1"/>
    <x v="0"/>
    <n v="72"/>
    <x v="0"/>
    <n v="1"/>
    <x v="6"/>
    <n v="4"/>
    <x v="1"/>
    <n v="2572"/>
    <n v="20317"/>
    <n v="1"/>
    <s v="Y"/>
    <s v="No"/>
    <n v="16"/>
    <x v="0"/>
    <n v="2"/>
    <n v="80"/>
    <x v="1"/>
    <n v="3"/>
    <x v="4"/>
    <n v="2"/>
    <n v="3"/>
    <n v="2"/>
    <n v="0"/>
    <n v="2"/>
  </r>
  <r>
    <n v="30"/>
    <x v="1"/>
    <x v="0"/>
    <n v="921"/>
    <x v="1"/>
    <n v="1"/>
    <n v="3"/>
    <s v="Life Sciences"/>
    <n v="1"/>
    <n v="806"/>
    <n v="4"/>
    <x v="1"/>
    <n v="38"/>
    <x v="3"/>
    <n v="1"/>
    <x v="2"/>
    <n v="3"/>
    <x v="1"/>
    <n v="3833"/>
    <n v="24375"/>
    <n v="3"/>
    <s v="Y"/>
    <s v="No"/>
    <n v="21"/>
    <x v="1"/>
    <n v="3"/>
    <n v="80"/>
    <x v="3"/>
    <n v="7"/>
    <x v="2"/>
    <n v="3"/>
    <n v="2"/>
    <n v="2"/>
    <n v="0"/>
    <n v="2"/>
  </r>
  <r>
    <n v="40"/>
    <x v="1"/>
    <x v="1"/>
    <n v="791"/>
    <x v="1"/>
    <n v="2"/>
    <n v="2"/>
    <s v="Medical"/>
    <n v="1"/>
    <n v="807"/>
    <n v="3"/>
    <x v="0"/>
    <n v="38"/>
    <x v="2"/>
    <n v="2"/>
    <x v="4"/>
    <n v="2"/>
    <x v="1"/>
    <n v="4244"/>
    <n v="9931"/>
    <n v="1"/>
    <s v="Y"/>
    <s v="No"/>
    <n v="24"/>
    <x v="1"/>
    <n v="4"/>
    <n v="80"/>
    <x v="1"/>
    <n v="8"/>
    <x v="2"/>
    <n v="3"/>
    <n v="8"/>
    <n v="7"/>
    <n v="3"/>
    <n v="7"/>
  </r>
  <r>
    <n v="34"/>
    <x v="1"/>
    <x v="0"/>
    <n v="1111"/>
    <x v="0"/>
    <n v="8"/>
    <n v="2"/>
    <s v="Life Sciences"/>
    <n v="1"/>
    <n v="808"/>
    <n v="3"/>
    <x v="0"/>
    <n v="93"/>
    <x v="0"/>
    <n v="2"/>
    <x v="0"/>
    <n v="1"/>
    <x v="1"/>
    <n v="6500"/>
    <n v="13305"/>
    <n v="5"/>
    <s v="Y"/>
    <s v="No"/>
    <n v="17"/>
    <x v="0"/>
    <n v="2"/>
    <n v="80"/>
    <x v="1"/>
    <n v="6"/>
    <x v="4"/>
    <n v="3"/>
    <n v="3"/>
    <n v="2"/>
    <n v="1"/>
    <n v="2"/>
  </r>
  <r>
    <n v="42"/>
    <x v="1"/>
    <x v="1"/>
    <n v="570"/>
    <x v="1"/>
    <n v="8"/>
    <n v="3"/>
    <s v="Life Sciences"/>
    <n v="1"/>
    <n v="809"/>
    <n v="2"/>
    <x v="1"/>
    <n v="66"/>
    <x v="0"/>
    <n v="5"/>
    <x v="5"/>
    <n v="4"/>
    <x v="2"/>
    <n v="18430"/>
    <n v="16225"/>
    <n v="1"/>
    <s v="Y"/>
    <s v="No"/>
    <n v="13"/>
    <x v="0"/>
    <n v="2"/>
    <n v="80"/>
    <x v="1"/>
    <n v="24"/>
    <x v="5"/>
    <n v="2"/>
    <n v="24"/>
    <n v="7"/>
    <n v="14"/>
    <n v="9"/>
  </r>
  <r>
    <n v="23"/>
    <x v="0"/>
    <x v="0"/>
    <n v="1243"/>
    <x v="1"/>
    <n v="6"/>
    <n v="3"/>
    <s v="Life Sciences"/>
    <n v="1"/>
    <n v="811"/>
    <n v="3"/>
    <x v="1"/>
    <n v="63"/>
    <x v="2"/>
    <n v="1"/>
    <x v="2"/>
    <n v="1"/>
    <x v="1"/>
    <n v="1601"/>
    <n v="3445"/>
    <n v="1"/>
    <s v="Y"/>
    <s v="Yes"/>
    <n v="21"/>
    <x v="1"/>
    <n v="3"/>
    <n v="80"/>
    <x v="3"/>
    <n v="1"/>
    <x v="2"/>
    <n v="3"/>
    <n v="0"/>
    <n v="0"/>
    <n v="0"/>
    <n v="0"/>
  </r>
  <r>
    <n v="24"/>
    <x v="1"/>
    <x v="2"/>
    <n v="1092"/>
    <x v="1"/>
    <n v="9"/>
    <n v="3"/>
    <s v="Life Sciences"/>
    <n v="1"/>
    <n v="812"/>
    <n v="3"/>
    <x v="1"/>
    <n v="60"/>
    <x v="1"/>
    <n v="1"/>
    <x v="2"/>
    <n v="2"/>
    <x v="2"/>
    <n v="2694"/>
    <n v="26551"/>
    <n v="1"/>
    <s v="Y"/>
    <s v="No"/>
    <n v="11"/>
    <x v="0"/>
    <n v="3"/>
    <n v="80"/>
    <x v="2"/>
    <n v="1"/>
    <x v="5"/>
    <n v="3"/>
    <n v="1"/>
    <n v="0"/>
    <n v="0"/>
    <n v="0"/>
  </r>
  <r>
    <n v="52"/>
    <x v="1"/>
    <x v="0"/>
    <n v="1325"/>
    <x v="1"/>
    <n v="11"/>
    <n v="4"/>
    <s v="Life Sciences"/>
    <n v="1"/>
    <n v="813"/>
    <n v="4"/>
    <x v="0"/>
    <n v="82"/>
    <x v="0"/>
    <n v="2"/>
    <x v="2"/>
    <n v="3"/>
    <x v="1"/>
    <n v="3149"/>
    <n v="21821"/>
    <n v="8"/>
    <s v="Y"/>
    <s v="No"/>
    <n v="20"/>
    <x v="1"/>
    <n v="2"/>
    <n v="80"/>
    <x v="1"/>
    <n v="9"/>
    <x v="1"/>
    <n v="3"/>
    <n v="5"/>
    <n v="2"/>
    <n v="1"/>
    <n v="4"/>
  </r>
  <r>
    <n v="50"/>
    <x v="1"/>
    <x v="0"/>
    <n v="691"/>
    <x v="1"/>
    <n v="2"/>
    <n v="3"/>
    <s v="Medical"/>
    <n v="1"/>
    <n v="815"/>
    <n v="3"/>
    <x v="1"/>
    <n v="64"/>
    <x v="0"/>
    <n v="4"/>
    <x v="7"/>
    <n v="3"/>
    <x v="1"/>
    <n v="17639"/>
    <n v="6881"/>
    <n v="5"/>
    <s v="Y"/>
    <s v="No"/>
    <n v="16"/>
    <x v="0"/>
    <n v="4"/>
    <n v="80"/>
    <x v="0"/>
    <n v="30"/>
    <x v="1"/>
    <n v="3"/>
    <n v="4"/>
    <n v="3"/>
    <n v="0"/>
    <n v="3"/>
  </r>
  <r>
    <n v="29"/>
    <x v="0"/>
    <x v="0"/>
    <n v="805"/>
    <x v="1"/>
    <n v="1"/>
    <n v="2"/>
    <s v="Life Sciences"/>
    <n v="1"/>
    <n v="816"/>
    <n v="2"/>
    <x v="0"/>
    <n v="36"/>
    <x v="1"/>
    <n v="1"/>
    <x v="2"/>
    <n v="1"/>
    <x v="1"/>
    <n v="2319"/>
    <n v="6689"/>
    <n v="1"/>
    <s v="Y"/>
    <s v="Yes"/>
    <n v="11"/>
    <x v="0"/>
    <n v="4"/>
    <n v="80"/>
    <x v="1"/>
    <n v="1"/>
    <x v="4"/>
    <n v="3"/>
    <n v="1"/>
    <n v="0"/>
    <n v="0"/>
    <n v="0"/>
  </r>
  <r>
    <n v="33"/>
    <x v="1"/>
    <x v="0"/>
    <n v="213"/>
    <x v="1"/>
    <n v="7"/>
    <n v="3"/>
    <s v="Medical"/>
    <n v="1"/>
    <n v="817"/>
    <n v="3"/>
    <x v="1"/>
    <n v="49"/>
    <x v="0"/>
    <n v="3"/>
    <x v="7"/>
    <n v="3"/>
    <x v="1"/>
    <n v="11691"/>
    <n v="25995"/>
    <n v="0"/>
    <s v="Y"/>
    <s v="No"/>
    <n v="11"/>
    <x v="0"/>
    <n v="4"/>
    <n v="80"/>
    <x v="0"/>
    <n v="14"/>
    <x v="1"/>
    <n v="4"/>
    <n v="13"/>
    <n v="9"/>
    <n v="3"/>
    <n v="7"/>
  </r>
  <r>
    <n v="33"/>
    <x v="0"/>
    <x v="0"/>
    <n v="118"/>
    <x v="0"/>
    <n v="16"/>
    <n v="3"/>
    <s v="Marketing"/>
    <n v="1"/>
    <n v="819"/>
    <n v="1"/>
    <x v="0"/>
    <n v="69"/>
    <x v="0"/>
    <n v="2"/>
    <x v="0"/>
    <n v="1"/>
    <x v="0"/>
    <n v="5324"/>
    <n v="26507"/>
    <n v="5"/>
    <s v="Y"/>
    <s v="No"/>
    <n v="15"/>
    <x v="0"/>
    <n v="3"/>
    <n v="80"/>
    <x v="0"/>
    <n v="6"/>
    <x v="1"/>
    <n v="3"/>
    <n v="3"/>
    <n v="2"/>
    <n v="0"/>
    <n v="2"/>
  </r>
  <r>
    <n v="47"/>
    <x v="1"/>
    <x v="0"/>
    <n v="202"/>
    <x v="1"/>
    <n v="2"/>
    <n v="2"/>
    <s v="Other"/>
    <n v="1"/>
    <n v="820"/>
    <n v="3"/>
    <x v="0"/>
    <n v="33"/>
    <x v="0"/>
    <n v="4"/>
    <x v="5"/>
    <n v="4"/>
    <x v="1"/>
    <n v="16752"/>
    <n v="12982"/>
    <n v="1"/>
    <s v="Y"/>
    <s v="Yes"/>
    <n v="11"/>
    <x v="0"/>
    <n v="3"/>
    <n v="80"/>
    <x v="1"/>
    <n v="26"/>
    <x v="1"/>
    <n v="2"/>
    <n v="26"/>
    <n v="14"/>
    <n v="3"/>
    <n v="0"/>
  </r>
  <r>
    <n v="36"/>
    <x v="1"/>
    <x v="0"/>
    <n v="676"/>
    <x v="1"/>
    <n v="1"/>
    <n v="3"/>
    <s v="Other"/>
    <n v="1"/>
    <n v="823"/>
    <n v="3"/>
    <x v="0"/>
    <n v="35"/>
    <x v="0"/>
    <n v="2"/>
    <x v="3"/>
    <n v="2"/>
    <x v="1"/>
    <n v="5228"/>
    <n v="23361"/>
    <n v="0"/>
    <s v="Y"/>
    <s v="No"/>
    <n v="15"/>
    <x v="0"/>
    <n v="1"/>
    <n v="80"/>
    <x v="1"/>
    <n v="10"/>
    <x v="2"/>
    <n v="3"/>
    <n v="9"/>
    <n v="7"/>
    <n v="0"/>
    <n v="5"/>
  </r>
  <r>
    <n v="29"/>
    <x v="1"/>
    <x v="0"/>
    <n v="1252"/>
    <x v="1"/>
    <n v="23"/>
    <n v="2"/>
    <s v="Life Sciences"/>
    <n v="1"/>
    <n v="824"/>
    <n v="3"/>
    <x v="1"/>
    <n v="81"/>
    <x v="2"/>
    <n v="1"/>
    <x v="1"/>
    <n v="3"/>
    <x v="1"/>
    <n v="2700"/>
    <n v="23779"/>
    <n v="1"/>
    <s v="Y"/>
    <s v="No"/>
    <n v="24"/>
    <x v="1"/>
    <n v="3"/>
    <n v="80"/>
    <x v="1"/>
    <n v="10"/>
    <x v="1"/>
    <n v="3"/>
    <n v="10"/>
    <n v="7"/>
    <n v="0"/>
    <n v="7"/>
  </r>
  <r>
    <n v="58"/>
    <x v="0"/>
    <x v="0"/>
    <n v="286"/>
    <x v="1"/>
    <n v="2"/>
    <n v="4"/>
    <s v="Life Sciences"/>
    <n v="1"/>
    <n v="825"/>
    <n v="4"/>
    <x v="1"/>
    <n v="31"/>
    <x v="0"/>
    <n v="5"/>
    <x v="7"/>
    <n v="2"/>
    <x v="0"/>
    <n v="19246"/>
    <n v="25761"/>
    <n v="7"/>
    <s v="Y"/>
    <s v="Yes"/>
    <n v="12"/>
    <x v="0"/>
    <n v="4"/>
    <n v="80"/>
    <x v="0"/>
    <n v="40"/>
    <x v="2"/>
    <n v="3"/>
    <n v="31"/>
    <n v="15"/>
    <n v="13"/>
    <n v="8"/>
  </r>
  <r>
    <n v="35"/>
    <x v="1"/>
    <x v="0"/>
    <n v="1258"/>
    <x v="1"/>
    <n v="1"/>
    <n v="4"/>
    <s v="Life Sciences"/>
    <n v="1"/>
    <n v="826"/>
    <n v="4"/>
    <x v="0"/>
    <n v="40"/>
    <x v="2"/>
    <n v="1"/>
    <x v="1"/>
    <n v="3"/>
    <x v="0"/>
    <n v="2506"/>
    <n v="13301"/>
    <n v="3"/>
    <s v="Y"/>
    <s v="No"/>
    <n v="13"/>
    <x v="0"/>
    <n v="3"/>
    <n v="80"/>
    <x v="0"/>
    <n v="7"/>
    <x v="0"/>
    <n v="3"/>
    <n v="2"/>
    <n v="2"/>
    <n v="2"/>
    <n v="2"/>
  </r>
  <r>
    <n v="42"/>
    <x v="1"/>
    <x v="0"/>
    <n v="932"/>
    <x v="1"/>
    <n v="1"/>
    <n v="2"/>
    <s v="Life Sciences"/>
    <n v="1"/>
    <n v="827"/>
    <n v="4"/>
    <x v="0"/>
    <n v="43"/>
    <x v="1"/>
    <n v="2"/>
    <x v="3"/>
    <n v="4"/>
    <x v="1"/>
    <n v="6062"/>
    <n v="4051"/>
    <n v="9"/>
    <s v="Y"/>
    <s v="Yes"/>
    <n v="13"/>
    <x v="0"/>
    <n v="4"/>
    <n v="80"/>
    <x v="1"/>
    <n v="8"/>
    <x v="5"/>
    <n v="3"/>
    <n v="4"/>
    <n v="3"/>
    <n v="0"/>
    <n v="2"/>
  </r>
  <r>
    <n v="28"/>
    <x v="0"/>
    <x v="0"/>
    <n v="890"/>
    <x v="1"/>
    <n v="2"/>
    <n v="4"/>
    <s v="Medical"/>
    <n v="1"/>
    <n v="828"/>
    <n v="3"/>
    <x v="1"/>
    <n v="46"/>
    <x v="0"/>
    <n v="1"/>
    <x v="1"/>
    <n v="3"/>
    <x v="0"/>
    <n v="4382"/>
    <n v="16374"/>
    <n v="6"/>
    <s v="Y"/>
    <s v="No"/>
    <n v="17"/>
    <x v="0"/>
    <n v="4"/>
    <n v="80"/>
    <x v="0"/>
    <n v="5"/>
    <x v="1"/>
    <n v="2"/>
    <n v="2"/>
    <n v="2"/>
    <n v="2"/>
    <n v="1"/>
  </r>
  <r>
    <n v="36"/>
    <x v="1"/>
    <x v="0"/>
    <n v="1041"/>
    <x v="2"/>
    <n v="13"/>
    <n v="3"/>
    <s v="Human Resources"/>
    <n v="1"/>
    <n v="829"/>
    <n v="3"/>
    <x v="1"/>
    <n v="36"/>
    <x v="0"/>
    <n v="1"/>
    <x v="8"/>
    <n v="2"/>
    <x v="1"/>
    <n v="2143"/>
    <n v="25527"/>
    <n v="4"/>
    <s v="Y"/>
    <s v="No"/>
    <n v="13"/>
    <x v="0"/>
    <n v="2"/>
    <n v="80"/>
    <x v="1"/>
    <n v="8"/>
    <x v="2"/>
    <n v="3"/>
    <n v="5"/>
    <n v="2"/>
    <n v="0"/>
    <n v="4"/>
  </r>
  <r>
    <n v="32"/>
    <x v="1"/>
    <x v="0"/>
    <n v="859"/>
    <x v="1"/>
    <n v="4"/>
    <n v="3"/>
    <s v="Life Sciences"/>
    <n v="1"/>
    <n v="830"/>
    <n v="3"/>
    <x v="0"/>
    <n v="98"/>
    <x v="1"/>
    <n v="2"/>
    <x v="3"/>
    <n v="3"/>
    <x v="1"/>
    <n v="6162"/>
    <n v="19124"/>
    <n v="1"/>
    <s v="Y"/>
    <s v="No"/>
    <n v="12"/>
    <x v="0"/>
    <n v="3"/>
    <n v="80"/>
    <x v="1"/>
    <n v="14"/>
    <x v="1"/>
    <n v="3"/>
    <n v="14"/>
    <n v="13"/>
    <n v="6"/>
    <n v="8"/>
  </r>
  <r>
    <n v="40"/>
    <x v="1"/>
    <x v="1"/>
    <n v="720"/>
    <x v="1"/>
    <n v="16"/>
    <n v="4"/>
    <s v="Medical"/>
    <n v="1"/>
    <n v="832"/>
    <n v="1"/>
    <x v="1"/>
    <n v="51"/>
    <x v="1"/>
    <n v="2"/>
    <x v="2"/>
    <n v="3"/>
    <x v="0"/>
    <n v="5094"/>
    <n v="11983"/>
    <n v="6"/>
    <s v="Y"/>
    <s v="No"/>
    <n v="14"/>
    <x v="0"/>
    <n v="4"/>
    <n v="80"/>
    <x v="0"/>
    <n v="10"/>
    <x v="6"/>
    <n v="3"/>
    <n v="1"/>
    <n v="0"/>
    <n v="0"/>
    <n v="0"/>
  </r>
  <r>
    <n v="30"/>
    <x v="1"/>
    <x v="0"/>
    <n v="946"/>
    <x v="1"/>
    <n v="2"/>
    <n v="3"/>
    <s v="Medical"/>
    <n v="1"/>
    <n v="833"/>
    <n v="3"/>
    <x v="0"/>
    <n v="52"/>
    <x v="1"/>
    <n v="2"/>
    <x v="3"/>
    <n v="4"/>
    <x v="0"/>
    <n v="6877"/>
    <n v="20234"/>
    <n v="5"/>
    <s v="Y"/>
    <s v="Yes"/>
    <n v="24"/>
    <x v="1"/>
    <n v="2"/>
    <n v="80"/>
    <x v="0"/>
    <n v="12"/>
    <x v="5"/>
    <n v="2"/>
    <n v="0"/>
    <n v="0"/>
    <n v="0"/>
    <n v="0"/>
  </r>
  <r>
    <n v="45"/>
    <x v="1"/>
    <x v="0"/>
    <n v="252"/>
    <x v="1"/>
    <n v="2"/>
    <n v="3"/>
    <s v="Life Sciences"/>
    <n v="1"/>
    <n v="834"/>
    <n v="2"/>
    <x v="0"/>
    <n v="95"/>
    <x v="1"/>
    <n v="1"/>
    <x v="1"/>
    <n v="3"/>
    <x v="0"/>
    <n v="2274"/>
    <n v="6153"/>
    <n v="1"/>
    <s v="Y"/>
    <s v="No"/>
    <n v="14"/>
    <x v="0"/>
    <n v="4"/>
    <n v="80"/>
    <x v="0"/>
    <n v="1"/>
    <x v="1"/>
    <n v="3"/>
    <n v="1"/>
    <n v="0"/>
    <n v="0"/>
    <n v="0"/>
  </r>
  <r>
    <n v="42"/>
    <x v="1"/>
    <x v="0"/>
    <n v="933"/>
    <x v="1"/>
    <n v="29"/>
    <n v="3"/>
    <s v="Life Sciences"/>
    <n v="1"/>
    <n v="836"/>
    <n v="2"/>
    <x v="1"/>
    <n v="98"/>
    <x v="0"/>
    <n v="2"/>
    <x v="3"/>
    <n v="2"/>
    <x v="1"/>
    <n v="4434"/>
    <n v="11806"/>
    <n v="1"/>
    <s v="Y"/>
    <s v="No"/>
    <n v="13"/>
    <x v="0"/>
    <n v="4"/>
    <n v="80"/>
    <x v="1"/>
    <n v="10"/>
    <x v="1"/>
    <n v="2"/>
    <n v="9"/>
    <n v="8"/>
    <n v="7"/>
    <n v="8"/>
  </r>
  <r>
    <n v="38"/>
    <x v="1"/>
    <x v="1"/>
    <n v="471"/>
    <x v="1"/>
    <n v="12"/>
    <n v="3"/>
    <s v="Life Sciences"/>
    <n v="1"/>
    <n v="837"/>
    <n v="1"/>
    <x v="1"/>
    <n v="45"/>
    <x v="1"/>
    <n v="2"/>
    <x v="4"/>
    <n v="1"/>
    <x v="2"/>
    <n v="6288"/>
    <n v="4284"/>
    <n v="2"/>
    <s v="Y"/>
    <s v="No"/>
    <n v="15"/>
    <x v="0"/>
    <n v="3"/>
    <n v="80"/>
    <x v="1"/>
    <n v="13"/>
    <x v="1"/>
    <n v="2"/>
    <n v="4"/>
    <n v="3"/>
    <n v="1"/>
    <n v="2"/>
  </r>
  <r>
    <n v="34"/>
    <x v="1"/>
    <x v="1"/>
    <n v="702"/>
    <x v="1"/>
    <n v="16"/>
    <n v="4"/>
    <s v="Life Sciences"/>
    <n v="1"/>
    <n v="838"/>
    <n v="3"/>
    <x v="0"/>
    <n v="100"/>
    <x v="1"/>
    <n v="1"/>
    <x v="1"/>
    <n v="4"/>
    <x v="0"/>
    <n v="2553"/>
    <n v="8306"/>
    <n v="1"/>
    <s v="Y"/>
    <s v="No"/>
    <n v="16"/>
    <x v="0"/>
    <n v="3"/>
    <n v="80"/>
    <x v="0"/>
    <n v="6"/>
    <x v="1"/>
    <n v="3"/>
    <n v="5"/>
    <n v="2"/>
    <n v="1"/>
    <n v="3"/>
  </r>
  <r>
    <n v="49"/>
    <x v="0"/>
    <x v="0"/>
    <n v="1184"/>
    <x v="0"/>
    <n v="11"/>
    <n v="3"/>
    <s v="Marketing"/>
    <n v="1"/>
    <n v="840"/>
    <n v="3"/>
    <x v="0"/>
    <n v="43"/>
    <x v="0"/>
    <n v="3"/>
    <x v="0"/>
    <n v="4"/>
    <x v="1"/>
    <n v="7654"/>
    <n v="5860"/>
    <n v="1"/>
    <s v="Y"/>
    <s v="No"/>
    <n v="18"/>
    <x v="0"/>
    <n v="1"/>
    <n v="80"/>
    <x v="3"/>
    <n v="9"/>
    <x v="1"/>
    <n v="4"/>
    <n v="9"/>
    <n v="8"/>
    <n v="7"/>
    <n v="7"/>
  </r>
  <r>
    <n v="55"/>
    <x v="0"/>
    <x v="0"/>
    <n v="436"/>
    <x v="0"/>
    <n v="2"/>
    <n v="1"/>
    <s v="Medical"/>
    <n v="1"/>
    <n v="842"/>
    <n v="3"/>
    <x v="1"/>
    <n v="37"/>
    <x v="0"/>
    <n v="2"/>
    <x v="0"/>
    <n v="4"/>
    <x v="0"/>
    <n v="5160"/>
    <n v="21519"/>
    <n v="4"/>
    <s v="Y"/>
    <s v="No"/>
    <n v="16"/>
    <x v="0"/>
    <n v="3"/>
    <n v="80"/>
    <x v="0"/>
    <n v="12"/>
    <x v="1"/>
    <n v="2"/>
    <n v="9"/>
    <n v="7"/>
    <n v="7"/>
    <n v="3"/>
  </r>
  <r>
    <n v="43"/>
    <x v="1"/>
    <x v="0"/>
    <n v="589"/>
    <x v="1"/>
    <n v="14"/>
    <n v="2"/>
    <s v="Life Sciences"/>
    <n v="1"/>
    <n v="843"/>
    <n v="2"/>
    <x v="1"/>
    <n v="94"/>
    <x v="0"/>
    <n v="4"/>
    <x v="7"/>
    <n v="1"/>
    <x v="1"/>
    <n v="17159"/>
    <n v="5200"/>
    <n v="6"/>
    <s v="Y"/>
    <s v="No"/>
    <n v="24"/>
    <x v="1"/>
    <n v="3"/>
    <n v="80"/>
    <x v="1"/>
    <n v="22"/>
    <x v="1"/>
    <n v="3"/>
    <n v="4"/>
    <n v="1"/>
    <n v="1"/>
    <n v="0"/>
  </r>
  <r>
    <n v="27"/>
    <x v="1"/>
    <x v="0"/>
    <n v="269"/>
    <x v="1"/>
    <n v="5"/>
    <n v="1"/>
    <s v="Technical Degree"/>
    <n v="1"/>
    <n v="844"/>
    <n v="3"/>
    <x v="1"/>
    <n v="42"/>
    <x v="1"/>
    <n v="3"/>
    <x v="7"/>
    <n v="4"/>
    <x v="2"/>
    <n v="12808"/>
    <n v="8842"/>
    <n v="1"/>
    <s v="Y"/>
    <s v="Yes"/>
    <n v="16"/>
    <x v="0"/>
    <n v="2"/>
    <n v="80"/>
    <x v="1"/>
    <n v="9"/>
    <x v="1"/>
    <n v="3"/>
    <n v="9"/>
    <n v="8"/>
    <n v="0"/>
    <n v="8"/>
  </r>
  <r>
    <n v="35"/>
    <x v="1"/>
    <x v="0"/>
    <n v="950"/>
    <x v="1"/>
    <n v="7"/>
    <n v="3"/>
    <s v="Other"/>
    <n v="1"/>
    <n v="845"/>
    <n v="3"/>
    <x v="1"/>
    <n v="59"/>
    <x v="0"/>
    <n v="3"/>
    <x v="3"/>
    <n v="3"/>
    <x v="0"/>
    <n v="10221"/>
    <n v="18869"/>
    <n v="3"/>
    <s v="Y"/>
    <s v="No"/>
    <n v="21"/>
    <x v="1"/>
    <n v="2"/>
    <n v="80"/>
    <x v="0"/>
    <n v="17"/>
    <x v="1"/>
    <n v="4"/>
    <n v="8"/>
    <n v="5"/>
    <n v="1"/>
    <n v="6"/>
  </r>
  <r>
    <n v="28"/>
    <x v="1"/>
    <x v="0"/>
    <n v="760"/>
    <x v="0"/>
    <n v="2"/>
    <n v="4"/>
    <s v="Marketing"/>
    <n v="1"/>
    <n v="846"/>
    <n v="2"/>
    <x v="0"/>
    <n v="81"/>
    <x v="0"/>
    <n v="2"/>
    <x v="0"/>
    <n v="2"/>
    <x v="1"/>
    <n v="4779"/>
    <n v="3698"/>
    <n v="1"/>
    <s v="Y"/>
    <s v="Yes"/>
    <n v="20"/>
    <x v="1"/>
    <n v="1"/>
    <n v="80"/>
    <x v="0"/>
    <n v="8"/>
    <x v="2"/>
    <n v="3"/>
    <n v="8"/>
    <n v="7"/>
    <n v="7"/>
    <n v="5"/>
  </r>
  <r>
    <n v="34"/>
    <x v="1"/>
    <x v="0"/>
    <n v="829"/>
    <x v="2"/>
    <n v="3"/>
    <n v="2"/>
    <s v="Human Resources"/>
    <n v="1"/>
    <n v="847"/>
    <n v="3"/>
    <x v="1"/>
    <n v="88"/>
    <x v="0"/>
    <n v="1"/>
    <x v="8"/>
    <n v="4"/>
    <x v="1"/>
    <n v="3737"/>
    <n v="2243"/>
    <n v="0"/>
    <s v="Y"/>
    <s v="No"/>
    <n v="19"/>
    <x v="0"/>
    <n v="3"/>
    <n v="80"/>
    <x v="1"/>
    <n v="4"/>
    <x v="4"/>
    <n v="1"/>
    <n v="3"/>
    <n v="2"/>
    <n v="0"/>
    <n v="2"/>
  </r>
  <r>
    <n v="26"/>
    <x v="0"/>
    <x v="1"/>
    <n v="887"/>
    <x v="1"/>
    <n v="5"/>
    <n v="2"/>
    <s v="Medical"/>
    <n v="1"/>
    <n v="848"/>
    <n v="3"/>
    <x v="0"/>
    <n v="88"/>
    <x v="1"/>
    <n v="1"/>
    <x v="1"/>
    <n v="3"/>
    <x v="1"/>
    <n v="2366"/>
    <n v="20898"/>
    <n v="1"/>
    <s v="Y"/>
    <s v="Yes"/>
    <n v="14"/>
    <x v="0"/>
    <n v="1"/>
    <n v="80"/>
    <x v="1"/>
    <n v="8"/>
    <x v="2"/>
    <n v="3"/>
    <n v="8"/>
    <n v="7"/>
    <n v="1"/>
    <n v="7"/>
  </r>
  <r>
    <n v="27"/>
    <x v="1"/>
    <x v="2"/>
    <n v="443"/>
    <x v="1"/>
    <n v="3"/>
    <n v="3"/>
    <s v="Medical"/>
    <n v="1"/>
    <n v="850"/>
    <n v="4"/>
    <x v="1"/>
    <n v="50"/>
    <x v="0"/>
    <n v="1"/>
    <x v="1"/>
    <n v="4"/>
    <x v="1"/>
    <n v="1706"/>
    <n v="16571"/>
    <n v="1"/>
    <s v="Y"/>
    <s v="No"/>
    <n v="11"/>
    <x v="0"/>
    <n v="3"/>
    <n v="80"/>
    <x v="2"/>
    <n v="0"/>
    <x v="6"/>
    <n v="2"/>
    <n v="0"/>
    <n v="0"/>
    <n v="0"/>
    <n v="0"/>
  </r>
  <r>
    <n v="51"/>
    <x v="1"/>
    <x v="0"/>
    <n v="1318"/>
    <x v="0"/>
    <n v="26"/>
    <n v="4"/>
    <s v="Marketing"/>
    <n v="1"/>
    <n v="851"/>
    <n v="1"/>
    <x v="0"/>
    <n v="66"/>
    <x v="0"/>
    <n v="4"/>
    <x v="5"/>
    <n v="3"/>
    <x v="1"/>
    <n v="16307"/>
    <n v="5594"/>
    <n v="2"/>
    <s v="Y"/>
    <s v="No"/>
    <n v="14"/>
    <x v="0"/>
    <n v="3"/>
    <n v="80"/>
    <x v="1"/>
    <n v="29"/>
    <x v="2"/>
    <n v="2"/>
    <n v="20"/>
    <n v="6"/>
    <n v="4"/>
    <n v="17"/>
  </r>
  <r>
    <n v="44"/>
    <x v="1"/>
    <x v="0"/>
    <n v="625"/>
    <x v="1"/>
    <n v="4"/>
    <n v="3"/>
    <s v="Medical"/>
    <n v="1"/>
    <n v="852"/>
    <n v="4"/>
    <x v="1"/>
    <n v="50"/>
    <x v="0"/>
    <n v="2"/>
    <x v="4"/>
    <n v="2"/>
    <x v="0"/>
    <n v="5933"/>
    <n v="5197"/>
    <n v="9"/>
    <s v="Y"/>
    <s v="No"/>
    <n v="12"/>
    <x v="0"/>
    <n v="4"/>
    <n v="80"/>
    <x v="0"/>
    <n v="10"/>
    <x v="2"/>
    <n v="2"/>
    <n v="5"/>
    <n v="2"/>
    <n v="2"/>
    <n v="3"/>
  </r>
  <r>
    <n v="25"/>
    <x v="1"/>
    <x v="0"/>
    <n v="180"/>
    <x v="1"/>
    <n v="2"/>
    <n v="1"/>
    <s v="Medical"/>
    <n v="1"/>
    <n v="854"/>
    <n v="1"/>
    <x v="1"/>
    <n v="65"/>
    <x v="2"/>
    <n v="1"/>
    <x v="1"/>
    <n v="1"/>
    <x v="0"/>
    <n v="3424"/>
    <n v="21632"/>
    <n v="7"/>
    <s v="Y"/>
    <s v="No"/>
    <n v="13"/>
    <x v="0"/>
    <n v="3"/>
    <n v="80"/>
    <x v="0"/>
    <n v="6"/>
    <x v="1"/>
    <n v="2"/>
    <n v="4"/>
    <n v="3"/>
    <n v="0"/>
    <n v="1"/>
  </r>
  <r>
    <n v="33"/>
    <x v="1"/>
    <x v="0"/>
    <n v="586"/>
    <x v="0"/>
    <n v="1"/>
    <n v="3"/>
    <s v="Medical"/>
    <n v="1"/>
    <n v="855"/>
    <n v="1"/>
    <x v="1"/>
    <n v="48"/>
    <x v="2"/>
    <n v="2"/>
    <x v="0"/>
    <n v="1"/>
    <x v="2"/>
    <n v="4037"/>
    <n v="21816"/>
    <n v="1"/>
    <s v="Y"/>
    <s v="No"/>
    <n v="22"/>
    <x v="1"/>
    <n v="1"/>
    <n v="80"/>
    <x v="1"/>
    <n v="9"/>
    <x v="3"/>
    <n v="3"/>
    <n v="9"/>
    <n v="8"/>
    <n v="0"/>
    <n v="8"/>
  </r>
  <r>
    <n v="35"/>
    <x v="1"/>
    <x v="0"/>
    <n v="1343"/>
    <x v="1"/>
    <n v="27"/>
    <n v="1"/>
    <s v="Medical"/>
    <n v="1"/>
    <n v="856"/>
    <n v="3"/>
    <x v="0"/>
    <n v="53"/>
    <x v="1"/>
    <n v="1"/>
    <x v="1"/>
    <n v="1"/>
    <x v="0"/>
    <n v="2559"/>
    <n v="17852"/>
    <n v="1"/>
    <s v="Y"/>
    <s v="No"/>
    <n v="11"/>
    <x v="0"/>
    <n v="4"/>
    <n v="80"/>
    <x v="0"/>
    <n v="6"/>
    <x v="1"/>
    <n v="2"/>
    <n v="6"/>
    <n v="5"/>
    <n v="1"/>
    <n v="1"/>
  </r>
  <r>
    <n v="36"/>
    <x v="1"/>
    <x v="0"/>
    <n v="928"/>
    <x v="0"/>
    <n v="1"/>
    <n v="2"/>
    <s v="Life Sciences"/>
    <n v="1"/>
    <n v="857"/>
    <n v="2"/>
    <x v="1"/>
    <n v="56"/>
    <x v="0"/>
    <n v="2"/>
    <x v="0"/>
    <n v="4"/>
    <x v="1"/>
    <n v="6201"/>
    <n v="2823"/>
    <n v="1"/>
    <s v="Y"/>
    <s v="Yes"/>
    <n v="14"/>
    <x v="0"/>
    <n v="4"/>
    <n v="80"/>
    <x v="1"/>
    <n v="18"/>
    <x v="4"/>
    <n v="2"/>
    <n v="18"/>
    <n v="14"/>
    <n v="4"/>
    <n v="11"/>
  </r>
  <r>
    <n v="32"/>
    <x v="1"/>
    <x v="0"/>
    <n v="117"/>
    <x v="0"/>
    <n v="13"/>
    <n v="4"/>
    <s v="Life Sciences"/>
    <n v="1"/>
    <n v="859"/>
    <n v="2"/>
    <x v="1"/>
    <n v="73"/>
    <x v="0"/>
    <n v="2"/>
    <x v="0"/>
    <n v="4"/>
    <x v="2"/>
    <n v="4403"/>
    <n v="9250"/>
    <n v="2"/>
    <s v="Y"/>
    <s v="No"/>
    <n v="11"/>
    <x v="0"/>
    <n v="3"/>
    <n v="80"/>
    <x v="1"/>
    <n v="8"/>
    <x v="1"/>
    <n v="2"/>
    <n v="5"/>
    <n v="2"/>
    <n v="0"/>
    <n v="3"/>
  </r>
  <r>
    <n v="30"/>
    <x v="1"/>
    <x v="1"/>
    <n v="1012"/>
    <x v="1"/>
    <n v="5"/>
    <n v="4"/>
    <s v="Life Sciences"/>
    <n v="1"/>
    <n v="861"/>
    <n v="2"/>
    <x v="1"/>
    <n v="75"/>
    <x v="1"/>
    <n v="1"/>
    <x v="1"/>
    <n v="4"/>
    <x v="2"/>
    <n v="3761"/>
    <n v="2373"/>
    <n v="9"/>
    <s v="Y"/>
    <s v="No"/>
    <n v="12"/>
    <x v="0"/>
    <n v="2"/>
    <n v="80"/>
    <x v="1"/>
    <n v="10"/>
    <x v="1"/>
    <n v="2"/>
    <n v="5"/>
    <n v="4"/>
    <n v="0"/>
    <n v="3"/>
  </r>
  <r>
    <n v="53"/>
    <x v="1"/>
    <x v="0"/>
    <n v="661"/>
    <x v="0"/>
    <n v="7"/>
    <n v="2"/>
    <s v="Marketing"/>
    <n v="1"/>
    <n v="862"/>
    <n v="1"/>
    <x v="0"/>
    <n v="78"/>
    <x v="1"/>
    <n v="3"/>
    <x v="0"/>
    <n v="4"/>
    <x v="1"/>
    <n v="10934"/>
    <n v="20715"/>
    <n v="7"/>
    <s v="Y"/>
    <s v="Yes"/>
    <n v="18"/>
    <x v="0"/>
    <n v="4"/>
    <n v="80"/>
    <x v="1"/>
    <n v="35"/>
    <x v="1"/>
    <n v="3"/>
    <n v="5"/>
    <n v="2"/>
    <n v="0"/>
    <n v="4"/>
  </r>
  <r>
    <n v="45"/>
    <x v="1"/>
    <x v="0"/>
    <n v="930"/>
    <x v="0"/>
    <n v="9"/>
    <n v="3"/>
    <s v="Marketing"/>
    <n v="1"/>
    <n v="864"/>
    <n v="4"/>
    <x v="1"/>
    <n v="74"/>
    <x v="0"/>
    <n v="3"/>
    <x v="0"/>
    <n v="1"/>
    <x v="2"/>
    <n v="10761"/>
    <n v="19239"/>
    <n v="4"/>
    <s v="Y"/>
    <s v="Yes"/>
    <n v="12"/>
    <x v="0"/>
    <n v="3"/>
    <n v="80"/>
    <x v="1"/>
    <n v="18"/>
    <x v="2"/>
    <n v="3"/>
    <n v="5"/>
    <n v="4"/>
    <n v="0"/>
    <n v="2"/>
  </r>
  <r>
    <n v="32"/>
    <x v="1"/>
    <x v="0"/>
    <n v="638"/>
    <x v="1"/>
    <n v="8"/>
    <n v="2"/>
    <s v="Medical"/>
    <n v="1"/>
    <n v="865"/>
    <n v="3"/>
    <x v="0"/>
    <n v="91"/>
    <x v="2"/>
    <n v="2"/>
    <x v="1"/>
    <n v="3"/>
    <x v="1"/>
    <n v="5175"/>
    <n v="22162"/>
    <n v="5"/>
    <s v="Y"/>
    <s v="No"/>
    <n v="12"/>
    <x v="0"/>
    <n v="3"/>
    <n v="80"/>
    <x v="1"/>
    <n v="9"/>
    <x v="1"/>
    <n v="2"/>
    <n v="5"/>
    <n v="3"/>
    <n v="1"/>
    <n v="3"/>
  </r>
  <r>
    <n v="52"/>
    <x v="1"/>
    <x v="1"/>
    <n v="890"/>
    <x v="1"/>
    <n v="25"/>
    <n v="4"/>
    <s v="Medical"/>
    <n v="1"/>
    <n v="867"/>
    <n v="3"/>
    <x v="0"/>
    <n v="81"/>
    <x v="1"/>
    <n v="4"/>
    <x v="3"/>
    <n v="4"/>
    <x v="1"/>
    <n v="13826"/>
    <n v="19028"/>
    <n v="3"/>
    <s v="Y"/>
    <s v="No"/>
    <n v="22"/>
    <x v="1"/>
    <n v="3"/>
    <n v="80"/>
    <x v="0"/>
    <n v="31"/>
    <x v="1"/>
    <n v="3"/>
    <n v="9"/>
    <n v="8"/>
    <n v="0"/>
    <n v="0"/>
  </r>
  <r>
    <n v="37"/>
    <x v="1"/>
    <x v="0"/>
    <n v="342"/>
    <x v="0"/>
    <n v="16"/>
    <n v="4"/>
    <s v="Marketing"/>
    <n v="1"/>
    <n v="868"/>
    <n v="4"/>
    <x v="1"/>
    <n v="66"/>
    <x v="1"/>
    <n v="2"/>
    <x v="0"/>
    <n v="3"/>
    <x v="2"/>
    <n v="6334"/>
    <n v="24558"/>
    <n v="4"/>
    <s v="Y"/>
    <s v="No"/>
    <n v="19"/>
    <x v="0"/>
    <n v="4"/>
    <n v="80"/>
    <x v="3"/>
    <n v="9"/>
    <x v="2"/>
    <n v="3"/>
    <n v="1"/>
    <n v="0"/>
    <n v="0"/>
    <n v="0"/>
  </r>
  <r>
    <n v="28"/>
    <x v="1"/>
    <x v="0"/>
    <n v="1169"/>
    <x v="2"/>
    <n v="8"/>
    <n v="2"/>
    <s v="Medical"/>
    <n v="1"/>
    <n v="869"/>
    <n v="2"/>
    <x v="1"/>
    <n v="63"/>
    <x v="1"/>
    <n v="1"/>
    <x v="8"/>
    <n v="4"/>
    <x v="2"/>
    <n v="4936"/>
    <n v="23965"/>
    <n v="1"/>
    <s v="Y"/>
    <s v="No"/>
    <n v="13"/>
    <x v="0"/>
    <n v="4"/>
    <n v="80"/>
    <x v="1"/>
    <n v="6"/>
    <x v="6"/>
    <n v="3"/>
    <n v="5"/>
    <n v="1"/>
    <n v="0"/>
    <n v="4"/>
  </r>
  <r>
    <n v="22"/>
    <x v="1"/>
    <x v="0"/>
    <n v="1230"/>
    <x v="1"/>
    <n v="1"/>
    <n v="2"/>
    <s v="Life Sciences"/>
    <n v="1"/>
    <n v="872"/>
    <n v="4"/>
    <x v="1"/>
    <n v="33"/>
    <x v="1"/>
    <n v="2"/>
    <x v="3"/>
    <n v="4"/>
    <x v="1"/>
    <n v="4775"/>
    <n v="19146"/>
    <n v="6"/>
    <s v="Y"/>
    <s v="No"/>
    <n v="22"/>
    <x v="1"/>
    <n v="1"/>
    <n v="80"/>
    <x v="3"/>
    <n v="4"/>
    <x v="2"/>
    <n v="1"/>
    <n v="2"/>
    <n v="2"/>
    <n v="2"/>
    <n v="2"/>
  </r>
  <r>
    <n v="44"/>
    <x v="1"/>
    <x v="0"/>
    <n v="986"/>
    <x v="1"/>
    <n v="8"/>
    <n v="4"/>
    <s v="Life Sciences"/>
    <n v="1"/>
    <n v="874"/>
    <n v="1"/>
    <x v="1"/>
    <n v="62"/>
    <x v="2"/>
    <n v="1"/>
    <x v="2"/>
    <n v="4"/>
    <x v="1"/>
    <n v="2818"/>
    <n v="5044"/>
    <n v="2"/>
    <s v="Y"/>
    <s v="Yes"/>
    <n v="24"/>
    <x v="1"/>
    <n v="3"/>
    <n v="80"/>
    <x v="1"/>
    <n v="10"/>
    <x v="2"/>
    <n v="2"/>
    <n v="3"/>
    <n v="2"/>
    <n v="0"/>
    <n v="2"/>
  </r>
  <r>
    <n v="42"/>
    <x v="1"/>
    <x v="1"/>
    <n v="1271"/>
    <x v="1"/>
    <n v="2"/>
    <n v="1"/>
    <s v="Medical"/>
    <n v="1"/>
    <n v="875"/>
    <n v="2"/>
    <x v="1"/>
    <n v="35"/>
    <x v="0"/>
    <n v="1"/>
    <x v="1"/>
    <n v="4"/>
    <x v="0"/>
    <n v="2515"/>
    <n v="9068"/>
    <n v="5"/>
    <s v="Y"/>
    <s v="Yes"/>
    <n v="14"/>
    <x v="0"/>
    <n v="4"/>
    <n v="80"/>
    <x v="0"/>
    <n v="8"/>
    <x v="2"/>
    <n v="3"/>
    <n v="2"/>
    <n v="1"/>
    <n v="2"/>
    <n v="2"/>
  </r>
  <r>
    <n v="36"/>
    <x v="1"/>
    <x v="0"/>
    <n v="1278"/>
    <x v="2"/>
    <n v="8"/>
    <n v="3"/>
    <s v="Life Sciences"/>
    <n v="1"/>
    <n v="878"/>
    <n v="1"/>
    <x v="1"/>
    <n v="77"/>
    <x v="1"/>
    <n v="1"/>
    <x v="8"/>
    <n v="1"/>
    <x v="1"/>
    <n v="2342"/>
    <n v="8635"/>
    <n v="0"/>
    <s v="Y"/>
    <s v="No"/>
    <n v="21"/>
    <x v="1"/>
    <n v="3"/>
    <n v="80"/>
    <x v="0"/>
    <n v="6"/>
    <x v="1"/>
    <n v="3"/>
    <n v="5"/>
    <n v="4"/>
    <n v="0"/>
    <n v="3"/>
  </r>
  <r>
    <n v="25"/>
    <x v="1"/>
    <x v="0"/>
    <n v="141"/>
    <x v="0"/>
    <n v="3"/>
    <n v="1"/>
    <s v="Other"/>
    <n v="1"/>
    <n v="879"/>
    <n v="3"/>
    <x v="1"/>
    <n v="98"/>
    <x v="0"/>
    <n v="2"/>
    <x v="0"/>
    <n v="1"/>
    <x v="1"/>
    <n v="4194"/>
    <n v="14363"/>
    <n v="1"/>
    <s v="Y"/>
    <s v="Yes"/>
    <n v="18"/>
    <x v="0"/>
    <n v="4"/>
    <n v="80"/>
    <x v="0"/>
    <n v="5"/>
    <x v="1"/>
    <n v="3"/>
    <n v="5"/>
    <n v="3"/>
    <n v="0"/>
    <n v="3"/>
  </r>
  <r>
    <n v="35"/>
    <x v="1"/>
    <x v="0"/>
    <n v="607"/>
    <x v="1"/>
    <n v="9"/>
    <n v="3"/>
    <s v="Life Sciences"/>
    <n v="1"/>
    <n v="880"/>
    <n v="4"/>
    <x v="0"/>
    <n v="66"/>
    <x v="1"/>
    <n v="3"/>
    <x v="3"/>
    <n v="3"/>
    <x v="1"/>
    <n v="10685"/>
    <n v="23457"/>
    <n v="1"/>
    <s v="Y"/>
    <s v="Yes"/>
    <n v="20"/>
    <x v="1"/>
    <n v="2"/>
    <n v="80"/>
    <x v="1"/>
    <n v="17"/>
    <x v="2"/>
    <n v="3"/>
    <n v="17"/>
    <n v="14"/>
    <n v="5"/>
    <n v="15"/>
  </r>
  <r>
    <n v="35"/>
    <x v="0"/>
    <x v="1"/>
    <n v="130"/>
    <x v="1"/>
    <n v="25"/>
    <n v="4"/>
    <s v="Life Sciences"/>
    <n v="1"/>
    <n v="881"/>
    <n v="4"/>
    <x v="0"/>
    <n v="96"/>
    <x v="0"/>
    <n v="1"/>
    <x v="1"/>
    <n v="2"/>
    <x v="2"/>
    <n v="2022"/>
    <n v="16612"/>
    <n v="1"/>
    <s v="Y"/>
    <s v="Yes"/>
    <n v="19"/>
    <x v="0"/>
    <n v="1"/>
    <n v="80"/>
    <x v="1"/>
    <n v="10"/>
    <x v="1"/>
    <n v="2"/>
    <n v="10"/>
    <n v="2"/>
    <n v="7"/>
    <n v="8"/>
  </r>
  <r>
    <n v="32"/>
    <x v="1"/>
    <x v="2"/>
    <n v="300"/>
    <x v="1"/>
    <n v="1"/>
    <n v="3"/>
    <s v="Life Sciences"/>
    <n v="1"/>
    <n v="882"/>
    <n v="4"/>
    <x v="1"/>
    <n v="61"/>
    <x v="0"/>
    <n v="1"/>
    <x v="2"/>
    <n v="4"/>
    <x v="2"/>
    <n v="2314"/>
    <n v="9148"/>
    <n v="0"/>
    <s v="Y"/>
    <s v="No"/>
    <n v="12"/>
    <x v="0"/>
    <n v="2"/>
    <n v="80"/>
    <x v="1"/>
    <n v="4"/>
    <x v="2"/>
    <n v="3"/>
    <n v="3"/>
    <n v="0"/>
    <n v="0"/>
    <n v="2"/>
  </r>
  <r>
    <n v="25"/>
    <x v="1"/>
    <x v="0"/>
    <n v="583"/>
    <x v="0"/>
    <n v="4"/>
    <n v="1"/>
    <s v="Marketing"/>
    <n v="1"/>
    <n v="885"/>
    <n v="3"/>
    <x v="1"/>
    <n v="87"/>
    <x v="1"/>
    <n v="2"/>
    <x v="0"/>
    <n v="1"/>
    <x v="1"/>
    <n v="4256"/>
    <n v="18154"/>
    <n v="1"/>
    <s v="Y"/>
    <s v="No"/>
    <n v="12"/>
    <x v="0"/>
    <n v="1"/>
    <n v="80"/>
    <x v="0"/>
    <n v="5"/>
    <x v="4"/>
    <n v="4"/>
    <n v="5"/>
    <n v="2"/>
    <n v="0"/>
    <n v="3"/>
  </r>
  <r>
    <n v="49"/>
    <x v="1"/>
    <x v="0"/>
    <n v="1418"/>
    <x v="1"/>
    <n v="1"/>
    <n v="3"/>
    <s v="Technical Degree"/>
    <n v="1"/>
    <n v="887"/>
    <n v="3"/>
    <x v="0"/>
    <n v="36"/>
    <x v="0"/>
    <n v="1"/>
    <x v="1"/>
    <n v="1"/>
    <x v="1"/>
    <n v="3580"/>
    <n v="10554"/>
    <n v="2"/>
    <s v="Y"/>
    <s v="No"/>
    <n v="16"/>
    <x v="0"/>
    <n v="2"/>
    <n v="80"/>
    <x v="1"/>
    <n v="7"/>
    <x v="2"/>
    <n v="3"/>
    <n v="4"/>
    <n v="2"/>
    <n v="0"/>
    <n v="2"/>
  </r>
  <r>
    <n v="24"/>
    <x v="1"/>
    <x v="2"/>
    <n v="1269"/>
    <x v="1"/>
    <n v="4"/>
    <n v="1"/>
    <s v="Life Sciences"/>
    <n v="1"/>
    <n v="888"/>
    <n v="1"/>
    <x v="1"/>
    <n v="46"/>
    <x v="1"/>
    <n v="1"/>
    <x v="2"/>
    <n v="4"/>
    <x v="1"/>
    <n v="3162"/>
    <n v="10778"/>
    <n v="0"/>
    <s v="Y"/>
    <s v="No"/>
    <n v="17"/>
    <x v="0"/>
    <n v="4"/>
    <n v="80"/>
    <x v="0"/>
    <n v="6"/>
    <x v="2"/>
    <n v="2"/>
    <n v="5"/>
    <n v="2"/>
    <n v="3"/>
    <n v="4"/>
  </r>
  <r>
    <n v="32"/>
    <x v="1"/>
    <x v="1"/>
    <n v="379"/>
    <x v="0"/>
    <n v="5"/>
    <n v="2"/>
    <s v="Life Sciences"/>
    <n v="1"/>
    <n v="889"/>
    <n v="2"/>
    <x v="1"/>
    <n v="48"/>
    <x v="0"/>
    <n v="2"/>
    <x v="0"/>
    <n v="2"/>
    <x v="1"/>
    <n v="6524"/>
    <n v="8891"/>
    <n v="1"/>
    <s v="Y"/>
    <s v="No"/>
    <n v="14"/>
    <x v="0"/>
    <n v="4"/>
    <n v="80"/>
    <x v="1"/>
    <n v="10"/>
    <x v="1"/>
    <n v="3"/>
    <n v="10"/>
    <n v="8"/>
    <n v="5"/>
    <n v="3"/>
  </r>
  <r>
    <n v="38"/>
    <x v="1"/>
    <x v="0"/>
    <n v="395"/>
    <x v="0"/>
    <n v="9"/>
    <n v="3"/>
    <s v="Marketing"/>
    <n v="1"/>
    <n v="893"/>
    <n v="2"/>
    <x v="1"/>
    <n v="98"/>
    <x v="1"/>
    <n v="1"/>
    <x v="6"/>
    <n v="2"/>
    <x v="1"/>
    <n v="2899"/>
    <n v="12102"/>
    <n v="0"/>
    <s v="Y"/>
    <s v="No"/>
    <n v="19"/>
    <x v="0"/>
    <n v="4"/>
    <n v="80"/>
    <x v="1"/>
    <n v="3"/>
    <x v="1"/>
    <n v="3"/>
    <n v="2"/>
    <n v="2"/>
    <n v="1"/>
    <n v="2"/>
  </r>
  <r>
    <n v="42"/>
    <x v="1"/>
    <x v="0"/>
    <n v="1265"/>
    <x v="1"/>
    <n v="3"/>
    <n v="3"/>
    <s v="Life Sciences"/>
    <n v="1"/>
    <n v="894"/>
    <n v="3"/>
    <x v="0"/>
    <n v="95"/>
    <x v="2"/>
    <n v="2"/>
    <x v="2"/>
    <n v="4"/>
    <x v="1"/>
    <n v="5231"/>
    <n v="23726"/>
    <n v="2"/>
    <s v="Y"/>
    <s v="Yes"/>
    <n v="13"/>
    <x v="0"/>
    <n v="2"/>
    <n v="80"/>
    <x v="1"/>
    <n v="17"/>
    <x v="4"/>
    <n v="2"/>
    <n v="5"/>
    <n v="3"/>
    <n v="1"/>
    <n v="3"/>
  </r>
  <r>
    <n v="31"/>
    <x v="1"/>
    <x v="0"/>
    <n v="1222"/>
    <x v="1"/>
    <n v="11"/>
    <n v="4"/>
    <s v="Life Sciences"/>
    <n v="1"/>
    <n v="895"/>
    <n v="4"/>
    <x v="1"/>
    <n v="48"/>
    <x v="0"/>
    <n v="1"/>
    <x v="1"/>
    <n v="4"/>
    <x v="1"/>
    <n v="2356"/>
    <n v="14871"/>
    <n v="3"/>
    <s v="Y"/>
    <s v="Yes"/>
    <n v="19"/>
    <x v="0"/>
    <n v="2"/>
    <n v="80"/>
    <x v="1"/>
    <n v="8"/>
    <x v="2"/>
    <n v="3"/>
    <n v="6"/>
    <n v="4"/>
    <n v="0"/>
    <n v="2"/>
  </r>
  <r>
    <n v="29"/>
    <x v="0"/>
    <x v="0"/>
    <n v="341"/>
    <x v="0"/>
    <n v="1"/>
    <n v="3"/>
    <s v="Medical"/>
    <n v="1"/>
    <n v="896"/>
    <n v="2"/>
    <x v="0"/>
    <n v="48"/>
    <x v="1"/>
    <n v="1"/>
    <x v="6"/>
    <n v="3"/>
    <x v="2"/>
    <n v="2800"/>
    <n v="23522"/>
    <n v="6"/>
    <s v="Y"/>
    <s v="Yes"/>
    <n v="19"/>
    <x v="0"/>
    <n v="3"/>
    <n v="80"/>
    <x v="2"/>
    <n v="5"/>
    <x v="1"/>
    <n v="3"/>
    <n v="3"/>
    <n v="2"/>
    <n v="0"/>
    <n v="2"/>
  </r>
  <r>
    <n v="53"/>
    <x v="1"/>
    <x v="0"/>
    <n v="868"/>
    <x v="0"/>
    <n v="8"/>
    <n v="3"/>
    <s v="Marketing"/>
    <n v="1"/>
    <n v="897"/>
    <n v="1"/>
    <x v="1"/>
    <n v="73"/>
    <x v="0"/>
    <n v="4"/>
    <x v="0"/>
    <n v="4"/>
    <x v="1"/>
    <n v="11836"/>
    <n v="22789"/>
    <n v="5"/>
    <s v="Y"/>
    <s v="No"/>
    <n v="14"/>
    <x v="0"/>
    <n v="3"/>
    <n v="80"/>
    <x v="1"/>
    <n v="28"/>
    <x v="1"/>
    <n v="3"/>
    <n v="2"/>
    <n v="0"/>
    <n v="2"/>
    <n v="2"/>
  </r>
  <r>
    <n v="35"/>
    <x v="1"/>
    <x v="0"/>
    <n v="672"/>
    <x v="1"/>
    <n v="25"/>
    <n v="3"/>
    <s v="Technical Degree"/>
    <n v="1"/>
    <n v="899"/>
    <n v="4"/>
    <x v="1"/>
    <n v="78"/>
    <x v="1"/>
    <n v="3"/>
    <x v="3"/>
    <n v="2"/>
    <x v="1"/>
    <n v="10903"/>
    <n v="9129"/>
    <n v="3"/>
    <s v="Y"/>
    <s v="No"/>
    <n v="16"/>
    <x v="0"/>
    <n v="1"/>
    <n v="80"/>
    <x v="0"/>
    <n v="16"/>
    <x v="2"/>
    <n v="3"/>
    <n v="13"/>
    <n v="10"/>
    <n v="4"/>
    <n v="8"/>
  </r>
  <r>
    <n v="37"/>
    <x v="1"/>
    <x v="1"/>
    <n v="1231"/>
    <x v="0"/>
    <n v="21"/>
    <n v="2"/>
    <s v="Medical"/>
    <n v="1"/>
    <n v="900"/>
    <n v="3"/>
    <x v="0"/>
    <n v="54"/>
    <x v="0"/>
    <n v="1"/>
    <x v="6"/>
    <n v="4"/>
    <x v="1"/>
    <n v="2973"/>
    <n v="21222"/>
    <n v="5"/>
    <s v="Y"/>
    <s v="No"/>
    <n v="15"/>
    <x v="0"/>
    <n v="2"/>
    <n v="80"/>
    <x v="1"/>
    <n v="10"/>
    <x v="1"/>
    <n v="3"/>
    <n v="5"/>
    <n v="4"/>
    <n v="0"/>
    <n v="0"/>
  </r>
  <r>
    <n v="53"/>
    <x v="1"/>
    <x v="0"/>
    <n v="102"/>
    <x v="1"/>
    <n v="23"/>
    <n v="4"/>
    <s v="Life Sciences"/>
    <n v="1"/>
    <n v="901"/>
    <n v="4"/>
    <x v="0"/>
    <n v="72"/>
    <x v="0"/>
    <n v="4"/>
    <x v="7"/>
    <n v="4"/>
    <x v="0"/>
    <n v="14275"/>
    <n v="20206"/>
    <n v="6"/>
    <s v="Y"/>
    <s v="No"/>
    <n v="18"/>
    <x v="0"/>
    <n v="3"/>
    <n v="80"/>
    <x v="0"/>
    <n v="33"/>
    <x v="0"/>
    <n v="3"/>
    <n v="12"/>
    <n v="9"/>
    <n v="3"/>
    <n v="8"/>
  </r>
  <r>
    <n v="43"/>
    <x v="1"/>
    <x v="1"/>
    <n v="422"/>
    <x v="1"/>
    <n v="1"/>
    <n v="3"/>
    <s v="Life Sciences"/>
    <n v="1"/>
    <n v="902"/>
    <n v="4"/>
    <x v="0"/>
    <n v="33"/>
    <x v="0"/>
    <n v="2"/>
    <x v="4"/>
    <n v="4"/>
    <x v="1"/>
    <n v="5562"/>
    <n v="21782"/>
    <n v="4"/>
    <s v="Y"/>
    <s v="No"/>
    <n v="13"/>
    <x v="0"/>
    <n v="2"/>
    <n v="80"/>
    <x v="1"/>
    <n v="12"/>
    <x v="2"/>
    <n v="2"/>
    <n v="5"/>
    <n v="2"/>
    <n v="2"/>
    <n v="2"/>
  </r>
  <r>
    <n v="47"/>
    <x v="1"/>
    <x v="0"/>
    <n v="249"/>
    <x v="0"/>
    <n v="2"/>
    <n v="2"/>
    <s v="Marketing"/>
    <n v="1"/>
    <n v="903"/>
    <n v="3"/>
    <x v="0"/>
    <n v="35"/>
    <x v="0"/>
    <n v="2"/>
    <x v="0"/>
    <n v="4"/>
    <x v="1"/>
    <n v="4537"/>
    <n v="17783"/>
    <n v="0"/>
    <s v="Y"/>
    <s v="Yes"/>
    <n v="22"/>
    <x v="1"/>
    <n v="1"/>
    <n v="80"/>
    <x v="1"/>
    <n v="8"/>
    <x v="2"/>
    <n v="3"/>
    <n v="7"/>
    <n v="6"/>
    <n v="7"/>
    <n v="7"/>
  </r>
  <r>
    <n v="37"/>
    <x v="1"/>
    <x v="2"/>
    <n v="1252"/>
    <x v="0"/>
    <n v="19"/>
    <n v="2"/>
    <s v="Medical"/>
    <n v="1"/>
    <n v="904"/>
    <n v="1"/>
    <x v="1"/>
    <n v="32"/>
    <x v="0"/>
    <n v="3"/>
    <x v="0"/>
    <n v="2"/>
    <x v="0"/>
    <n v="7642"/>
    <n v="4814"/>
    <n v="1"/>
    <s v="Y"/>
    <s v="Yes"/>
    <n v="13"/>
    <x v="0"/>
    <n v="4"/>
    <n v="80"/>
    <x v="0"/>
    <n v="10"/>
    <x v="2"/>
    <n v="3"/>
    <n v="10"/>
    <n v="0"/>
    <n v="0"/>
    <n v="9"/>
  </r>
  <r>
    <n v="50"/>
    <x v="1"/>
    <x v="2"/>
    <n v="881"/>
    <x v="1"/>
    <n v="2"/>
    <n v="4"/>
    <s v="Life Sciences"/>
    <n v="1"/>
    <n v="905"/>
    <n v="1"/>
    <x v="1"/>
    <n v="98"/>
    <x v="0"/>
    <n v="4"/>
    <x v="5"/>
    <n v="1"/>
    <x v="2"/>
    <n v="17924"/>
    <n v="4544"/>
    <n v="1"/>
    <s v="Y"/>
    <s v="No"/>
    <n v="11"/>
    <x v="0"/>
    <n v="4"/>
    <n v="80"/>
    <x v="1"/>
    <n v="31"/>
    <x v="1"/>
    <n v="3"/>
    <n v="31"/>
    <n v="6"/>
    <n v="14"/>
    <n v="7"/>
  </r>
  <r>
    <n v="39"/>
    <x v="1"/>
    <x v="0"/>
    <n v="1383"/>
    <x v="2"/>
    <n v="2"/>
    <n v="3"/>
    <s v="Life Sciences"/>
    <n v="1"/>
    <n v="909"/>
    <n v="4"/>
    <x v="0"/>
    <n v="42"/>
    <x v="1"/>
    <n v="2"/>
    <x v="8"/>
    <n v="4"/>
    <x v="1"/>
    <n v="5204"/>
    <n v="7790"/>
    <n v="8"/>
    <s v="Y"/>
    <s v="No"/>
    <n v="11"/>
    <x v="0"/>
    <n v="3"/>
    <n v="80"/>
    <x v="3"/>
    <n v="13"/>
    <x v="2"/>
    <n v="3"/>
    <n v="5"/>
    <n v="4"/>
    <n v="0"/>
    <n v="4"/>
  </r>
  <r>
    <n v="33"/>
    <x v="1"/>
    <x v="0"/>
    <n v="1075"/>
    <x v="2"/>
    <n v="3"/>
    <n v="2"/>
    <s v="Human Resources"/>
    <n v="1"/>
    <n v="910"/>
    <n v="4"/>
    <x v="1"/>
    <n v="57"/>
    <x v="0"/>
    <n v="1"/>
    <x v="8"/>
    <n v="2"/>
    <x v="2"/>
    <n v="2277"/>
    <n v="22650"/>
    <n v="3"/>
    <s v="Y"/>
    <s v="Yes"/>
    <n v="11"/>
    <x v="0"/>
    <n v="3"/>
    <n v="80"/>
    <x v="1"/>
    <n v="7"/>
    <x v="5"/>
    <n v="4"/>
    <n v="4"/>
    <n v="3"/>
    <n v="0"/>
    <n v="3"/>
  </r>
  <r>
    <n v="32"/>
    <x v="0"/>
    <x v="0"/>
    <n v="374"/>
    <x v="1"/>
    <n v="25"/>
    <n v="4"/>
    <s v="Life Sciences"/>
    <n v="1"/>
    <n v="911"/>
    <n v="1"/>
    <x v="1"/>
    <n v="87"/>
    <x v="0"/>
    <n v="1"/>
    <x v="2"/>
    <n v="4"/>
    <x v="0"/>
    <n v="2795"/>
    <n v="18016"/>
    <n v="1"/>
    <s v="Y"/>
    <s v="Yes"/>
    <n v="24"/>
    <x v="1"/>
    <n v="3"/>
    <n v="80"/>
    <x v="0"/>
    <n v="1"/>
    <x v="2"/>
    <n v="1"/>
    <n v="1"/>
    <n v="0"/>
    <n v="0"/>
    <n v="1"/>
  </r>
  <r>
    <n v="29"/>
    <x v="1"/>
    <x v="0"/>
    <n v="1086"/>
    <x v="1"/>
    <n v="7"/>
    <n v="1"/>
    <s v="Medical"/>
    <n v="1"/>
    <n v="912"/>
    <n v="1"/>
    <x v="0"/>
    <n v="62"/>
    <x v="1"/>
    <n v="1"/>
    <x v="2"/>
    <n v="4"/>
    <x v="2"/>
    <n v="2532"/>
    <n v="6054"/>
    <n v="6"/>
    <s v="Y"/>
    <s v="No"/>
    <n v="14"/>
    <x v="0"/>
    <n v="3"/>
    <n v="80"/>
    <x v="2"/>
    <n v="8"/>
    <x v="3"/>
    <n v="3"/>
    <n v="4"/>
    <n v="3"/>
    <n v="0"/>
    <n v="3"/>
  </r>
  <r>
    <n v="44"/>
    <x v="1"/>
    <x v="0"/>
    <n v="661"/>
    <x v="1"/>
    <n v="9"/>
    <n v="2"/>
    <s v="Life Sciences"/>
    <n v="1"/>
    <n v="913"/>
    <n v="2"/>
    <x v="1"/>
    <n v="61"/>
    <x v="0"/>
    <n v="1"/>
    <x v="1"/>
    <n v="1"/>
    <x v="1"/>
    <n v="2559"/>
    <n v="7508"/>
    <n v="1"/>
    <s v="Y"/>
    <s v="Yes"/>
    <n v="13"/>
    <x v="0"/>
    <n v="4"/>
    <n v="80"/>
    <x v="0"/>
    <n v="8"/>
    <x v="0"/>
    <n v="3"/>
    <n v="8"/>
    <n v="7"/>
    <n v="7"/>
    <n v="1"/>
  </r>
  <r>
    <n v="28"/>
    <x v="1"/>
    <x v="0"/>
    <n v="821"/>
    <x v="0"/>
    <n v="5"/>
    <n v="4"/>
    <s v="Medical"/>
    <n v="1"/>
    <n v="916"/>
    <n v="1"/>
    <x v="1"/>
    <n v="98"/>
    <x v="0"/>
    <n v="2"/>
    <x v="0"/>
    <n v="4"/>
    <x v="0"/>
    <n v="4908"/>
    <n v="24252"/>
    <n v="1"/>
    <s v="Y"/>
    <s v="No"/>
    <n v="14"/>
    <x v="0"/>
    <n v="2"/>
    <n v="80"/>
    <x v="0"/>
    <n v="4"/>
    <x v="1"/>
    <n v="3"/>
    <n v="4"/>
    <n v="2"/>
    <n v="0"/>
    <n v="2"/>
  </r>
  <r>
    <n v="58"/>
    <x v="0"/>
    <x v="1"/>
    <n v="781"/>
    <x v="1"/>
    <n v="2"/>
    <n v="1"/>
    <s v="Life Sciences"/>
    <n v="1"/>
    <n v="918"/>
    <n v="4"/>
    <x v="1"/>
    <n v="57"/>
    <x v="1"/>
    <n v="1"/>
    <x v="2"/>
    <n v="4"/>
    <x v="2"/>
    <n v="2380"/>
    <n v="13384"/>
    <n v="9"/>
    <s v="Y"/>
    <s v="Yes"/>
    <n v="14"/>
    <x v="0"/>
    <n v="4"/>
    <n v="80"/>
    <x v="1"/>
    <n v="3"/>
    <x v="1"/>
    <n v="2"/>
    <n v="1"/>
    <n v="0"/>
    <n v="0"/>
    <n v="0"/>
  </r>
  <r>
    <n v="43"/>
    <x v="1"/>
    <x v="0"/>
    <n v="177"/>
    <x v="1"/>
    <n v="8"/>
    <n v="3"/>
    <s v="Life Sciences"/>
    <n v="1"/>
    <n v="920"/>
    <n v="1"/>
    <x v="0"/>
    <n v="55"/>
    <x v="0"/>
    <n v="2"/>
    <x v="3"/>
    <n v="2"/>
    <x v="2"/>
    <n v="4765"/>
    <n v="23814"/>
    <n v="4"/>
    <s v="Y"/>
    <s v="No"/>
    <n v="21"/>
    <x v="1"/>
    <n v="3"/>
    <n v="80"/>
    <x v="1"/>
    <n v="4"/>
    <x v="2"/>
    <n v="4"/>
    <n v="1"/>
    <n v="0"/>
    <n v="0"/>
    <n v="0"/>
  </r>
  <r>
    <n v="20"/>
    <x v="0"/>
    <x v="0"/>
    <n v="500"/>
    <x v="0"/>
    <n v="2"/>
    <n v="3"/>
    <s v="Medical"/>
    <n v="1"/>
    <n v="922"/>
    <n v="3"/>
    <x v="0"/>
    <n v="49"/>
    <x v="1"/>
    <n v="1"/>
    <x v="6"/>
    <n v="3"/>
    <x v="0"/>
    <n v="2044"/>
    <n v="22052"/>
    <n v="1"/>
    <s v="Y"/>
    <s v="No"/>
    <n v="13"/>
    <x v="0"/>
    <n v="4"/>
    <n v="80"/>
    <x v="0"/>
    <n v="2"/>
    <x v="1"/>
    <n v="2"/>
    <n v="2"/>
    <n v="2"/>
    <n v="0"/>
    <n v="2"/>
  </r>
  <r>
    <n v="21"/>
    <x v="0"/>
    <x v="0"/>
    <n v="1427"/>
    <x v="1"/>
    <n v="18"/>
    <n v="1"/>
    <s v="Other"/>
    <n v="1"/>
    <n v="923"/>
    <n v="4"/>
    <x v="0"/>
    <n v="65"/>
    <x v="0"/>
    <n v="1"/>
    <x v="1"/>
    <n v="4"/>
    <x v="0"/>
    <n v="2693"/>
    <n v="8870"/>
    <n v="1"/>
    <s v="Y"/>
    <s v="No"/>
    <n v="19"/>
    <x v="0"/>
    <n v="1"/>
    <n v="80"/>
    <x v="0"/>
    <n v="1"/>
    <x v="1"/>
    <n v="2"/>
    <n v="1"/>
    <n v="0"/>
    <n v="0"/>
    <n v="0"/>
  </r>
  <r>
    <n v="36"/>
    <x v="1"/>
    <x v="0"/>
    <n v="1425"/>
    <x v="1"/>
    <n v="14"/>
    <n v="1"/>
    <s v="Life Sciences"/>
    <n v="1"/>
    <n v="924"/>
    <n v="3"/>
    <x v="1"/>
    <n v="68"/>
    <x v="0"/>
    <n v="2"/>
    <x v="4"/>
    <n v="4"/>
    <x v="1"/>
    <n v="6586"/>
    <n v="4821"/>
    <n v="0"/>
    <s v="Y"/>
    <s v="Yes"/>
    <n v="17"/>
    <x v="0"/>
    <n v="1"/>
    <n v="80"/>
    <x v="1"/>
    <n v="17"/>
    <x v="2"/>
    <n v="2"/>
    <n v="16"/>
    <n v="8"/>
    <n v="4"/>
    <n v="11"/>
  </r>
  <r>
    <n v="47"/>
    <x v="1"/>
    <x v="0"/>
    <n v="1454"/>
    <x v="0"/>
    <n v="2"/>
    <n v="4"/>
    <s v="Life Sciences"/>
    <n v="1"/>
    <n v="925"/>
    <n v="4"/>
    <x v="0"/>
    <n v="65"/>
    <x v="1"/>
    <n v="1"/>
    <x v="6"/>
    <n v="4"/>
    <x v="0"/>
    <n v="3294"/>
    <n v="13137"/>
    <n v="1"/>
    <s v="Y"/>
    <s v="Yes"/>
    <n v="18"/>
    <x v="0"/>
    <n v="1"/>
    <n v="80"/>
    <x v="0"/>
    <n v="3"/>
    <x v="1"/>
    <n v="2"/>
    <n v="3"/>
    <n v="2"/>
    <n v="1"/>
    <n v="2"/>
  </r>
  <r>
    <n v="22"/>
    <x v="0"/>
    <x v="0"/>
    <n v="617"/>
    <x v="1"/>
    <n v="3"/>
    <n v="1"/>
    <s v="Life Sciences"/>
    <n v="1"/>
    <n v="926"/>
    <n v="2"/>
    <x v="0"/>
    <n v="34"/>
    <x v="0"/>
    <n v="2"/>
    <x v="3"/>
    <n v="3"/>
    <x v="1"/>
    <n v="4171"/>
    <n v="10022"/>
    <n v="0"/>
    <s v="Y"/>
    <s v="Yes"/>
    <n v="19"/>
    <x v="0"/>
    <n v="1"/>
    <n v="80"/>
    <x v="1"/>
    <n v="4"/>
    <x v="1"/>
    <n v="4"/>
    <n v="3"/>
    <n v="2"/>
    <n v="0"/>
    <n v="2"/>
  </r>
  <r>
    <n v="41"/>
    <x v="0"/>
    <x v="0"/>
    <n v="1085"/>
    <x v="1"/>
    <n v="2"/>
    <n v="4"/>
    <s v="Life Sciences"/>
    <n v="1"/>
    <n v="927"/>
    <n v="2"/>
    <x v="0"/>
    <n v="57"/>
    <x v="3"/>
    <n v="1"/>
    <x v="2"/>
    <n v="4"/>
    <x v="2"/>
    <n v="2778"/>
    <n v="17725"/>
    <n v="4"/>
    <s v="Y"/>
    <s v="Yes"/>
    <n v="13"/>
    <x v="0"/>
    <n v="3"/>
    <n v="80"/>
    <x v="1"/>
    <n v="10"/>
    <x v="4"/>
    <n v="2"/>
    <n v="7"/>
    <n v="7"/>
    <n v="1"/>
    <n v="0"/>
  </r>
  <r>
    <n v="28"/>
    <x v="1"/>
    <x v="0"/>
    <n v="995"/>
    <x v="1"/>
    <n v="9"/>
    <n v="3"/>
    <s v="Medical"/>
    <n v="1"/>
    <n v="930"/>
    <n v="3"/>
    <x v="0"/>
    <n v="77"/>
    <x v="0"/>
    <n v="1"/>
    <x v="1"/>
    <n v="3"/>
    <x v="2"/>
    <n v="2377"/>
    <n v="9834"/>
    <n v="5"/>
    <s v="Y"/>
    <s v="No"/>
    <n v="18"/>
    <x v="0"/>
    <n v="2"/>
    <n v="80"/>
    <x v="1"/>
    <n v="6"/>
    <x v="2"/>
    <n v="3"/>
    <n v="2"/>
    <n v="2"/>
    <n v="2"/>
    <n v="2"/>
  </r>
  <r>
    <n v="39"/>
    <x v="0"/>
    <x v="0"/>
    <n v="1122"/>
    <x v="1"/>
    <n v="6"/>
    <n v="3"/>
    <s v="Medical"/>
    <n v="1"/>
    <n v="932"/>
    <n v="4"/>
    <x v="1"/>
    <n v="70"/>
    <x v="0"/>
    <n v="1"/>
    <x v="2"/>
    <n v="1"/>
    <x v="1"/>
    <n v="2404"/>
    <n v="4303"/>
    <n v="7"/>
    <s v="Y"/>
    <s v="Yes"/>
    <n v="21"/>
    <x v="1"/>
    <n v="4"/>
    <n v="80"/>
    <x v="0"/>
    <n v="8"/>
    <x v="2"/>
    <n v="1"/>
    <n v="2"/>
    <n v="2"/>
    <n v="2"/>
    <n v="2"/>
  </r>
  <r>
    <n v="27"/>
    <x v="1"/>
    <x v="0"/>
    <n v="618"/>
    <x v="1"/>
    <n v="4"/>
    <n v="3"/>
    <s v="Life Sciences"/>
    <n v="1"/>
    <n v="933"/>
    <n v="2"/>
    <x v="0"/>
    <n v="76"/>
    <x v="0"/>
    <n v="1"/>
    <x v="1"/>
    <n v="3"/>
    <x v="0"/>
    <n v="2318"/>
    <n v="17808"/>
    <n v="1"/>
    <s v="Y"/>
    <s v="No"/>
    <n v="19"/>
    <x v="0"/>
    <n v="3"/>
    <n v="80"/>
    <x v="0"/>
    <n v="1"/>
    <x v="2"/>
    <n v="3"/>
    <n v="1"/>
    <n v="1"/>
    <n v="0"/>
    <n v="0"/>
  </r>
  <r>
    <n v="34"/>
    <x v="1"/>
    <x v="0"/>
    <n v="546"/>
    <x v="1"/>
    <n v="10"/>
    <n v="3"/>
    <s v="Life Sciences"/>
    <n v="1"/>
    <n v="934"/>
    <n v="2"/>
    <x v="1"/>
    <n v="83"/>
    <x v="0"/>
    <n v="1"/>
    <x v="2"/>
    <n v="2"/>
    <x v="2"/>
    <n v="2008"/>
    <n v="6896"/>
    <n v="1"/>
    <s v="Y"/>
    <s v="No"/>
    <n v="14"/>
    <x v="0"/>
    <n v="2"/>
    <n v="80"/>
    <x v="3"/>
    <n v="1"/>
    <x v="1"/>
    <n v="3"/>
    <n v="1"/>
    <n v="0"/>
    <n v="1"/>
    <n v="0"/>
  </r>
  <r>
    <n v="42"/>
    <x v="1"/>
    <x v="0"/>
    <n v="462"/>
    <x v="0"/>
    <n v="14"/>
    <n v="2"/>
    <s v="Medical"/>
    <n v="1"/>
    <n v="936"/>
    <n v="3"/>
    <x v="0"/>
    <n v="68"/>
    <x v="1"/>
    <n v="2"/>
    <x v="0"/>
    <n v="3"/>
    <x v="0"/>
    <n v="6244"/>
    <n v="7824"/>
    <n v="7"/>
    <s v="Y"/>
    <s v="No"/>
    <n v="17"/>
    <x v="0"/>
    <n v="1"/>
    <n v="80"/>
    <x v="0"/>
    <n v="10"/>
    <x v="6"/>
    <n v="3"/>
    <n v="5"/>
    <n v="4"/>
    <n v="0"/>
    <n v="3"/>
  </r>
  <r>
    <n v="33"/>
    <x v="1"/>
    <x v="0"/>
    <n v="1198"/>
    <x v="1"/>
    <n v="1"/>
    <n v="4"/>
    <s v="Other"/>
    <n v="1"/>
    <n v="939"/>
    <n v="3"/>
    <x v="1"/>
    <n v="100"/>
    <x v="1"/>
    <n v="1"/>
    <x v="1"/>
    <n v="1"/>
    <x v="0"/>
    <n v="2799"/>
    <n v="3339"/>
    <n v="3"/>
    <s v="Y"/>
    <s v="Yes"/>
    <n v="11"/>
    <x v="0"/>
    <n v="2"/>
    <n v="80"/>
    <x v="0"/>
    <n v="6"/>
    <x v="4"/>
    <n v="3"/>
    <n v="3"/>
    <n v="2"/>
    <n v="0"/>
    <n v="2"/>
  </r>
  <r>
    <n v="58"/>
    <x v="1"/>
    <x v="0"/>
    <n v="1272"/>
    <x v="1"/>
    <n v="5"/>
    <n v="3"/>
    <s v="Technical Degree"/>
    <n v="1"/>
    <n v="940"/>
    <n v="3"/>
    <x v="0"/>
    <n v="37"/>
    <x v="1"/>
    <n v="3"/>
    <x v="4"/>
    <n v="2"/>
    <x v="2"/>
    <n v="10552"/>
    <n v="9255"/>
    <n v="2"/>
    <s v="Y"/>
    <s v="Yes"/>
    <n v="13"/>
    <x v="0"/>
    <n v="4"/>
    <n v="80"/>
    <x v="1"/>
    <n v="24"/>
    <x v="1"/>
    <n v="3"/>
    <n v="6"/>
    <n v="0"/>
    <n v="0"/>
    <n v="4"/>
  </r>
  <r>
    <n v="31"/>
    <x v="1"/>
    <x v="0"/>
    <n v="154"/>
    <x v="0"/>
    <n v="7"/>
    <n v="4"/>
    <s v="Life Sciences"/>
    <n v="1"/>
    <n v="941"/>
    <n v="2"/>
    <x v="1"/>
    <n v="41"/>
    <x v="1"/>
    <n v="1"/>
    <x v="6"/>
    <n v="3"/>
    <x v="1"/>
    <n v="2329"/>
    <n v="11737"/>
    <n v="3"/>
    <s v="Y"/>
    <s v="No"/>
    <n v="15"/>
    <x v="0"/>
    <n v="2"/>
    <n v="80"/>
    <x v="0"/>
    <n v="13"/>
    <x v="2"/>
    <n v="4"/>
    <n v="7"/>
    <n v="7"/>
    <n v="5"/>
    <n v="2"/>
  </r>
  <r>
    <n v="35"/>
    <x v="1"/>
    <x v="0"/>
    <n v="1137"/>
    <x v="1"/>
    <n v="21"/>
    <n v="1"/>
    <s v="Life Sciences"/>
    <n v="1"/>
    <n v="942"/>
    <n v="4"/>
    <x v="0"/>
    <n v="51"/>
    <x v="0"/>
    <n v="2"/>
    <x v="4"/>
    <n v="4"/>
    <x v="1"/>
    <n v="4014"/>
    <n v="19170"/>
    <n v="1"/>
    <s v="Y"/>
    <s v="Yes"/>
    <n v="25"/>
    <x v="1"/>
    <n v="4"/>
    <n v="80"/>
    <x v="1"/>
    <n v="10"/>
    <x v="2"/>
    <n v="1"/>
    <n v="10"/>
    <n v="6"/>
    <n v="0"/>
    <n v="7"/>
  </r>
  <r>
    <n v="49"/>
    <x v="1"/>
    <x v="0"/>
    <n v="527"/>
    <x v="1"/>
    <n v="8"/>
    <n v="2"/>
    <s v="Other"/>
    <n v="1"/>
    <n v="944"/>
    <n v="1"/>
    <x v="0"/>
    <n v="51"/>
    <x v="0"/>
    <n v="3"/>
    <x v="2"/>
    <n v="2"/>
    <x v="1"/>
    <n v="7403"/>
    <n v="22477"/>
    <n v="4"/>
    <s v="Y"/>
    <s v="No"/>
    <n v="11"/>
    <x v="0"/>
    <n v="3"/>
    <n v="80"/>
    <x v="1"/>
    <n v="29"/>
    <x v="1"/>
    <n v="2"/>
    <n v="26"/>
    <n v="9"/>
    <n v="1"/>
    <n v="7"/>
  </r>
  <r>
    <n v="48"/>
    <x v="1"/>
    <x v="0"/>
    <n v="1469"/>
    <x v="1"/>
    <n v="20"/>
    <n v="4"/>
    <s v="Medical"/>
    <n v="1"/>
    <n v="945"/>
    <n v="4"/>
    <x v="1"/>
    <n v="51"/>
    <x v="0"/>
    <n v="1"/>
    <x v="1"/>
    <n v="3"/>
    <x v="1"/>
    <n v="2259"/>
    <n v="5543"/>
    <n v="4"/>
    <s v="Y"/>
    <s v="No"/>
    <n v="17"/>
    <x v="0"/>
    <n v="1"/>
    <n v="80"/>
    <x v="3"/>
    <n v="13"/>
    <x v="2"/>
    <n v="2"/>
    <n v="0"/>
    <n v="0"/>
    <n v="0"/>
    <n v="0"/>
  </r>
  <r>
    <n v="31"/>
    <x v="1"/>
    <x v="2"/>
    <n v="1188"/>
    <x v="0"/>
    <n v="20"/>
    <n v="2"/>
    <s v="Marketing"/>
    <n v="1"/>
    <n v="947"/>
    <n v="4"/>
    <x v="0"/>
    <n v="45"/>
    <x v="0"/>
    <n v="2"/>
    <x v="0"/>
    <n v="3"/>
    <x v="1"/>
    <n v="6932"/>
    <n v="24406"/>
    <n v="1"/>
    <s v="Y"/>
    <s v="No"/>
    <n v="13"/>
    <x v="0"/>
    <n v="4"/>
    <n v="80"/>
    <x v="1"/>
    <n v="9"/>
    <x v="2"/>
    <n v="2"/>
    <n v="9"/>
    <n v="8"/>
    <n v="0"/>
    <n v="0"/>
  </r>
  <r>
    <n v="36"/>
    <x v="1"/>
    <x v="0"/>
    <n v="188"/>
    <x v="1"/>
    <n v="7"/>
    <n v="4"/>
    <s v="Other"/>
    <n v="1"/>
    <n v="949"/>
    <n v="2"/>
    <x v="1"/>
    <n v="65"/>
    <x v="0"/>
    <n v="1"/>
    <x v="1"/>
    <n v="4"/>
    <x v="0"/>
    <n v="4678"/>
    <n v="23293"/>
    <n v="2"/>
    <s v="Y"/>
    <s v="No"/>
    <n v="18"/>
    <x v="0"/>
    <n v="3"/>
    <n v="80"/>
    <x v="0"/>
    <n v="8"/>
    <x v="6"/>
    <n v="3"/>
    <n v="6"/>
    <n v="2"/>
    <n v="0"/>
    <n v="1"/>
  </r>
  <r>
    <n v="38"/>
    <x v="1"/>
    <x v="0"/>
    <n v="1333"/>
    <x v="1"/>
    <n v="1"/>
    <n v="3"/>
    <s v="Technical Degree"/>
    <n v="1"/>
    <n v="950"/>
    <n v="4"/>
    <x v="0"/>
    <n v="80"/>
    <x v="0"/>
    <n v="3"/>
    <x v="7"/>
    <n v="1"/>
    <x v="1"/>
    <n v="13582"/>
    <n v="16292"/>
    <n v="1"/>
    <s v="Y"/>
    <s v="No"/>
    <n v="13"/>
    <x v="0"/>
    <n v="2"/>
    <n v="80"/>
    <x v="1"/>
    <n v="15"/>
    <x v="1"/>
    <n v="3"/>
    <n v="15"/>
    <n v="12"/>
    <n v="5"/>
    <n v="11"/>
  </r>
  <r>
    <n v="32"/>
    <x v="1"/>
    <x v="2"/>
    <n v="1184"/>
    <x v="1"/>
    <n v="1"/>
    <n v="3"/>
    <s v="Life Sciences"/>
    <n v="1"/>
    <n v="951"/>
    <n v="3"/>
    <x v="0"/>
    <n v="70"/>
    <x v="1"/>
    <n v="1"/>
    <x v="2"/>
    <n v="2"/>
    <x v="1"/>
    <n v="2332"/>
    <n v="3974"/>
    <n v="6"/>
    <s v="Y"/>
    <s v="No"/>
    <n v="20"/>
    <x v="1"/>
    <n v="3"/>
    <n v="80"/>
    <x v="0"/>
    <n v="5"/>
    <x v="1"/>
    <n v="3"/>
    <n v="3"/>
    <n v="0"/>
    <n v="0"/>
    <n v="2"/>
  </r>
  <r>
    <n v="25"/>
    <x v="0"/>
    <x v="0"/>
    <n v="867"/>
    <x v="0"/>
    <n v="19"/>
    <n v="2"/>
    <s v="Marketing"/>
    <n v="1"/>
    <n v="952"/>
    <n v="3"/>
    <x v="1"/>
    <n v="36"/>
    <x v="1"/>
    <n v="1"/>
    <x v="6"/>
    <n v="2"/>
    <x v="1"/>
    <n v="2413"/>
    <n v="18798"/>
    <n v="1"/>
    <s v="Y"/>
    <s v="Yes"/>
    <n v="18"/>
    <x v="0"/>
    <n v="3"/>
    <n v="80"/>
    <x v="2"/>
    <n v="1"/>
    <x v="2"/>
    <n v="3"/>
    <n v="1"/>
    <n v="0"/>
    <n v="0"/>
    <n v="0"/>
  </r>
  <r>
    <n v="40"/>
    <x v="1"/>
    <x v="0"/>
    <n v="658"/>
    <x v="0"/>
    <n v="10"/>
    <n v="4"/>
    <s v="Marketing"/>
    <n v="1"/>
    <n v="954"/>
    <n v="1"/>
    <x v="1"/>
    <n v="67"/>
    <x v="1"/>
    <n v="3"/>
    <x v="0"/>
    <n v="2"/>
    <x v="2"/>
    <n v="9705"/>
    <n v="20652"/>
    <n v="2"/>
    <s v="Y"/>
    <s v="No"/>
    <n v="12"/>
    <x v="0"/>
    <n v="2"/>
    <n v="80"/>
    <x v="1"/>
    <n v="11"/>
    <x v="2"/>
    <n v="2"/>
    <n v="1"/>
    <n v="0"/>
    <n v="0"/>
    <n v="0"/>
  </r>
  <r>
    <n v="26"/>
    <x v="1"/>
    <x v="1"/>
    <n v="1283"/>
    <x v="0"/>
    <n v="1"/>
    <n v="3"/>
    <s v="Medical"/>
    <n v="1"/>
    <n v="956"/>
    <n v="3"/>
    <x v="1"/>
    <n v="52"/>
    <x v="1"/>
    <n v="2"/>
    <x v="0"/>
    <n v="1"/>
    <x v="0"/>
    <n v="4294"/>
    <n v="11148"/>
    <n v="1"/>
    <s v="Y"/>
    <s v="No"/>
    <n v="12"/>
    <x v="0"/>
    <n v="2"/>
    <n v="80"/>
    <x v="0"/>
    <n v="7"/>
    <x v="2"/>
    <n v="3"/>
    <n v="7"/>
    <n v="7"/>
    <n v="0"/>
    <n v="7"/>
  </r>
  <r>
    <n v="41"/>
    <x v="1"/>
    <x v="0"/>
    <n v="263"/>
    <x v="1"/>
    <n v="6"/>
    <n v="3"/>
    <s v="Medical"/>
    <n v="1"/>
    <n v="957"/>
    <n v="4"/>
    <x v="1"/>
    <n v="59"/>
    <x v="0"/>
    <n v="1"/>
    <x v="2"/>
    <n v="1"/>
    <x v="0"/>
    <n v="4721"/>
    <n v="3119"/>
    <n v="2"/>
    <s v="Y"/>
    <s v="Yes"/>
    <n v="13"/>
    <x v="0"/>
    <n v="3"/>
    <n v="80"/>
    <x v="0"/>
    <n v="20"/>
    <x v="1"/>
    <n v="3"/>
    <n v="18"/>
    <n v="13"/>
    <n v="2"/>
    <n v="17"/>
  </r>
  <r>
    <n v="36"/>
    <x v="1"/>
    <x v="0"/>
    <n v="938"/>
    <x v="1"/>
    <n v="2"/>
    <n v="4"/>
    <s v="Medical"/>
    <n v="1"/>
    <n v="958"/>
    <n v="3"/>
    <x v="1"/>
    <n v="79"/>
    <x v="0"/>
    <n v="1"/>
    <x v="2"/>
    <n v="3"/>
    <x v="0"/>
    <n v="2519"/>
    <n v="12287"/>
    <n v="4"/>
    <s v="Y"/>
    <s v="No"/>
    <n v="21"/>
    <x v="1"/>
    <n v="3"/>
    <n v="80"/>
    <x v="0"/>
    <n v="16"/>
    <x v="6"/>
    <n v="3"/>
    <n v="11"/>
    <n v="8"/>
    <n v="3"/>
    <n v="9"/>
  </r>
  <r>
    <n v="19"/>
    <x v="0"/>
    <x v="0"/>
    <n v="419"/>
    <x v="0"/>
    <n v="21"/>
    <n v="3"/>
    <s v="Other"/>
    <n v="1"/>
    <n v="959"/>
    <n v="4"/>
    <x v="1"/>
    <n v="37"/>
    <x v="1"/>
    <n v="1"/>
    <x v="6"/>
    <n v="2"/>
    <x v="0"/>
    <n v="2121"/>
    <n v="9947"/>
    <n v="1"/>
    <s v="Y"/>
    <s v="Yes"/>
    <n v="13"/>
    <x v="0"/>
    <n v="2"/>
    <n v="80"/>
    <x v="0"/>
    <n v="1"/>
    <x v="1"/>
    <n v="4"/>
    <n v="1"/>
    <n v="0"/>
    <n v="0"/>
    <n v="0"/>
  </r>
  <r>
    <n v="20"/>
    <x v="0"/>
    <x v="0"/>
    <n v="129"/>
    <x v="1"/>
    <n v="4"/>
    <n v="3"/>
    <s v="Technical Degree"/>
    <n v="1"/>
    <n v="960"/>
    <n v="1"/>
    <x v="1"/>
    <n v="84"/>
    <x v="0"/>
    <n v="1"/>
    <x v="2"/>
    <n v="1"/>
    <x v="0"/>
    <n v="2973"/>
    <n v="13008"/>
    <n v="1"/>
    <s v="Y"/>
    <s v="No"/>
    <n v="19"/>
    <x v="0"/>
    <n v="2"/>
    <n v="80"/>
    <x v="0"/>
    <n v="1"/>
    <x v="2"/>
    <n v="3"/>
    <n v="1"/>
    <n v="0"/>
    <n v="0"/>
    <n v="0"/>
  </r>
  <r>
    <n v="31"/>
    <x v="1"/>
    <x v="0"/>
    <n v="616"/>
    <x v="1"/>
    <n v="12"/>
    <n v="3"/>
    <s v="Medical"/>
    <n v="1"/>
    <n v="961"/>
    <n v="4"/>
    <x v="0"/>
    <n v="41"/>
    <x v="0"/>
    <n v="2"/>
    <x v="4"/>
    <n v="4"/>
    <x v="1"/>
    <n v="5855"/>
    <n v="17369"/>
    <n v="0"/>
    <s v="Y"/>
    <s v="Yes"/>
    <n v="11"/>
    <x v="0"/>
    <n v="3"/>
    <n v="80"/>
    <x v="3"/>
    <n v="10"/>
    <x v="2"/>
    <n v="1"/>
    <n v="9"/>
    <n v="7"/>
    <n v="8"/>
    <n v="5"/>
  </r>
  <r>
    <n v="40"/>
    <x v="1"/>
    <x v="1"/>
    <n v="1469"/>
    <x v="1"/>
    <n v="9"/>
    <n v="4"/>
    <s v="Medical"/>
    <n v="1"/>
    <n v="964"/>
    <n v="4"/>
    <x v="1"/>
    <n v="35"/>
    <x v="0"/>
    <n v="1"/>
    <x v="1"/>
    <n v="2"/>
    <x v="2"/>
    <n v="3617"/>
    <n v="25063"/>
    <n v="8"/>
    <s v="Y"/>
    <s v="Yes"/>
    <n v="14"/>
    <x v="0"/>
    <n v="4"/>
    <n v="80"/>
    <x v="1"/>
    <n v="3"/>
    <x v="2"/>
    <n v="3"/>
    <n v="1"/>
    <n v="1"/>
    <n v="0"/>
    <n v="0"/>
  </r>
  <r>
    <n v="32"/>
    <x v="1"/>
    <x v="0"/>
    <n v="498"/>
    <x v="1"/>
    <n v="3"/>
    <n v="4"/>
    <s v="Medical"/>
    <n v="1"/>
    <n v="966"/>
    <n v="3"/>
    <x v="0"/>
    <n v="93"/>
    <x v="0"/>
    <n v="2"/>
    <x v="3"/>
    <n v="1"/>
    <x v="1"/>
    <n v="6725"/>
    <n v="13554"/>
    <n v="1"/>
    <s v="Y"/>
    <s v="No"/>
    <n v="12"/>
    <x v="0"/>
    <n v="3"/>
    <n v="80"/>
    <x v="1"/>
    <n v="8"/>
    <x v="2"/>
    <n v="4"/>
    <n v="8"/>
    <n v="7"/>
    <n v="6"/>
    <n v="3"/>
  </r>
  <r>
    <n v="36"/>
    <x v="0"/>
    <x v="0"/>
    <n v="530"/>
    <x v="0"/>
    <n v="3"/>
    <n v="1"/>
    <s v="Life Sciences"/>
    <n v="1"/>
    <n v="967"/>
    <n v="3"/>
    <x v="1"/>
    <n v="51"/>
    <x v="1"/>
    <n v="3"/>
    <x v="0"/>
    <n v="4"/>
    <x v="1"/>
    <n v="10325"/>
    <n v="5518"/>
    <n v="1"/>
    <s v="Y"/>
    <s v="Yes"/>
    <n v="11"/>
    <x v="0"/>
    <n v="1"/>
    <n v="80"/>
    <x v="1"/>
    <n v="16"/>
    <x v="6"/>
    <n v="3"/>
    <n v="16"/>
    <n v="7"/>
    <n v="3"/>
    <n v="7"/>
  </r>
  <r>
    <n v="33"/>
    <x v="1"/>
    <x v="0"/>
    <n v="1069"/>
    <x v="1"/>
    <n v="1"/>
    <n v="3"/>
    <s v="Life Sciences"/>
    <n v="1"/>
    <n v="969"/>
    <n v="2"/>
    <x v="0"/>
    <n v="42"/>
    <x v="1"/>
    <n v="2"/>
    <x v="4"/>
    <n v="4"/>
    <x v="0"/>
    <n v="6949"/>
    <n v="12291"/>
    <n v="0"/>
    <s v="Y"/>
    <s v="No"/>
    <n v="14"/>
    <x v="0"/>
    <n v="1"/>
    <n v="80"/>
    <x v="0"/>
    <n v="6"/>
    <x v="1"/>
    <n v="3"/>
    <n v="5"/>
    <n v="0"/>
    <n v="1"/>
    <n v="4"/>
  </r>
  <r>
    <n v="37"/>
    <x v="0"/>
    <x v="0"/>
    <n v="625"/>
    <x v="0"/>
    <n v="1"/>
    <n v="4"/>
    <s v="Life Sciences"/>
    <n v="1"/>
    <n v="970"/>
    <n v="1"/>
    <x v="1"/>
    <n v="46"/>
    <x v="1"/>
    <n v="3"/>
    <x v="0"/>
    <n v="3"/>
    <x v="1"/>
    <n v="10609"/>
    <n v="14922"/>
    <n v="5"/>
    <s v="Y"/>
    <s v="No"/>
    <n v="11"/>
    <x v="0"/>
    <n v="3"/>
    <n v="80"/>
    <x v="0"/>
    <n v="17"/>
    <x v="2"/>
    <n v="1"/>
    <n v="14"/>
    <n v="1"/>
    <n v="11"/>
    <n v="7"/>
  </r>
  <r>
    <n v="45"/>
    <x v="1"/>
    <x v="2"/>
    <n v="805"/>
    <x v="1"/>
    <n v="4"/>
    <n v="2"/>
    <s v="Life Sciences"/>
    <n v="1"/>
    <n v="972"/>
    <n v="3"/>
    <x v="1"/>
    <n v="57"/>
    <x v="0"/>
    <n v="2"/>
    <x v="2"/>
    <n v="2"/>
    <x v="1"/>
    <n v="4447"/>
    <n v="23163"/>
    <n v="1"/>
    <s v="Y"/>
    <s v="No"/>
    <n v="12"/>
    <x v="0"/>
    <n v="2"/>
    <n v="80"/>
    <x v="0"/>
    <n v="9"/>
    <x v="3"/>
    <n v="2"/>
    <n v="9"/>
    <n v="7"/>
    <n v="0"/>
    <n v="8"/>
  </r>
  <r>
    <n v="29"/>
    <x v="1"/>
    <x v="1"/>
    <n v="1404"/>
    <x v="0"/>
    <n v="20"/>
    <n v="3"/>
    <s v="Technical Degree"/>
    <n v="1"/>
    <n v="974"/>
    <n v="3"/>
    <x v="0"/>
    <n v="84"/>
    <x v="0"/>
    <n v="1"/>
    <x v="6"/>
    <n v="4"/>
    <x v="1"/>
    <n v="2157"/>
    <n v="18203"/>
    <n v="1"/>
    <s v="Y"/>
    <s v="No"/>
    <n v="15"/>
    <x v="0"/>
    <n v="2"/>
    <n v="80"/>
    <x v="1"/>
    <n v="3"/>
    <x v="3"/>
    <n v="3"/>
    <n v="3"/>
    <n v="1"/>
    <n v="0"/>
    <n v="2"/>
  </r>
  <r>
    <n v="35"/>
    <x v="1"/>
    <x v="0"/>
    <n v="1219"/>
    <x v="0"/>
    <n v="18"/>
    <n v="3"/>
    <s v="Medical"/>
    <n v="1"/>
    <n v="975"/>
    <n v="3"/>
    <x v="0"/>
    <n v="86"/>
    <x v="0"/>
    <n v="2"/>
    <x v="0"/>
    <n v="3"/>
    <x v="1"/>
    <n v="4601"/>
    <n v="6179"/>
    <n v="1"/>
    <s v="Y"/>
    <s v="No"/>
    <n v="16"/>
    <x v="0"/>
    <n v="2"/>
    <n v="80"/>
    <x v="0"/>
    <n v="5"/>
    <x v="1"/>
    <n v="3"/>
    <n v="5"/>
    <n v="2"/>
    <n v="1"/>
    <n v="0"/>
  </r>
  <r>
    <n v="52"/>
    <x v="1"/>
    <x v="0"/>
    <n v="1053"/>
    <x v="1"/>
    <n v="1"/>
    <n v="2"/>
    <s v="Life Sciences"/>
    <n v="1"/>
    <n v="976"/>
    <n v="4"/>
    <x v="1"/>
    <n v="70"/>
    <x v="0"/>
    <n v="4"/>
    <x v="5"/>
    <n v="4"/>
    <x v="1"/>
    <n v="17099"/>
    <n v="13829"/>
    <n v="2"/>
    <s v="Y"/>
    <s v="No"/>
    <n v="15"/>
    <x v="0"/>
    <n v="2"/>
    <n v="80"/>
    <x v="1"/>
    <n v="26"/>
    <x v="2"/>
    <n v="2"/>
    <n v="9"/>
    <n v="8"/>
    <n v="7"/>
    <n v="8"/>
  </r>
  <r>
    <n v="58"/>
    <x v="0"/>
    <x v="0"/>
    <n v="289"/>
    <x v="1"/>
    <n v="2"/>
    <n v="3"/>
    <s v="Technical Degree"/>
    <n v="1"/>
    <n v="977"/>
    <n v="4"/>
    <x v="1"/>
    <n v="51"/>
    <x v="0"/>
    <n v="1"/>
    <x v="1"/>
    <n v="3"/>
    <x v="0"/>
    <n v="2479"/>
    <n v="26227"/>
    <n v="4"/>
    <s v="Y"/>
    <s v="No"/>
    <n v="24"/>
    <x v="1"/>
    <n v="1"/>
    <n v="80"/>
    <x v="0"/>
    <n v="7"/>
    <x v="5"/>
    <n v="3"/>
    <n v="1"/>
    <n v="0"/>
    <n v="0"/>
    <n v="0"/>
  </r>
  <r>
    <n v="53"/>
    <x v="1"/>
    <x v="0"/>
    <n v="1376"/>
    <x v="0"/>
    <n v="2"/>
    <n v="2"/>
    <s v="Medical"/>
    <n v="1"/>
    <n v="981"/>
    <n v="3"/>
    <x v="1"/>
    <n v="45"/>
    <x v="0"/>
    <n v="4"/>
    <x v="5"/>
    <n v="3"/>
    <x v="2"/>
    <n v="14852"/>
    <n v="13938"/>
    <n v="6"/>
    <s v="Y"/>
    <s v="No"/>
    <n v="13"/>
    <x v="0"/>
    <n v="3"/>
    <n v="80"/>
    <x v="1"/>
    <n v="22"/>
    <x v="1"/>
    <n v="4"/>
    <n v="17"/>
    <n v="13"/>
    <n v="15"/>
    <n v="2"/>
  </r>
  <r>
    <n v="30"/>
    <x v="1"/>
    <x v="0"/>
    <n v="231"/>
    <x v="0"/>
    <n v="8"/>
    <n v="2"/>
    <s v="Other"/>
    <n v="1"/>
    <n v="982"/>
    <n v="3"/>
    <x v="1"/>
    <n v="62"/>
    <x v="0"/>
    <n v="3"/>
    <x v="0"/>
    <n v="3"/>
    <x v="2"/>
    <n v="7264"/>
    <n v="9977"/>
    <n v="5"/>
    <s v="Y"/>
    <s v="No"/>
    <n v="11"/>
    <x v="0"/>
    <n v="1"/>
    <n v="80"/>
    <x v="1"/>
    <n v="10"/>
    <x v="2"/>
    <n v="4"/>
    <n v="8"/>
    <n v="4"/>
    <n v="7"/>
    <n v="7"/>
  </r>
  <r>
    <n v="38"/>
    <x v="1"/>
    <x v="2"/>
    <n v="152"/>
    <x v="0"/>
    <n v="10"/>
    <n v="3"/>
    <s v="Technical Degree"/>
    <n v="1"/>
    <n v="983"/>
    <n v="3"/>
    <x v="0"/>
    <n v="85"/>
    <x v="0"/>
    <n v="2"/>
    <x v="0"/>
    <n v="4"/>
    <x v="0"/>
    <n v="5666"/>
    <n v="19899"/>
    <n v="1"/>
    <s v="Y"/>
    <s v="Yes"/>
    <n v="13"/>
    <x v="0"/>
    <n v="2"/>
    <n v="80"/>
    <x v="0"/>
    <n v="6"/>
    <x v="4"/>
    <n v="3"/>
    <n v="5"/>
    <n v="3"/>
    <n v="1"/>
    <n v="3"/>
  </r>
  <r>
    <n v="35"/>
    <x v="1"/>
    <x v="0"/>
    <n v="882"/>
    <x v="0"/>
    <n v="3"/>
    <n v="4"/>
    <s v="Life Sciences"/>
    <n v="1"/>
    <n v="984"/>
    <n v="4"/>
    <x v="1"/>
    <n v="92"/>
    <x v="0"/>
    <n v="3"/>
    <x v="0"/>
    <n v="4"/>
    <x v="2"/>
    <n v="7823"/>
    <n v="6812"/>
    <n v="6"/>
    <s v="Y"/>
    <s v="No"/>
    <n v="13"/>
    <x v="0"/>
    <n v="2"/>
    <n v="80"/>
    <x v="1"/>
    <n v="12"/>
    <x v="2"/>
    <n v="3"/>
    <n v="10"/>
    <n v="9"/>
    <n v="0"/>
    <n v="8"/>
  </r>
  <r>
    <n v="39"/>
    <x v="1"/>
    <x v="0"/>
    <n v="903"/>
    <x v="0"/>
    <n v="2"/>
    <n v="5"/>
    <s v="Life Sciences"/>
    <n v="1"/>
    <n v="985"/>
    <n v="1"/>
    <x v="1"/>
    <n v="41"/>
    <x v="2"/>
    <n v="3"/>
    <x v="0"/>
    <n v="3"/>
    <x v="0"/>
    <n v="7880"/>
    <n v="2560"/>
    <n v="0"/>
    <s v="Y"/>
    <s v="No"/>
    <n v="18"/>
    <x v="0"/>
    <n v="4"/>
    <n v="80"/>
    <x v="0"/>
    <n v="9"/>
    <x v="1"/>
    <n v="3"/>
    <n v="8"/>
    <n v="7"/>
    <n v="0"/>
    <n v="7"/>
  </r>
  <r>
    <n v="40"/>
    <x v="0"/>
    <x v="2"/>
    <n v="1479"/>
    <x v="0"/>
    <n v="24"/>
    <n v="3"/>
    <s v="Life Sciences"/>
    <n v="1"/>
    <n v="986"/>
    <n v="2"/>
    <x v="0"/>
    <n v="100"/>
    <x v="2"/>
    <n v="4"/>
    <x v="0"/>
    <n v="2"/>
    <x v="0"/>
    <n v="13194"/>
    <n v="17071"/>
    <n v="4"/>
    <s v="Y"/>
    <s v="Yes"/>
    <n v="16"/>
    <x v="0"/>
    <n v="4"/>
    <n v="80"/>
    <x v="0"/>
    <n v="22"/>
    <x v="2"/>
    <n v="2"/>
    <n v="1"/>
    <n v="0"/>
    <n v="0"/>
    <n v="0"/>
  </r>
  <r>
    <n v="47"/>
    <x v="1"/>
    <x v="1"/>
    <n v="1379"/>
    <x v="1"/>
    <n v="16"/>
    <n v="4"/>
    <s v="Medical"/>
    <n v="1"/>
    <n v="987"/>
    <n v="3"/>
    <x v="1"/>
    <n v="64"/>
    <x v="2"/>
    <n v="2"/>
    <x v="3"/>
    <n v="3"/>
    <x v="2"/>
    <n v="5067"/>
    <n v="6759"/>
    <n v="1"/>
    <s v="Y"/>
    <s v="Yes"/>
    <n v="19"/>
    <x v="0"/>
    <n v="3"/>
    <n v="80"/>
    <x v="0"/>
    <n v="20"/>
    <x v="1"/>
    <n v="4"/>
    <n v="19"/>
    <n v="10"/>
    <n v="2"/>
    <n v="7"/>
  </r>
  <r>
    <n v="36"/>
    <x v="1"/>
    <x v="2"/>
    <n v="1229"/>
    <x v="0"/>
    <n v="8"/>
    <n v="4"/>
    <s v="Technical Degree"/>
    <n v="1"/>
    <n v="990"/>
    <n v="1"/>
    <x v="1"/>
    <n v="84"/>
    <x v="0"/>
    <n v="2"/>
    <x v="0"/>
    <n v="4"/>
    <x v="2"/>
    <n v="5079"/>
    <n v="25952"/>
    <n v="4"/>
    <s v="Y"/>
    <s v="No"/>
    <n v="13"/>
    <x v="0"/>
    <n v="4"/>
    <n v="80"/>
    <x v="3"/>
    <n v="12"/>
    <x v="1"/>
    <n v="3"/>
    <n v="7"/>
    <n v="7"/>
    <n v="0"/>
    <n v="7"/>
  </r>
  <r>
    <n v="31"/>
    <x v="0"/>
    <x v="2"/>
    <n v="335"/>
    <x v="1"/>
    <n v="9"/>
    <n v="2"/>
    <s v="Medical"/>
    <n v="1"/>
    <n v="991"/>
    <n v="3"/>
    <x v="1"/>
    <n v="46"/>
    <x v="1"/>
    <n v="1"/>
    <x v="1"/>
    <n v="1"/>
    <x v="0"/>
    <n v="2321"/>
    <n v="10322"/>
    <n v="0"/>
    <s v="Y"/>
    <s v="Yes"/>
    <n v="22"/>
    <x v="1"/>
    <n v="1"/>
    <n v="80"/>
    <x v="0"/>
    <n v="4"/>
    <x v="0"/>
    <n v="3"/>
    <n v="3"/>
    <n v="2"/>
    <n v="1"/>
    <n v="2"/>
  </r>
  <r>
    <n v="33"/>
    <x v="1"/>
    <x v="2"/>
    <n v="722"/>
    <x v="0"/>
    <n v="17"/>
    <n v="3"/>
    <s v="Life Sciences"/>
    <n v="1"/>
    <n v="992"/>
    <n v="4"/>
    <x v="1"/>
    <n v="38"/>
    <x v="0"/>
    <n v="4"/>
    <x v="5"/>
    <n v="3"/>
    <x v="0"/>
    <n v="17444"/>
    <n v="20489"/>
    <n v="1"/>
    <s v="Y"/>
    <s v="No"/>
    <n v="11"/>
    <x v="0"/>
    <n v="4"/>
    <n v="80"/>
    <x v="0"/>
    <n v="10"/>
    <x v="2"/>
    <n v="3"/>
    <n v="10"/>
    <n v="8"/>
    <n v="6"/>
    <n v="0"/>
  </r>
  <r>
    <n v="29"/>
    <x v="0"/>
    <x v="0"/>
    <n v="906"/>
    <x v="1"/>
    <n v="10"/>
    <n v="3"/>
    <s v="Life Sciences"/>
    <n v="1"/>
    <n v="994"/>
    <n v="4"/>
    <x v="0"/>
    <n v="92"/>
    <x v="1"/>
    <n v="1"/>
    <x v="1"/>
    <n v="1"/>
    <x v="0"/>
    <n v="2404"/>
    <n v="11479"/>
    <n v="6"/>
    <s v="Y"/>
    <s v="Yes"/>
    <n v="20"/>
    <x v="1"/>
    <n v="3"/>
    <n v="80"/>
    <x v="0"/>
    <n v="3"/>
    <x v="3"/>
    <n v="3"/>
    <n v="0"/>
    <n v="0"/>
    <n v="0"/>
    <n v="0"/>
  </r>
  <r>
    <n v="33"/>
    <x v="1"/>
    <x v="0"/>
    <n v="461"/>
    <x v="1"/>
    <n v="13"/>
    <n v="1"/>
    <s v="Life Sciences"/>
    <n v="1"/>
    <n v="995"/>
    <n v="2"/>
    <x v="0"/>
    <n v="53"/>
    <x v="0"/>
    <n v="1"/>
    <x v="1"/>
    <n v="4"/>
    <x v="0"/>
    <n v="3452"/>
    <n v="17241"/>
    <n v="3"/>
    <s v="Y"/>
    <s v="No"/>
    <n v="18"/>
    <x v="0"/>
    <n v="1"/>
    <n v="80"/>
    <x v="0"/>
    <n v="5"/>
    <x v="5"/>
    <n v="3"/>
    <n v="3"/>
    <n v="2"/>
    <n v="0"/>
    <n v="2"/>
  </r>
  <r>
    <n v="45"/>
    <x v="1"/>
    <x v="0"/>
    <n v="974"/>
    <x v="1"/>
    <n v="1"/>
    <n v="4"/>
    <s v="Medical"/>
    <n v="1"/>
    <n v="996"/>
    <n v="4"/>
    <x v="0"/>
    <n v="91"/>
    <x v="0"/>
    <n v="1"/>
    <x v="2"/>
    <n v="4"/>
    <x v="2"/>
    <n v="2270"/>
    <n v="11005"/>
    <n v="3"/>
    <s v="Y"/>
    <s v="No"/>
    <n v="14"/>
    <x v="0"/>
    <n v="4"/>
    <n v="80"/>
    <x v="3"/>
    <n v="8"/>
    <x v="2"/>
    <n v="3"/>
    <n v="5"/>
    <n v="3"/>
    <n v="0"/>
    <n v="2"/>
  </r>
  <r>
    <n v="50"/>
    <x v="1"/>
    <x v="0"/>
    <n v="1126"/>
    <x v="1"/>
    <n v="1"/>
    <n v="2"/>
    <s v="Medical"/>
    <n v="1"/>
    <n v="997"/>
    <n v="4"/>
    <x v="1"/>
    <n v="66"/>
    <x v="0"/>
    <n v="4"/>
    <x v="7"/>
    <n v="4"/>
    <x v="2"/>
    <n v="17399"/>
    <n v="6615"/>
    <n v="9"/>
    <s v="Y"/>
    <s v="No"/>
    <n v="22"/>
    <x v="1"/>
    <n v="3"/>
    <n v="80"/>
    <x v="1"/>
    <n v="32"/>
    <x v="4"/>
    <n v="2"/>
    <n v="5"/>
    <n v="4"/>
    <n v="1"/>
    <n v="3"/>
  </r>
  <r>
    <n v="33"/>
    <x v="1"/>
    <x v="1"/>
    <n v="827"/>
    <x v="1"/>
    <n v="1"/>
    <n v="4"/>
    <s v="Other"/>
    <n v="1"/>
    <n v="998"/>
    <n v="3"/>
    <x v="0"/>
    <n v="84"/>
    <x v="2"/>
    <n v="2"/>
    <x v="4"/>
    <n v="2"/>
    <x v="1"/>
    <n v="5488"/>
    <n v="20161"/>
    <n v="1"/>
    <s v="Y"/>
    <s v="Yes"/>
    <n v="13"/>
    <x v="0"/>
    <n v="1"/>
    <n v="80"/>
    <x v="1"/>
    <n v="6"/>
    <x v="2"/>
    <n v="3"/>
    <n v="6"/>
    <n v="5"/>
    <n v="1"/>
    <n v="2"/>
  </r>
  <r>
    <n v="41"/>
    <x v="1"/>
    <x v="1"/>
    <n v="840"/>
    <x v="1"/>
    <n v="9"/>
    <n v="3"/>
    <s v="Medical"/>
    <n v="1"/>
    <n v="999"/>
    <n v="1"/>
    <x v="1"/>
    <n v="64"/>
    <x v="0"/>
    <n v="5"/>
    <x v="7"/>
    <n v="3"/>
    <x v="2"/>
    <n v="19419"/>
    <n v="3735"/>
    <n v="2"/>
    <s v="Y"/>
    <s v="No"/>
    <n v="17"/>
    <x v="0"/>
    <n v="2"/>
    <n v="80"/>
    <x v="1"/>
    <n v="21"/>
    <x v="2"/>
    <n v="4"/>
    <n v="18"/>
    <n v="16"/>
    <n v="0"/>
    <n v="11"/>
  </r>
  <r>
    <n v="27"/>
    <x v="1"/>
    <x v="0"/>
    <n v="1134"/>
    <x v="1"/>
    <n v="16"/>
    <n v="4"/>
    <s v="Technical Degree"/>
    <n v="1"/>
    <n v="1001"/>
    <n v="3"/>
    <x v="0"/>
    <n v="37"/>
    <x v="0"/>
    <n v="1"/>
    <x v="2"/>
    <n v="2"/>
    <x v="1"/>
    <n v="2811"/>
    <n v="12086"/>
    <n v="9"/>
    <s v="Y"/>
    <s v="No"/>
    <n v="14"/>
    <x v="0"/>
    <n v="2"/>
    <n v="80"/>
    <x v="1"/>
    <n v="4"/>
    <x v="2"/>
    <n v="3"/>
    <n v="2"/>
    <n v="2"/>
    <n v="2"/>
    <n v="2"/>
  </r>
  <r>
    <n v="45"/>
    <x v="1"/>
    <x v="2"/>
    <n v="248"/>
    <x v="1"/>
    <n v="23"/>
    <n v="2"/>
    <s v="Life Sciences"/>
    <n v="1"/>
    <n v="1002"/>
    <n v="4"/>
    <x v="1"/>
    <n v="42"/>
    <x v="0"/>
    <n v="2"/>
    <x v="2"/>
    <n v="1"/>
    <x v="1"/>
    <n v="3633"/>
    <n v="14039"/>
    <n v="1"/>
    <s v="Y"/>
    <s v="Yes"/>
    <n v="15"/>
    <x v="0"/>
    <n v="3"/>
    <n v="80"/>
    <x v="1"/>
    <n v="9"/>
    <x v="2"/>
    <n v="3"/>
    <n v="9"/>
    <n v="8"/>
    <n v="0"/>
    <n v="8"/>
  </r>
  <r>
    <n v="47"/>
    <x v="1"/>
    <x v="0"/>
    <n v="955"/>
    <x v="0"/>
    <n v="4"/>
    <n v="2"/>
    <s v="Life Sciences"/>
    <n v="1"/>
    <n v="1003"/>
    <n v="4"/>
    <x v="0"/>
    <n v="83"/>
    <x v="0"/>
    <n v="2"/>
    <x v="0"/>
    <n v="4"/>
    <x v="0"/>
    <n v="4163"/>
    <n v="8571"/>
    <n v="1"/>
    <s v="Y"/>
    <s v="Yes"/>
    <n v="17"/>
    <x v="0"/>
    <n v="3"/>
    <n v="80"/>
    <x v="0"/>
    <n v="9"/>
    <x v="0"/>
    <n v="3"/>
    <n v="9"/>
    <n v="0"/>
    <n v="0"/>
    <n v="7"/>
  </r>
  <r>
    <n v="30"/>
    <x v="0"/>
    <x v="0"/>
    <n v="138"/>
    <x v="1"/>
    <n v="22"/>
    <n v="3"/>
    <s v="Life Sciences"/>
    <n v="1"/>
    <n v="1004"/>
    <n v="1"/>
    <x v="0"/>
    <n v="48"/>
    <x v="0"/>
    <n v="1"/>
    <x v="1"/>
    <n v="3"/>
    <x v="1"/>
    <n v="2132"/>
    <n v="11539"/>
    <n v="4"/>
    <s v="Y"/>
    <s v="Yes"/>
    <n v="11"/>
    <x v="0"/>
    <n v="2"/>
    <n v="80"/>
    <x v="0"/>
    <n v="7"/>
    <x v="2"/>
    <n v="3"/>
    <n v="5"/>
    <n v="2"/>
    <n v="0"/>
    <n v="1"/>
  </r>
  <r>
    <n v="50"/>
    <x v="1"/>
    <x v="0"/>
    <n v="939"/>
    <x v="1"/>
    <n v="24"/>
    <n v="3"/>
    <s v="Life Sciences"/>
    <n v="1"/>
    <n v="1005"/>
    <n v="4"/>
    <x v="1"/>
    <n v="95"/>
    <x v="0"/>
    <n v="4"/>
    <x v="3"/>
    <n v="3"/>
    <x v="1"/>
    <n v="13973"/>
    <n v="4161"/>
    <n v="3"/>
    <s v="Y"/>
    <s v="Yes"/>
    <n v="18"/>
    <x v="0"/>
    <n v="4"/>
    <n v="80"/>
    <x v="1"/>
    <n v="22"/>
    <x v="2"/>
    <n v="3"/>
    <n v="12"/>
    <n v="11"/>
    <n v="1"/>
    <n v="5"/>
  </r>
  <r>
    <n v="38"/>
    <x v="1"/>
    <x v="1"/>
    <n v="1391"/>
    <x v="1"/>
    <n v="10"/>
    <n v="1"/>
    <s v="Medical"/>
    <n v="1"/>
    <n v="1006"/>
    <n v="3"/>
    <x v="1"/>
    <n v="66"/>
    <x v="0"/>
    <n v="1"/>
    <x v="1"/>
    <n v="3"/>
    <x v="1"/>
    <n v="2684"/>
    <n v="12127"/>
    <n v="0"/>
    <s v="Y"/>
    <s v="No"/>
    <n v="17"/>
    <x v="0"/>
    <n v="2"/>
    <n v="80"/>
    <x v="1"/>
    <n v="3"/>
    <x v="0"/>
    <n v="2"/>
    <n v="2"/>
    <n v="1"/>
    <n v="0"/>
    <n v="2"/>
  </r>
  <r>
    <n v="46"/>
    <x v="1"/>
    <x v="0"/>
    <n v="566"/>
    <x v="1"/>
    <n v="7"/>
    <n v="2"/>
    <s v="Medical"/>
    <n v="1"/>
    <n v="1007"/>
    <n v="4"/>
    <x v="1"/>
    <n v="75"/>
    <x v="0"/>
    <n v="3"/>
    <x v="3"/>
    <n v="3"/>
    <x v="2"/>
    <n v="10845"/>
    <n v="24208"/>
    <n v="6"/>
    <s v="Y"/>
    <s v="No"/>
    <n v="13"/>
    <x v="0"/>
    <n v="2"/>
    <n v="80"/>
    <x v="1"/>
    <n v="13"/>
    <x v="1"/>
    <n v="3"/>
    <n v="8"/>
    <n v="7"/>
    <n v="0"/>
    <n v="7"/>
  </r>
  <r>
    <n v="24"/>
    <x v="1"/>
    <x v="0"/>
    <n v="1206"/>
    <x v="1"/>
    <n v="17"/>
    <n v="1"/>
    <s v="Medical"/>
    <n v="1"/>
    <n v="1009"/>
    <n v="4"/>
    <x v="0"/>
    <n v="41"/>
    <x v="1"/>
    <n v="2"/>
    <x v="3"/>
    <n v="3"/>
    <x v="2"/>
    <n v="4377"/>
    <n v="24117"/>
    <n v="1"/>
    <s v="Y"/>
    <s v="No"/>
    <n v="15"/>
    <x v="0"/>
    <n v="2"/>
    <n v="80"/>
    <x v="3"/>
    <n v="5"/>
    <x v="6"/>
    <n v="3"/>
    <n v="4"/>
    <n v="2"/>
    <n v="3"/>
    <n v="2"/>
  </r>
  <r>
    <n v="35"/>
    <x v="0"/>
    <x v="0"/>
    <n v="622"/>
    <x v="1"/>
    <n v="14"/>
    <n v="4"/>
    <s v="Other"/>
    <n v="1"/>
    <n v="1010"/>
    <n v="3"/>
    <x v="1"/>
    <n v="39"/>
    <x v="1"/>
    <n v="1"/>
    <x v="2"/>
    <n v="2"/>
    <x v="2"/>
    <n v="3743"/>
    <n v="10074"/>
    <n v="1"/>
    <s v="Y"/>
    <s v="Yes"/>
    <n v="24"/>
    <x v="1"/>
    <n v="4"/>
    <n v="80"/>
    <x v="1"/>
    <n v="5"/>
    <x v="2"/>
    <n v="1"/>
    <n v="4"/>
    <n v="2"/>
    <n v="0"/>
    <n v="2"/>
  </r>
  <r>
    <n v="31"/>
    <x v="1"/>
    <x v="1"/>
    <n v="853"/>
    <x v="1"/>
    <n v="1"/>
    <n v="1"/>
    <s v="Life Sciences"/>
    <n v="1"/>
    <n v="1011"/>
    <n v="3"/>
    <x v="0"/>
    <n v="96"/>
    <x v="0"/>
    <n v="2"/>
    <x v="3"/>
    <n v="1"/>
    <x v="1"/>
    <n v="4148"/>
    <n v="11275"/>
    <n v="1"/>
    <s v="Y"/>
    <s v="No"/>
    <n v="12"/>
    <x v="0"/>
    <n v="3"/>
    <n v="80"/>
    <x v="1"/>
    <n v="4"/>
    <x v="4"/>
    <n v="3"/>
    <n v="4"/>
    <n v="3"/>
    <n v="0"/>
    <n v="3"/>
  </r>
  <r>
    <n v="18"/>
    <x v="1"/>
    <x v="2"/>
    <n v="287"/>
    <x v="1"/>
    <n v="5"/>
    <n v="2"/>
    <s v="Life Sciences"/>
    <n v="1"/>
    <n v="1012"/>
    <n v="2"/>
    <x v="1"/>
    <n v="73"/>
    <x v="0"/>
    <n v="1"/>
    <x v="1"/>
    <n v="4"/>
    <x v="0"/>
    <n v="1051"/>
    <n v="13493"/>
    <n v="1"/>
    <s v="Y"/>
    <s v="No"/>
    <n v="15"/>
    <x v="0"/>
    <n v="4"/>
    <n v="80"/>
    <x v="0"/>
    <n v="0"/>
    <x v="2"/>
    <n v="3"/>
    <n v="0"/>
    <n v="0"/>
    <n v="0"/>
    <n v="0"/>
  </r>
  <r>
    <n v="54"/>
    <x v="1"/>
    <x v="0"/>
    <n v="1441"/>
    <x v="1"/>
    <n v="17"/>
    <n v="3"/>
    <s v="Technical Degree"/>
    <n v="1"/>
    <n v="1013"/>
    <n v="3"/>
    <x v="0"/>
    <n v="56"/>
    <x v="0"/>
    <n v="3"/>
    <x v="3"/>
    <n v="3"/>
    <x v="1"/>
    <n v="10739"/>
    <n v="13943"/>
    <n v="8"/>
    <s v="Y"/>
    <s v="No"/>
    <n v="11"/>
    <x v="0"/>
    <n v="3"/>
    <n v="80"/>
    <x v="1"/>
    <n v="22"/>
    <x v="2"/>
    <n v="3"/>
    <n v="10"/>
    <n v="7"/>
    <n v="0"/>
    <n v="8"/>
  </r>
  <r>
    <n v="35"/>
    <x v="1"/>
    <x v="0"/>
    <n v="583"/>
    <x v="1"/>
    <n v="25"/>
    <n v="4"/>
    <s v="Medical"/>
    <n v="1"/>
    <n v="1014"/>
    <n v="3"/>
    <x v="0"/>
    <n v="57"/>
    <x v="0"/>
    <n v="3"/>
    <x v="4"/>
    <n v="3"/>
    <x v="2"/>
    <n v="10388"/>
    <n v="6975"/>
    <n v="1"/>
    <s v="Y"/>
    <s v="Yes"/>
    <n v="11"/>
    <x v="0"/>
    <n v="3"/>
    <n v="80"/>
    <x v="1"/>
    <n v="16"/>
    <x v="1"/>
    <n v="2"/>
    <n v="16"/>
    <n v="10"/>
    <n v="10"/>
    <n v="1"/>
  </r>
  <r>
    <n v="30"/>
    <x v="1"/>
    <x v="0"/>
    <n v="153"/>
    <x v="1"/>
    <n v="8"/>
    <n v="2"/>
    <s v="Life Sciences"/>
    <n v="1"/>
    <n v="1015"/>
    <n v="2"/>
    <x v="0"/>
    <n v="73"/>
    <x v="2"/>
    <n v="3"/>
    <x v="7"/>
    <n v="1"/>
    <x v="1"/>
    <n v="11416"/>
    <n v="17802"/>
    <n v="0"/>
    <s v="Y"/>
    <s v="Yes"/>
    <n v="12"/>
    <x v="0"/>
    <n v="3"/>
    <n v="80"/>
    <x v="2"/>
    <n v="9"/>
    <x v="5"/>
    <n v="2"/>
    <n v="8"/>
    <n v="7"/>
    <n v="1"/>
    <n v="7"/>
  </r>
  <r>
    <n v="20"/>
    <x v="0"/>
    <x v="0"/>
    <n v="1097"/>
    <x v="1"/>
    <n v="11"/>
    <n v="3"/>
    <s v="Medical"/>
    <n v="1"/>
    <n v="1016"/>
    <n v="4"/>
    <x v="0"/>
    <n v="98"/>
    <x v="1"/>
    <n v="1"/>
    <x v="1"/>
    <n v="1"/>
    <x v="0"/>
    <n v="2600"/>
    <n v="18275"/>
    <n v="1"/>
    <s v="Y"/>
    <s v="Yes"/>
    <n v="15"/>
    <x v="0"/>
    <n v="1"/>
    <n v="80"/>
    <x v="0"/>
    <n v="1"/>
    <x v="2"/>
    <n v="3"/>
    <n v="1"/>
    <n v="0"/>
    <n v="0"/>
    <n v="0"/>
  </r>
  <r>
    <n v="30"/>
    <x v="0"/>
    <x v="1"/>
    <n v="109"/>
    <x v="1"/>
    <n v="5"/>
    <n v="3"/>
    <s v="Medical"/>
    <n v="1"/>
    <n v="1017"/>
    <n v="2"/>
    <x v="0"/>
    <n v="60"/>
    <x v="0"/>
    <n v="1"/>
    <x v="2"/>
    <n v="2"/>
    <x v="0"/>
    <n v="2422"/>
    <n v="25725"/>
    <n v="0"/>
    <s v="Y"/>
    <s v="No"/>
    <n v="17"/>
    <x v="0"/>
    <n v="1"/>
    <n v="80"/>
    <x v="0"/>
    <n v="4"/>
    <x v="1"/>
    <n v="3"/>
    <n v="3"/>
    <n v="2"/>
    <n v="1"/>
    <n v="2"/>
  </r>
  <r>
    <n v="26"/>
    <x v="1"/>
    <x v="0"/>
    <n v="1066"/>
    <x v="1"/>
    <n v="2"/>
    <n v="2"/>
    <s v="Medical"/>
    <n v="1"/>
    <n v="1018"/>
    <n v="4"/>
    <x v="1"/>
    <n v="32"/>
    <x v="2"/>
    <n v="2"/>
    <x v="3"/>
    <n v="4"/>
    <x v="1"/>
    <n v="5472"/>
    <n v="3334"/>
    <n v="1"/>
    <s v="Y"/>
    <s v="No"/>
    <n v="12"/>
    <x v="0"/>
    <n v="2"/>
    <n v="80"/>
    <x v="0"/>
    <n v="8"/>
    <x v="2"/>
    <n v="3"/>
    <n v="8"/>
    <n v="7"/>
    <n v="1"/>
    <n v="3"/>
  </r>
  <r>
    <n v="22"/>
    <x v="1"/>
    <x v="0"/>
    <n v="217"/>
    <x v="1"/>
    <n v="8"/>
    <n v="1"/>
    <s v="Life Sciences"/>
    <n v="1"/>
    <n v="1019"/>
    <n v="2"/>
    <x v="1"/>
    <n v="94"/>
    <x v="3"/>
    <n v="1"/>
    <x v="2"/>
    <n v="1"/>
    <x v="1"/>
    <n v="2451"/>
    <n v="6881"/>
    <n v="1"/>
    <s v="Y"/>
    <s v="No"/>
    <n v="15"/>
    <x v="0"/>
    <n v="1"/>
    <n v="80"/>
    <x v="1"/>
    <n v="4"/>
    <x v="1"/>
    <n v="2"/>
    <n v="4"/>
    <n v="3"/>
    <n v="1"/>
    <n v="1"/>
  </r>
  <r>
    <n v="48"/>
    <x v="1"/>
    <x v="0"/>
    <n v="277"/>
    <x v="1"/>
    <n v="6"/>
    <n v="3"/>
    <s v="Life Sciences"/>
    <n v="1"/>
    <n v="1022"/>
    <n v="1"/>
    <x v="1"/>
    <n v="97"/>
    <x v="1"/>
    <n v="2"/>
    <x v="4"/>
    <n v="3"/>
    <x v="0"/>
    <n v="4240"/>
    <n v="13119"/>
    <n v="2"/>
    <s v="Y"/>
    <s v="No"/>
    <n v="13"/>
    <x v="0"/>
    <n v="4"/>
    <n v="80"/>
    <x v="0"/>
    <n v="19"/>
    <x v="0"/>
    <n v="3"/>
    <n v="2"/>
    <n v="2"/>
    <n v="2"/>
    <n v="2"/>
  </r>
  <r>
    <n v="48"/>
    <x v="1"/>
    <x v="0"/>
    <n v="1355"/>
    <x v="1"/>
    <n v="4"/>
    <n v="4"/>
    <s v="Life Sciences"/>
    <n v="1"/>
    <n v="1024"/>
    <n v="3"/>
    <x v="1"/>
    <n v="78"/>
    <x v="1"/>
    <n v="3"/>
    <x v="4"/>
    <n v="3"/>
    <x v="0"/>
    <n v="10999"/>
    <n v="22245"/>
    <n v="7"/>
    <s v="Y"/>
    <s v="No"/>
    <n v="14"/>
    <x v="0"/>
    <n v="2"/>
    <n v="80"/>
    <x v="0"/>
    <n v="27"/>
    <x v="1"/>
    <n v="3"/>
    <n v="15"/>
    <n v="11"/>
    <n v="4"/>
    <n v="8"/>
  </r>
  <r>
    <n v="41"/>
    <x v="1"/>
    <x v="0"/>
    <n v="549"/>
    <x v="1"/>
    <n v="7"/>
    <n v="2"/>
    <s v="Medical"/>
    <n v="1"/>
    <n v="1025"/>
    <n v="4"/>
    <x v="0"/>
    <n v="42"/>
    <x v="0"/>
    <n v="2"/>
    <x v="3"/>
    <n v="3"/>
    <x v="0"/>
    <n v="5003"/>
    <n v="23371"/>
    <n v="6"/>
    <s v="Y"/>
    <s v="No"/>
    <n v="14"/>
    <x v="0"/>
    <n v="2"/>
    <n v="80"/>
    <x v="0"/>
    <n v="8"/>
    <x v="6"/>
    <n v="3"/>
    <n v="2"/>
    <n v="2"/>
    <n v="2"/>
    <n v="1"/>
  </r>
  <r>
    <n v="39"/>
    <x v="1"/>
    <x v="0"/>
    <n v="466"/>
    <x v="1"/>
    <n v="1"/>
    <n v="1"/>
    <s v="Life Sciences"/>
    <n v="1"/>
    <n v="1026"/>
    <n v="4"/>
    <x v="0"/>
    <n v="65"/>
    <x v="1"/>
    <n v="4"/>
    <x v="3"/>
    <n v="4"/>
    <x v="1"/>
    <n v="12742"/>
    <n v="7060"/>
    <n v="1"/>
    <s v="Y"/>
    <s v="No"/>
    <n v="16"/>
    <x v="0"/>
    <n v="3"/>
    <n v="80"/>
    <x v="1"/>
    <n v="21"/>
    <x v="1"/>
    <n v="3"/>
    <n v="21"/>
    <n v="6"/>
    <n v="11"/>
    <n v="8"/>
  </r>
  <r>
    <n v="27"/>
    <x v="1"/>
    <x v="0"/>
    <n v="1055"/>
    <x v="1"/>
    <n v="2"/>
    <n v="4"/>
    <s v="Life Sciences"/>
    <n v="1"/>
    <n v="1027"/>
    <n v="1"/>
    <x v="0"/>
    <n v="47"/>
    <x v="0"/>
    <n v="2"/>
    <x v="3"/>
    <n v="4"/>
    <x v="1"/>
    <n v="4227"/>
    <n v="4658"/>
    <n v="0"/>
    <s v="Y"/>
    <s v="No"/>
    <n v="18"/>
    <x v="0"/>
    <n v="2"/>
    <n v="80"/>
    <x v="1"/>
    <n v="4"/>
    <x v="2"/>
    <n v="3"/>
    <n v="3"/>
    <n v="2"/>
    <n v="2"/>
    <n v="2"/>
  </r>
  <r>
    <n v="35"/>
    <x v="1"/>
    <x v="0"/>
    <n v="802"/>
    <x v="1"/>
    <n v="10"/>
    <n v="3"/>
    <s v="Other"/>
    <n v="1"/>
    <n v="1028"/>
    <n v="2"/>
    <x v="1"/>
    <n v="45"/>
    <x v="0"/>
    <n v="1"/>
    <x v="2"/>
    <n v="4"/>
    <x v="2"/>
    <n v="3917"/>
    <n v="9541"/>
    <n v="1"/>
    <s v="Y"/>
    <s v="No"/>
    <n v="20"/>
    <x v="1"/>
    <n v="1"/>
    <n v="80"/>
    <x v="1"/>
    <n v="3"/>
    <x v="5"/>
    <n v="2"/>
    <n v="3"/>
    <n v="2"/>
    <n v="1"/>
    <n v="2"/>
  </r>
  <r>
    <n v="42"/>
    <x v="1"/>
    <x v="0"/>
    <n v="265"/>
    <x v="0"/>
    <n v="5"/>
    <n v="2"/>
    <s v="Marketing"/>
    <n v="1"/>
    <n v="1029"/>
    <n v="4"/>
    <x v="1"/>
    <n v="90"/>
    <x v="0"/>
    <n v="5"/>
    <x v="5"/>
    <n v="3"/>
    <x v="1"/>
    <n v="18303"/>
    <n v="7770"/>
    <n v="6"/>
    <s v="Y"/>
    <s v="No"/>
    <n v="13"/>
    <x v="0"/>
    <n v="2"/>
    <n v="80"/>
    <x v="0"/>
    <n v="21"/>
    <x v="1"/>
    <n v="4"/>
    <n v="1"/>
    <n v="0"/>
    <n v="0"/>
    <n v="0"/>
  </r>
  <r>
    <n v="50"/>
    <x v="1"/>
    <x v="0"/>
    <n v="804"/>
    <x v="1"/>
    <n v="9"/>
    <n v="3"/>
    <s v="Life Sciences"/>
    <n v="1"/>
    <n v="1030"/>
    <n v="1"/>
    <x v="1"/>
    <n v="64"/>
    <x v="0"/>
    <n v="1"/>
    <x v="2"/>
    <n v="4"/>
    <x v="1"/>
    <n v="2380"/>
    <n v="20165"/>
    <n v="4"/>
    <s v="Y"/>
    <s v="No"/>
    <n v="18"/>
    <x v="0"/>
    <n v="2"/>
    <n v="80"/>
    <x v="0"/>
    <n v="8"/>
    <x v="3"/>
    <n v="3"/>
    <n v="1"/>
    <n v="0"/>
    <n v="0"/>
    <n v="0"/>
  </r>
  <r>
    <n v="59"/>
    <x v="1"/>
    <x v="0"/>
    <n v="715"/>
    <x v="1"/>
    <n v="2"/>
    <n v="3"/>
    <s v="Life Sciences"/>
    <n v="1"/>
    <n v="1032"/>
    <n v="3"/>
    <x v="0"/>
    <n v="69"/>
    <x v="1"/>
    <n v="4"/>
    <x v="3"/>
    <n v="4"/>
    <x v="0"/>
    <n v="13726"/>
    <n v="21829"/>
    <n v="3"/>
    <s v="Y"/>
    <s v="Yes"/>
    <n v="13"/>
    <x v="0"/>
    <n v="1"/>
    <n v="80"/>
    <x v="0"/>
    <n v="30"/>
    <x v="5"/>
    <n v="3"/>
    <n v="5"/>
    <n v="3"/>
    <n v="4"/>
    <n v="3"/>
  </r>
  <r>
    <n v="37"/>
    <x v="0"/>
    <x v="0"/>
    <n v="1141"/>
    <x v="1"/>
    <n v="11"/>
    <n v="2"/>
    <s v="Medical"/>
    <n v="1"/>
    <n v="1033"/>
    <n v="1"/>
    <x v="0"/>
    <n v="61"/>
    <x v="3"/>
    <n v="2"/>
    <x v="4"/>
    <n v="2"/>
    <x v="1"/>
    <n v="4777"/>
    <n v="14382"/>
    <n v="5"/>
    <s v="Y"/>
    <s v="No"/>
    <n v="15"/>
    <x v="0"/>
    <n v="1"/>
    <n v="80"/>
    <x v="0"/>
    <n v="15"/>
    <x v="2"/>
    <n v="1"/>
    <n v="1"/>
    <n v="0"/>
    <n v="0"/>
    <n v="0"/>
  </r>
  <r>
    <n v="55"/>
    <x v="1"/>
    <x v="1"/>
    <n v="135"/>
    <x v="1"/>
    <n v="18"/>
    <n v="4"/>
    <s v="Medical"/>
    <n v="1"/>
    <n v="1034"/>
    <n v="3"/>
    <x v="1"/>
    <n v="62"/>
    <x v="0"/>
    <n v="2"/>
    <x v="4"/>
    <n v="2"/>
    <x v="1"/>
    <n v="6385"/>
    <n v="12992"/>
    <n v="3"/>
    <s v="Y"/>
    <s v="Yes"/>
    <n v="14"/>
    <x v="0"/>
    <n v="4"/>
    <n v="80"/>
    <x v="3"/>
    <n v="17"/>
    <x v="1"/>
    <n v="3"/>
    <n v="8"/>
    <n v="7"/>
    <n v="6"/>
    <n v="7"/>
  </r>
  <r>
    <n v="41"/>
    <x v="1"/>
    <x v="2"/>
    <n v="247"/>
    <x v="1"/>
    <n v="7"/>
    <n v="1"/>
    <s v="Life Sciences"/>
    <n v="1"/>
    <n v="1035"/>
    <n v="2"/>
    <x v="0"/>
    <n v="55"/>
    <x v="3"/>
    <n v="5"/>
    <x v="7"/>
    <n v="3"/>
    <x v="2"/>
    <n v="19973"/>
    <n v="20284"/>
    <n v="1"/>
    <s v="Y"/>
    <s v="No"/>
    <n v="22"/>
    <x v="1"/>
    <n v="2"/>
    <n v="80"/>
    <x v="3"/>
    <n v="21"/>
    <x v="1"/>
    <n v="3"/>
    <n v="21"/>
    <n v="16"/>
    <n v="5"/>
    <n v="10"/>
  </r>
  <r>
    <n v="38"/>
    <x v="1"/>
    <x v="0"/>
    <n v="1035"/>
    <x v="0"/>
    <n v="3"/>
    <n v="4"/>
    <s v="Life Sciences"/>
    <n v="1"/>
    <n v="1036"/>
    <n v="2"/>
    <x v="1"/>
    <n v="42"/>
    <x v="0"/>
    <n v="2"/>
    <x v="0"/>
    <n v="4"/>
    <x v="0"/>
    <n v="6861"/>
    <n v="4981"/>
    <n v="8"/>
    <s v="Y"/>
    <s v="Yes"/>
    <n v="12"/>
    <x v="0"/>
    <n v="3"/>
    <n v="80"/>
    <x v="0"/>
    <n v="19"/>
    <x v="4"/>
    <n v="3"/>
    <n v="1"/>
    <n v="0"/>
    <n v="0"/>
    <n v="0"/>
  </r>
  <r>
    <n v="26"/>
    <x v="0"/>
    <x v="2"/>
    <n v="265"/>
    <x v="0"/>
    <n v="29"/>
    <n v="2"/>
    <s v="Medical"/>
    <n v="1"/>
    <n v="1037"/>
    <n v="2"/>
    <x v="1"/>
    <n v="79"/>
    <x v="3"/>
    <n v="2"/>
    <x v="0"/>
    <n v="1"/>
    <x v="0"/>
    <n v="4969"/>
    <n v="21813"/>
    <n v="8"/>
    <s v="Y"/>
    <s v="No"/>
    <n v="18"/>
    <x v="0"/>
    <n v="4"/>
    <n v="80"/>
    <x v="0"/>
    <n v="7"/>
    <x v="6"/>
    <n v="3"/>
    <n v="2"/>
    <n v="2"/>
    <n v="2"/>
    <n v="2"/>
  </r>
  <r>
    <n v="52"/>
    <x v="0"/>
    <x v="0"/>
    <n v="266"/>
    <x v="0"/>
    <n v="2"/>
    <n v="1"/>
    <s v="Marketing"/>
    <n v="1"/>
    <n v="1038"/>
    <n v="1"/>
    <x v="0"/>
    <n v="57"/>
    <x v="3"/>
    <n v="5"/>
    <x v="5"/>
    <n v="4"/>
    <x v="1"/>
    <n v="19845"/>
    <n v="25846"/>
    <n v="1"/>
    <s v="Y"/>
    <s v="No"/>
    <n v="15"/>
    <x v="0"/>
    <n v="4"/>
    <n v="80"/>
    <x v="1"/>
    <n v="33"/>
    <x v="1"/>
    <n v="3"/>
    <n v="32"/>
    <n v="14"/>
    <n v="6"/>
    <n v="9"/>
  </r>
  <r>
    <n v="44"/>
    <x v="1"/>
    <x v="0"/>
    <n v="1448"/>
    <x v="0"/>
    <n v="28"/>
    <n v="3"/>
    <s v="Medical"/>
    <n v="1"/>
    <n v="1039"/>
    <n v="4"/>
    <x v="0"/>
    <n v="53"/>
    <x v="2"/>
    <n v="4"/>
    <x v="0"/>
    <n v="4"/>
    <x v="1"/>
    <n v="13320"/>
    <n v="11737"/>
    <n v="3"/>
    <s v="Y"/>
    <s v="Yes"/>
    <n v="18"/>
    <x v="0"/>
    <n v="3"/>
    <n v="80"/>
    <x v="1"/>
    <n v="23"/>
    <x v="2"/>
    <n v="3"/>
    <n v="12"/>
    <n v="11"/>
    <n v="11"/>
    <n v="11"/>
  </r>
  <r>
    <n v="50"/>
    <x v="1"/>
    <x v="2"/>
    <n v="145"/>
    <x v="0"/>
    <n v="1"/>
    <n v="3"/>
    <s v="Life Sciences"/>
    <n v="1"/>
    <n v="1040"/>
    <n v="4"/>
    <x v="0"/>
    <n v="95"/>
    <x v="0"/>
    <n v="2"/>
    <x v="0"/>
    <n v="3"/>
    <x v="1"/>
    <n v="6347"/>
    <n v="24920"/>
    <n v="0"/>
    <s v="Y"/>
    <s v="No"/>
    <n v="12"/>
    <x v="0"/>
    <n v="1"/>
    <n v="80"/>
    <x v="1"/>
    <n v="19"/>
    <x v="1"/>
    <n v="3"/>
    <n v="18"/>
    <n v="7"/>
    <n v="0"/>
    <n v="13"/>
  </r>
  <r>
    <n v="36"/>
    <x v="0"/>
    <x v="0"/>
    <n v="885"/>
    <x v="1"/>
    <n v="16"/>
    <n v="4"/>
    <s v="Life Sciences"/>
    <n v="1"/>
    <n v="1042"/>
    <n v="3"/>
    <x v="0"/>
    <n v="43"/>
    <x v="2"/>
    <n v="1"/>
    <x v="2"/>
    <n v="1"/>
    <x v="0"/>
    <n v="2743"/>
    <n v="8269"/>
    <n v="1"/>
    <s v="Y"/>
    <s v="No"/>
    <n v="16"/>
    <x v="0"/>
    <n v="3"/>
    <n v="80"/>
    <x v="0"/>
    <n v="18"/>
    <x v="4"/>
    <n v="3"/>
    <n v="17"/>
    <n v="13"/>
    <n v="15"/>
    <n v="14"/>
  </r>
  <r>
    <n v="39"/>
    <x v="1"/>
    <x v="1"/>
    <n v="945"/>
    <x v="1"/>
    <n v="22"/>
    <n v="3"/>
    <s v="Medical"/>
    <n v="1"/>
    <n v="1043"/>
    <n v="4"/>
    <x v="0"/>
    <n v="82"/>
    <x v="0"/>
    <n v="3"/>
    <x v="3"/>
    <n v="1"/>
    <x v="0"/>
    <n v="10880"/>
    <n v="5083"/>
    <n v="1"/>
    <s v="Y"/>
    <s v="Yes"/>
    <n v="13"/>
    <x v="0"/>
    <n v="3"/>
    <n v="80"/>
    <x v="0"/>
    <n v="21"/>
    <x v="2"/>
    <n v="3"/>
    <n v="21"/>
    <n v="6"/>
    <n v="2"/>
    <n v="8"/>
  </r>
  <r>
    <n v="33"/>
    <x v="1"/>
    <x v="2"/>
    <n v="1038"/>
    <x v="0"/>
    <n v="8"/>
    <n v="1"/>
    <s v="Life Sciences"/>
    <n v="1"/>
    <n v="1044"/>
    <n v="2"/>
    <x v="0"/>
    <n v="88"/>
    <x v="1"/>
    <n v="1"/>
    <x v="6"/>
    <n v="4"/>
    <x v="0"/>
    <n v="2342"/>
    <n v="21437"/>
    <n v="0"/>
    <s v="Y"/>
    <s v="No"/>
    <n v="19"/>
    <x v="0"/>
    <n v="4"/>
    <n v="80"/>
    <x v="0"/>
    <n v="3"/>
    <x v="2"/>
    <n v="2"/>
    <n v="2"/>
    <n v="2"/>
    <n v="2"/>
    <n v="2"/>
  </r>
  <r>
    <n v="45"/>
    <x v="1"/>
    <x v="0"/>
    <n v="1234"/>
    <x v="0"/>
    <n v="11"/>
    <n v="2"/>
    <s v="Life Sciences"/>
    <n v="1"/>
    <n v="1045"/>
    <n v="4"/>
    <x v="0"/>
    <n v="90"/>
    <x v="0"/>
    <n v="4"/>
    <x v="5"/>
    <n v="4"/>
    <x v="1"/>
    <n v="17650"/>
    <n v="5404"/>
    <n v="3"/>
    <s v="Y"/>
    <s v="No"/>
    <n v="13"/>
    <x v="0"/>
    <n v="2"/>
    <n v="80"/>
    <x v="1"/>
    <n v="26"/>
    <x v="5"/>
    <n v="4"/>
    <n v="9"/>
    <n v="3"/>
    <n v="1"/>
    <n v="1"/>
  </r>
  <r>
    <n v="32"/>
    <x v="1"/>
    <x v="2"/>
    <n v="1109"/>
    <x v="1"/>
    <n v="29"/>
    <n v="4"/>
    <s v="Medical"/>
    <n v="1"/>
    <n v="1046"/>
    <n v="4"/>
    <x v="0"/>
    <n v="69"/>
    <x v="0"/>
    <n v="1"/>
    <x v="2"/>
    <n v="3"/>
    <x v="0"/>
    <n v="4025"/>
    <n v="11135"/>
    <n v="9"/>
    <s v="Y"/>
    <s v="No"/>
    <n v="12"/>
    <x v="0"/>
    <n v="2"/>
    <n v="80"/>
    <x v="0"/>
    <n v="10"/>
    <x v="2"/>
    <n v="3"/>
    <n v="8"/>
    <n v="7"/>
    <n v="7"/>
    <n v="7"/>
  </r>
  <r>
    <n v="34"/>
    <x v="1"/>
    <x v="0"/>
    <n v="216"/>
    <x v="0"/>
    <n v="1"/>
    <n v="4"/>
    <s v="Marketing"/>
    <n v="1"/>
    <n v="1047"/>
    <n v="2"/>
    <x v="1"/>
    <n v="75"/>
    <x v="2"/>
    <n v="2"/>
    <x v="0"/>
    <n v="4"/>
    <x v="2"/>
    <n v="9725"/>
    <n v="12278"/>
    <n v="0"/>
    <s v="Y"/>
    <s v="No"/>
    <n v="11"/>
    <x v="0"/>
    <n v="4"/>
    <n v="80"/>
    <x v="1"/>
    <n v="16"/>
    <x v="2"/>
    <n v="2"/>
    <n v="15"/>
    <n v="1"/>
    <n v="0"/>
    <n v="9"/>
  </r>
  <r>
    <n v="59"/>
    <x v="1"/>
    <x v="0"/>
    <n v="1089"/>
    <x v="0"/>
    <n v="1"/>
    <n v="2"/>
    <s v="Technical Degree"/>
    <n v="1"/>
    <n v="1048"/>
    <n v="2"/>
    <x v="1"/>
    <n v="66"/>
    <x v="0"/>
    <n v="3"/>
    <x v="5"/>
    <n v="4"/>
    <x v="1"/>
    <n v="11904"/>
    <n v="11038"/>
    <n v="3"/>
    <s v="Y"/>
    <s v="Yes"/>
    <n v="14"/>
    <x v="0"/>
    <n v="3"/>
    <n v="80"/>
    <x v="1"/>
    <n v="14"/>
    <x v="4"/>
    <n v="1"/>
    <n v="6"/>
    <n v="4"/>
    <n v="0"/>
    <n v="4"/>
  </r>
  <r>
    <n v="45"/>
    <x v="1"/>
    <x v="0"/>
    <n v="788"/>
    <x v="2"/>
    <n v="24"/>
    <n v="4"/>
    <s v="Medical"/>
    <n v="1"/>
    <n v="1049"/>
    <n v="2"/>
    <x v="1"/>
    <n v="36"/>
    <x v="0"/>
    <n v="1"/>
    <x v="8"/>
    <n v="2"/>
    <x v="0"/>
    <n v="2177"/>
    <n v="8318"/>
    <n v="1"/>
    <s v="Y"/>
    <s v="No"/>
    <n v="16"/>
    <x v="0"/>
    <n v="1"/>
    <n v="80"/>
    <x v="0"/>
    <n v="6"/>
    <x v="1"/>
    <n v="3"/>
    <n v="6"/>
    <n v="3"/>
    <n v="0"/>
    <n v="4"/>
  </r>
  <r>
    <n v="53"/>
    <x v="1"/>
    <x v="1"/>
    <n v="124"/>
    <x v="0"/>
    <n v="2"/>
    <n v="3"/>
    <s v="Marketing"/>
    <n v="1"/>
    <n v="1050"/>
    <n v="3"/>
    <x v="0"/>
    <n v="38"/>
    <x v="1"/>
    <n v="3"/>
    <x v="0"/>
    <n v="2"/>
    <x v="1"/>
    <n v="7525"/>
    <n v="23537"/>
    <n v="2"/>
    <s v="Y"/>
    <s v="No"/>
    <n v="12"/>
    <x v="0"/>
    <n v="1"/>
    <n v="80"/>
    <x v="1"/>
    <n v="30"/>
    <x v="2"/>
    <n v="3"/>
    <n v="15"/>
    <n v="7"/>
    <n v="6"/>
    <n v="12"/>
  </r>
  <r>
    <n v="36"/>
    <x v="0"/>
    <x v="0"/>
    <n v="660"/>
    <x v="1"/>
    <n v="15"/>
    <n v="3"/>
    <s v="Other"/>
    <n v="1"/>
    <n v="1052"/>
    <n v="1"/>
    <x v="1"/>
    <n v="81"/>
    <x v="0"/>
    <n v="2"/>
    <x v="2"/>
    <n v="3"/>
    <x v="2"/>
    <n v="4834"/>
    <n v="7858"/>
    <n v="7"/>
    <s v="Y"/>
    <s v="No"/>
    <n v="14"/>
    <x v="0"/>
    <n v="2"/>
    <n v="80"/>
    <x v="1"/>
    <n v="9"/>
    <x v="1"/>
    <n v="2"/>
    <n v="1"/>
    <n v="0"/>
    <n v="0"/>
    <n v="0"/>
  </r>
  <r>
    <n v="26"/>
    <x v="0"/>
    <x v="1"/>
    <n v="342"/>
    <x v="1"/>
    <n v="2"/>
    <n v="3"/>
    <s v="Life Sciences"/>
    <n v="1"/>
    <n v="1053"/>
    <n v="1"/>
    <x v="1"/>
    <n v="57"/>
    <x v="0"/>
    <n v="1"/>
    <x v="1"/>
    <n v="1"/>
    <x v="1"/>
    <n v="2042"/>
    <n v="15346"/>
    <n v="6"/>
    <s v="Y"/>
    <s v="Yes"/>
    <n v="14"/>
    <x v="0"/>
    <n v="2"/>
    <n v="80"/>
    <x v="1"/>
    <n v="6"/>
    <x v="2"/>
    <n v="3"/>
    <n v="3"/>
    <n v="2"/>
    <n v="1"/>
    <n v="2"/>
  </r>
  <r>
    <n v="34"/>
    <x v="1"/>
    <x v="0"/>
    <n v="1333"/>
    <x v="0"/>
    <n v="10"/>
    <n v="4"/>
    <s v="Life Sciences"/>
    <n v="1"/>
    <n v="1055"/>
    <n v="3"/>
    <x v="0"/>
    <n v="87"/>
    <x v="0"/>
    <n v="1"/>
    <x v="6"/>
    <n v="3"/>
    <x v="1"/>
    <n v="2220"/>
    <n v="18410"/>
    <n v="1"/>
    <s v="Y"/>
    <s v="Yes"/>
    <n v="19"/>
    <x v="0"/>
    <n v="4"/>
    <n v="80"/>
    <x v="1"/>
    <n v="1"/>
    <x v="2"/>
    <n v="3"/>
    <n v="1"/>
    <n v="1"/>
    <n v="0"/>
    <n v="0"/>
  </r>
  <r>
    <n v="28"/>
    <x v="1"/>
    <x v="0"/>
    <n v="1144"/>
    <x v="0"/>
    <n v="10"/>
    <n v="1"/>
    <s v="Medical"/>
    <n v="1"/>
    <n v="1056"/>
    <n v="4"/>
    <x v="1"/>
    <n v="74"/>
    <x v="0"/>
    <n v="1"/>
    <x v="6"/>
    <n v="2"/>
    <x v="1"/>
    <n v="1052"/>
    <n v="23384"/>
    <n v="1"/>
    <s v="Y"/>
    <s v="No"/>
    <n v="22"/>
    <x v="1"/>
    <n v="2"/>
    <n v="80"/>
    <x v="0"/>
    <n v="1"/>
    <x v="3"/>
    <n v="3"/>
    <n v="1"/>
    <n v="0"/>
    <n v="0"/>
    <n v="0"/>
  </r>
  <r>
    <n v="38"/>
    <x v="1"/>
    <x v="1"/>
    <n v="1186"/>
    <x v="1"/>
    <n v="3"/>
    <n v="4"/>
    <s v="Other"/>
    <n v="1"/>
    <n v="1060"/>
    <n v="3"/>
    <x v="1"/>
    <n v="44"/>
    <x v="0"/>
    <n v="1"/>
    <x v="1"/>
    <n v="3"/>
    <x v="1"/>
    <n v="2821"/>
    <n v="2997"/>
    <n v="3"/>
    <s v="Y"/>
    <s v="No"/>
    <n v="16"/>
    <x v="0"/>
    <n v="1"/>
    <n v="80"/>
    <x v="1"/>
    <n v="8"/>
    <x v="2"/>
    <n v="3"/>
    <n v="2"/>
    <n v="2"/>
    <n v="2"/>
    <n v="2"/>
  </r>
  <r>
    <n v="50"/>
    <x v="1"/>
    <x v="0"/>
    <n v="1464"/>
    <x v="1"/>
    <n v="2"/>
    <n v="4"/>
    <s v="Medical"/>
    <n v="1"/>
    <n v="1061"/>
    <n v="2"/>
    <x v="1"/>
    <n v="62"/>
    <x v="0"/>
    <n v="5"/>
    <x v="7"/>
    <n v="3"/>
    <x v="1"/>
    <n v="19237"/>
    <n v="12853"/>
    <n v="2"/>
    <s v="Y"/>
    <s v="Yes"/>
    <n v="11"/>
    <x v="0"/>
    <n v="4"/>
    <n v="80"/>
    <x v="1"/>
    <n v="29"/>
    <x v="2"/>
    <n v="2"/>
    <n v="8"/>
    <n v="1"/>
    <n v="7"/>
    <n v="7"/>
  </r>
  <r>
    <n v="37"/>
    <x v="1"/>
    <x v="0"/>
    <n v="124"/>
    <x v="1"/>
    <n v="3"/>
    <n v="3"/>
    <s v="Other"/>
    <n v="1"/>
    <n v="1062"/>
    <n v="4"/>
    <x v="0"/>
    <n v="35"/>
    <x v="0"/>
    <n v="2"/>
    <x v="4"/>
    <n v="2"/>
    <x v="0"/>
    <n v="4107"/>
    <n v="13848"/>
    <n v="3"/>
    <s v="Y"/>
    <s v="No"/>
    <n v="15"/>
    <x v="0"/>
    <n v="1"/>
    <n v="80"/>
    <x v="0"/>
    <n v="8"/>
    <x v="1"/>
    <n v="2"/>
    <n v="4"/>
    <n v="3"/>
    <n v="0"/>
    <n v="1"/>
  </r>
  <r>
    <n v="40"/>
    <x v="1"/>
    <x v="0"/>
    <n v="300"/>
    <x v="0"/>
    <n v="26"/>
    <n v="3"/>
    <s v="Marketing"/>
    <n v="1"/>
    <n v="1066"/>
    <n v="3"/>
    <x v="1"/>
    <n v="74"/>
    <x v="0"/>
    <n v="2"/>
    <x v="0"/>
    <n v="1"/>
    <x v="1"/>
    <n v="8396"/>
    <n v="22217"/>
    <n v="1"/>
    <s v="Y"/>
    <s v="No"/>
    <n v="14"/>
    <x v="0"/>
    <n v="2"/>
    <n v="80"/>
    <x v="1"/>
    <n v="8"/>
    <x v="1"/>
    <n v="2"/>
    <n v="7"/>
    <n v="7"/>
    <n v="7"/>
    <n v="5"/>
  </r>
  <r>
    <n v="26"/>
    <x v="1"/>
    <x v="1"/>
    <n v="921"/>
    <x v="1"/>
    <n v="1"/>
    <n v="1"/>
    <s v="Medical"/>
    <n v="1"/>
    <n v="1068"/>
    <n v="1"/>
    <x v="0"/>
    <n v="66"/>
    <x v="1"/>
    <n v="1"/>
    <x v="1"/>
    <n v="3"/>
    <x v="2"/>
    <n v="2007"/>
    <n v="25265"/>
    <n v="1"/>
    <s v="Y"/>
    <s v="No"/>
    <n v="13"/>
    <x v="0"/>
    <n v="3"/>
    <n v="80"/>
    <x v="3"/>
    <n v="5"/>
    <x v="3"/>
    <n v="3"/>
    <n v="5"/>
    <n v="3"/>
    <n v="1"/>
    <n v="3"/>
  </r>
  <r>
    <n v="46"/>
    <x v="1"/>
    <x v="0"/>
    <n v="430"/>
    <x v="1"/>
    <n v="1"/>
    <n v="4"/>
    <s v="Medical"/>
    <n v="1"/>
    <n v="1069"/>
    <n v="4"/>
    <x v="1"/>
    <n v="40"/>
    <x v="0"/>
    <n v="5"/>
    <x v="7"/>
    <n v="4"/>
    <x v="2"/>
    <n v="19627"/>
    <n v="21445"/>
    <n v="9"/>
    <s v="Y"/>
    <s v="No"/>
    <n v="17"/>
    <x v="0"/>
    <n v="4"/>
    <n v="80"/>
    <x v="3"/>
    <n v="23"/>
    <x v="0"/>
    <n v="3"/>
    <n v="2"/>
    <n v="2"/>
    <n v="2"/>
    <n v="2"/>
  </r>
  <r>
    <n v="54"/>
    <x v="1"/>
    <x v="0"/>
    <n v="1082"/>
    <x v="0"/>
    <n v="2"/>
    <n v="4"/>
    <s v="Life Sciences"/>
    <n v="1"/>
    <n v="1070"/>
    <n v="3"/>
    <x v="0"/>
    <n v="41"/>
    <x v="1"/>
    <n v="3"/>
    <x v="0"/>
    <n v="3"/>
    <x v="1"/>
    <n v="10686"/>
    <n v="8392"/>
    <n v="6"/>
    <s v="Y"/>
    <s v="No"/>
    <n v="11"/>
    <x v="0"/>
    <n v="2"/>
    <n v="80"/>
    <x v="1"/>
    <n v="13"/>
    <x v="5"/>
    <n v="3"/>
    <n v="9"/>
    <n v="4"/>
    <n v="7"/>
    <n v="0"/>
  </r>
  <r>
    <n v="56"/>
    <x v="1"/>
    <x v="1"/>
    <n v="1240"/>
    <x v="1"/>
    <n v="9"/>
    <n v="3"/>
    <s v="Medical"/>
    <n v="1"/>
    <n v="1071"/>
    <n v="1"/>
    <x v="0"/>
    <n v="63"/>
    <x v="0"/>
    <n v="1"/>
    <x v="1"/>
    <n v="3"/>
    <x v="1"/>
    <n v="2942"/>
    <n v="12154"/>
    <n v="2"/>
    <s v="Y"/>
    <s v="No"/>
    <n v="19"/>
    <x v="0"/>
    <n v="2"/>
    <n v="80"/>
    <x v="1"/>
    <n v="18"/>
    <x v="5"/>
    <n v="3"/>
    <n v="5"/>
    <n v="4"/>
    <n v="0"/>
    <n v="3"/>
  </r>
  <r>
    <n v="36"/>
    <x v="1"/>
    <x v="0"/>
    <n v="796"/>
    <x v="1"/>
    <n v="12"/>
    <n v="5"/>
    <s v="Medical"/>
    <n v="1"/>
    <n v="1073"/>
    <n v="4"/>
    <x v="0"/>
    <n v="51"/>
    <x v="1"/>
    <n v="3"/>
    <x v="3"/>
    <n v="4"/>
    <x v="0"/>
    <n v="8858"/>
    <n v="15669"/>
    <n v="0"/>
    <s v="Y"/>
    <s v="No"/>
    <n v="11"/>
    <x v="0"/>
    <n v="2"/>
    <n v="80"/>
    <x v="0"/>
    <n v="15"/>
    <x v="2"/>
    <n v="2"/>
    <n v="14"/>
    <n v="8"/>
    <n v="7"/>
    <n v="8"/>
  </r>
  <r>
    <n v="55"/>
    <x v="1"/>
    <x v="2"/>
    <n v="444"/>
    <x v="1"/>
    <n v="2"/>
    <n v="1"/>
    <s v="Medical"/>
    <n v="1"/>
    <n v="1074"/>
    <n v="3"/>
    <x v="1"/>
    <n v="40"/>
    <x v="1"/>
    <n v="4"/>
    <x v="5"/>
    <n v="1"/>
    <x v="0"/>
    <n v="16756"/>
    <n v="17323"/>
    <n v="7"/>
    <s v="Y"/>
    <s v="No"/>
    <n v="15"/>
    <x v="0"/>
    <n v="2"/>
    <n v="80"/>
    <x v="0"/>
    <n v="31"/>
    <x v="1"/>
    <n v="4"/>
    <n v="9"/>
    <n v="7"/>
    <n v="6"/>
    <n v="2"/>
  </r>
  <r>
    <n v="43"/>
    <x v="1"/>
    <x v="0"/>
    <n v="415"/>
    <x v="0"/>
    <n v="25"/>
    <n v="3"/>
    <s v="Medical"/>
    <n v="1"/>
    <n v="1076"/>
    <n v="3"/>
    <x v="1"/>
    <n v="79"/>
    <x v="1"/>
    <n v="3"/>
    <x v="0"/>
    <n v="4"/>
    <x v="2"/>
    <n v="10798"/>
    <n v="5268"/>
    <n v="5"/>
    <s v="Y"/>
    <s v="No"/>
    <n v="13"/>
    <x v="0"/>
    <n v="3"/>
    <n v="80"/>
    <x v="1"/>
    <n v="18"/>
    <x v="3"/>
    <n v="3"/>
    <n v="1"/>
    <n v="0"/>
    <n v="0"/>
    <n v="0"/>
  </r>
  <r>
    <n v="20"/>
    <x v="0"/>
    <x v="1"/>
    <n v="769"/>
    <x v="0"/>
    <n v="9"/>
    <n v="3"/>
    <s v="Marketing"/>
    <n v="1"/>
    <n v="1077"/>
    <n v="4"/>
    <x v="0"/>
    <n v="54"/>
    <x v="0"/>
    <n v="1"/>
    <x v="6"/>
    <n v="4"/>
    <x v="0"/>
    <n v="2323"/>
    <n v="17205"/>
    <n v="1"/>
    <s v="Y"/>
    <s v="Yes"/>
    <n v="14"/>
    <x v="0"/>
    <n v="2"/>
    <n v="80"/>
    <x v="0"/>
    <n v="2"/>
    <x v="1"/>
    <n v="3"/>
    <n v="2"/>
    <n v="2"/>
    <n v="0"/>
    <n v="2"/>
  </r>
  <r>
    <n v="21"/>
    <x v="0"/>
    <x v="0"/>
    <n v="1334"/>
    <x v="1"/>
    <n v="10"/>
    <n v="3"/>
    <s v="Life Sciences"/>
    <n v="1"/>
    <n v="1079"/>
    <n v="3"/>
    <x v="0"/>
    <n v="36"/>
    <x v="1"/>
    <n v="1"/>
    <x v="2"/>
    <n v="1"/>
    <x v="0"/>
    <n v="1416"/>
    <n v="17258"/>
    <n v="1"/>
    <s v="Y"/>
    <s v="No"/>
    <n v="13"/>
    <x v="0"/>
    <n v="1"/>
    <n v="80"/>
    <x v="0"/>
    <n v="1"/>
    <x v="6"/>
    <n v="2"/>
    <n v="1"/>
    <n v="0"/>
    <n v="1"/>
    <n v="0"/>
  </r>
  <r>
    <n v="46"/>
    <x v="1"/>
    <x v="0"/>
    <n v="1003"/>
    <x v="1"/>
    <n v="8"/>
    <n v="4"/>
    <s v="Life Sciences"/>
    <n v="1"/>
    <n v="1080"/>
    <n v="4"/>
    <x v="0"/>
    <n v="74"/>
    <x v="1"/>
    <n v="2"/>
    <x v="1"/>
    <n v="1"/>
    <x v="2"/>
    <n v="4615"/>
    <n v="21029"/>
    <n v="8"/>
    <s v="Y"/>
    <s v="Yes"/>
    <n v="23"/>
    <x v="1"/>
    <n v="1"/>
    <n v="80"/>
    <x v="2"/>
    <n v="19"/>
    <x v="2"/>
    <n v="3"/>
    <n v="16"/>
    <n v="13"/>
    <n v="1"/>
    <n v="7"/>
  </r>
  <r>
    <n v="51"/>
    <x v="0"/>
    <x v="0"/>
    <n v="1323"/>
    <x v="1"/>
    <n v="4"/>
    <n v="4"/>
    <s v="Life Sciences"/>
    <n v="1"/>
    <n v="1081"/>
    <n v="1"/>
    <x v="1"/>
    <n v="34"/>
    <x v="0"/>
    <n v="1"/>
    <x v="1"/>
    <n v="3"/>
    <x v="1"/>
    <n v="2461"/>
    <n v="10332"/>
    <n v="9"/>
    <s v="Y"/>
    <s v="Yes"/>
    <n v="12"/>
    <x v="0"/>
    <n v="3"/>
    <n v="80"/>
    <x v="2"/>
    <n v="18"/>
    <x v="2"/>
    <n v="4"/>
    <n v="10"/>
    <n v="0"/>
    <n v="2"/>
    <n v="7"/>
  </r>
  <r>
    <n v="28"/>
    <x v="0"/>
    <x v="2"/>
    <n v="1366"/>
    <x v="1"/>
    <n v="24"/>
    <n v="2"/>
    <s v="Technical Degree"/>
    <n v="1"/>
    <n v="1082"/>
    <n v="2"/>
    <x v="1"/>
    <n v="72"/>
    <x v="1"/>
    <n v="3"/>
    <x v="4"/>
    <n v="1"/>
    <x v="0"/>
    <n v="8722"/>
    <n v="12355"/>
    <n v="1"/>
    <s v="Y"/>
    <s v="No"/>
    <n v="12"/>
    <x v="0"/>
    <n v="1"/>
    <n v="80"/>
    <x v="0"/>
    <n v="10"/>
    <x v="2"/>
    <n v="2"/>
    <n v="10"/>
    <n v="7"/>
    <n v="1"/>
    <n v="9"/>
  </r>
  <r>
    <n v="26"/>
    <x v="1"/>
    <x v="0"/>
    <n v="192"/>
    <x v="1"/>
    <n v="1"/>
    <n v="2"/>
    <s v="Medical"/>
    <n v="1"/>
    <n v="1083"/>
    <n v="1"/>
    <x v="1"/>
    <n v="59"/>
    <x v="1"/>
    <n v="1"/>
    <x v="2"/>
    <n v="1"/>
    <x v="1"/>
    <n v="3955"/>
    <n v="11141"/>
    <n v="1"/>
    <s v="Y"/>
    <s v="No"/>
    <n v="16"/>
    <x v="0"/>
    <n v="1"/>
    <n v="80"/>
    <x v="3"/>
    <n v="6"/>
    <x v="2"/>
    <n v="3"/>
    <n v="5"/>
    <n v="3"/>
    <n v="1"/>
    <n v="3"/>
  </r>
  <r>
    <n v="30"/>
    <x v="1"/>
    <x v="0"/>
    <n v="1176"/>
    <x v="1"/>
    <n v="20"/>
    <n v="3"/>
    <s v="Other"/>
    <n v="1"/>
    <n v="1084"/>
    <n v="3"/>
    <x v="1"/>
    <n v="85"/>
    <x v="0"/>
    <n v="2"/>
    <x v="3"/>
    <n v="1"/>
    <x v="1"/>
    <n v="9957"/>
    <n v="9096"/>
    <n v="0"/>
    <s v="Y"/>
    <s v="No"/>
    <n v="15"/>
    <x v="0"/>
    <n v="3"/>
    <n v="80"/>
    <x v="1"/>
    <n v="7"/>
    <x v="4"/>
    <n v="2"/>
    <n v="6"/>
    <n v="2"/>
    <n v="0"/>
    <n v="2"/>
  </r>
  <r>
    <n v="41"/>
    <x v="1"/>
    <x v="0"/>
    <n v="509"/>
    <x v="1"/>
    <n v="7"/>
    <n v="2"/>
    <s v="Technical Degree"/>
    <n v="1"/>
    <n v="1085"/>
    <n v="2"/>
    <x v="0"/>
    <n v="43"/>
    <x v="2"/>
    <n v="1"/>
    <x v="1"/>
    <n v="3"/>
    <x v="1"/>
    <n v="3376"/>
    <n v="18863"/>
    <n v="1"/>
    <s v="Y"/>
    <s v="No"/>
    <n v="13"/>
    <x v="0"/>
    <n v="3"/>
    <n v="80"/>
    <x v="0"/>
    <n v="10"/>
    <x v="1"/>
    <n v="3"/>
    <n v="10"/>
    <n v="6"/>
    <n v="0"/>
    <n v="8"/>
  </r>
  <r>
    <n v="38"/>
    <x v="1"/>
    <x v="0"/>
    <n v="330"/>
    <x v="1"/>
    <n v="17"/>
    <n v="1"/>
    <s v="Life Sciences"/>
    <n v="1"/>
    <n v="1088"/>
    <n v="3"/>
    <x v="0"/>
    <n v="65"/>
    <x v="1"/>
    <n v="3"/>
    <x v="4"/>
    <n v="3"/>
    <x v="1"/>
    <n v="8823"/>
    <n v="24608"/>
    <n v="0"/>
    <s v="Y"/>
    <s v="No"/>
    <n v="18"/>
    <x v="0"/>
    <n v="1"/>
    <n v="80"/>
    <x v="1"/>
    <n v="20"/>
    <x v="5"/>
    <n v="2"/>
    <n v="19"/>
    <n v="9"/>
    <n v="1"/>
    <n v="9"/>
  </r>
  <r>
    <n v="40"/>
    <x v="1"/>
    <x v="0"/>
    <n v="1492"/>
    <x v="1"/>
    <n v="20"/>
    <n v="4"/>
    <s v="Technical Degree"/>
    <n v="1"/>
    <n v="1092"/>
    <n v="1"/>
    <x v="1"/>
    <n v="61"/>
    <x v="0"/>
    <n v="3"/>
    <x v="4"/>
    <n v="4"/>
    <x v="1"/>
    <n v="10322"/>
    <n v="26542"/>
    <n v="4"/>
    <s v="Y"/>
    <s v="No"/>
    <n v="20"/>
    <x v="1"/>
    <n v="4"/>
    <n v="80"/>
    <x v="1"/>
    <n v="14"/>
    <x v="6"/>
    <n v="3"/>
    <n v="11"/>
    <n v="10"/>
    <n v="11"/>
    <n v="1"/>
  </r>
  <r>
    <n v="27"/>
    <x v="1"/>
    <x v="2"/>
    <n v="1277"/>
    <x v="1"/>
    <n v="8"/>
    <n v="5"/>
    <s v="Life Sciences"/>
    <n v="1"/>
    <n v="1094"/>
    <n v="1"/>
    <x v="1"/>
    <n v="87"/>
    <x v="3"/>
    <n v="1"/>
    <x v="2"/>
    <n v="3"/>
    <x v="1"/>
    <n v="4621"/>
    <n v="5869"/>
    <n v="1"/>
    <s v="Y"/>
    <s v="No"/>
    <n v="19"/>
    <x v="0"/>
    <n v="4"/>
    <n v="80"/>
    <x v="2"/>
    <n v="3"/>
    <x v="5"/>
    <n v="3"/>
    <n v="3"/>
    <n v="2"/>
    <n v="1"/>
    <n v="2"/>
  </r>
  <r>
    <n v="55"/>
    <x v="1"/>
    <x v="1"/>
    <n v="1091"/>
    <x v="1"/>
    <n v="2"/>
    <n v="1"/>
    <s v="Life Sciences"/>
    <n v="1"/>
    <n v="1096"/>
    <n v="4"/>
    <x v="1"/>
    <n v="65"/>
    <x v="0"/>
    <n v="3"/>
    <x v="3"/>
    <n v="2"/>
    <x v="1"/>
    <n v="10976"/>
    <n v="15813"/>
    <n v="3"/>
    <s v="Y"/>
    <s v="No"/>
    <n v="18"/>
    <x v="0"/>
    <n v="2"/>
    <n v="80"/>
    <x v="1"/>
    <n v="23"/>
    <x v="5"/>
    <n v="3"/>
    <n v="3"/>
    <n v="2"/>
    <n v="1"/>
    <n v="2"/>
  </r>
  <r>
    <n v="28"/>
    <x v="1"/>
    <x v="0"/>
    <n v="857"/>
    <x v="1"/>
    <n v="10"/>
    <n v="3"/>
    <s v="Other"/>
    <n v="1"/>
    <n v="1097"/>
    <n v="3"/>
    <x v="0"/>
    <n v="59"/>
    <x v="0"/>
    <n v="2"/>
    <x v="1"/>
    <n v="3"/>
    <x v="0"/>
    <n v="3660"/>
    <n v="7909"/>
    <n v="3"/>
    <s v="Y"/>
    <s v="No"/>
    <n v="13"/>
    <x v="0"/>
    <n v="4"/>
    <n v="80"/>
    <x v="0"/>
    <n v="10"/>
    <x v="5"/>
    <n v="4"/>
    <n v="8"/>
    <n v="7"/>
    <n v="1"/>
    <n v="7"/>
  </r>
  <r>
    <n v="44"/>
    <x v="0"/>
    <x v="0"/>
    <n v="1376"/>
    <x v="2"/>
    <n v="1"/>
    <n v="2"/>
    <s v="Medical"/>
    <n v="1"/>
    <n v="1098"/>
    <n v="2"/>
    <x v="1"/>
    <n v="91"/>
    <x v="1"/>
    <n v="3"/>
    <x v="8"/>
    <n v="1"/>
    <x v="1"/>
    <n v="10482"/>
    <n v="2326"/>
    <n v="9"/>
    <s v="Y"/>
    <s v="No"/>
    <n v="14"/>
    <x v="0"/>
    <n v="4"/>
    <n v="80"/>
    <x v="1"/>
    <n v="24"/>
    <x v="4"/>
    <n v="3"/>
    <n v="20"/>
    <n v="6"/>
    <n v="3"/>
    <n v="6"/>
  </r>
  <r>
    <n v="33"/>
    <x v="1"/>
    <x v="0"/>
    <n v="654"/>
    <x v="1"/>
    <n v="5"/>
    <n v="3"/>
    <s v="Life Sciences"/>
    <n v="1"/>
    <n v="1099"/>
    <n v="4"/>
    <x v="1"/>
    <n v="34"/>
    <x v="1"/>
    <n v="3"/>
    <x v="4"/>
    <n v="4"/>
    <x v="2"/>
    <n v="7119"/>
    <n v="21214"/>
    <n v="4"/>
    <s v="Y"/>
    <s v="No"/>
    <n v="15"/>
    <x v="0"/>
    <n v="3"/>
    <n v="80"/>
    <x v="1"/>
    <n v="9"/>
    <x v="2"/>
    <n v="3"/>
    <n v="3"/>
    <n v="2"/>
    <n v="1"/>
    <n v="2"/>
  </r>
  <r>
    <n v="35"/>
    <x v="0"/>
    <x v="0"/>
    <n v="1204"/>
    <x v="0"/>
    <n v="4"/>
    <n v="3"/>
    <s v="Technical Degree"/>
    <n v="1"/>
    <n v="1100"/>
    <n v="4"/>
    <x v="1"/>
    <n v="86"/>
    <x v="0"/>
    <n v="3"/>
    <x v="0"/>
    <n v="1"/>
    <x v="0"/>
    <n v="9582"/>
    <n v="10333"/>
    <n v="0"/>
    <s v="Y"/>
    <s v="Yes"/>
    <n v="22"/>
    <x v="1"/>
    <n v="1"/>
    <n v="80"/>
    <x v="0"/>
    <n v="9"/>
    <x v="2"/>
    <n v="3"/>
    <n v="8"/>
    <n v="7"/>
    <n v="4"/>
    <n v="7"/>
  </r>
  <r>
    <n v="33"/>
    <x v="0"/>
    <x v="1"/>
    <n v="827"/>
    <x v="1"/>
    <n v="29"/>
    <n v="4"/>
    <s v="Medical"/>
    <n v="1"/>
    <n v="1101"/>
    <n v="1"/>
    <x v="0"/>
    <n v="54"/>
    <x v="1"/>
    <n v="2"/>
    <x v="1"/>
    <n v="3"/>
    <x v="0"/>
    <n v="4508"/>
    <n v="3129"/>
    <n v="1"/>
    <s v="Y"/>
    <s v="No"/>
    <n v="22"/>
    <x v="1"/>
    <n v="2"/>
    <n v="80"/>
    <x v="0"/>
    <n v="14"/>
    <x v="5"/>
    <n v="3"/>
    <n v="13"/>
    <n v="7"/>
    <n v="3"/>
    <n v="8"/>
  </r>
  <r>
    <n v="28"/>
    <x v="1"/>
    <x v="0"/>
    <n v="895"/>
    <x v="1"/>
    <n v="15"/>
    <n v="2"/>
    <s v="Life Sciences"/>
    <n v="1"/>
    <n v="1102"/>
    <n v="1"/>
    <x v="1"/>
    <n v="50"/>
    <x v="0"/>
    <n v="1"/>
    <x v="2"/>
    <n v="3"/>
    <x v="2"/>
    <n v="2207"/>
    <n v="22482"/>
    <n v="1"/>
    <s v="Y"/>
    <s v="No"/>
    <n v="16"/>
    <x v="0"/>
    <n v="4"/>
    <n v="80"/>
    <x v="1"/>
    <n v="4"/>
    <x v="3"/>
    <n v="2"/>
    <n v="4"/>
    <n v="2"/>
    <n v="2"/>
    <n v="2"/>
  </r>
  <r>
    <n v="34"/>
    <x v="1"/>
    <x v="1"/>
    <n v="618"/>
    <x v="1"/>
    <n v="3"/>
    <n v="1"/>
    <s v="Life Sciences"/>
    <n v="1"/>
    <n v="1103"/>
    <n v="1"/>
    <x v="1"/>
    <n v="45"/>
    <x v="0"/>
    <n v="2"/>
    <x v="4"/>
    <n v="4"/>
    <x v="0"/>
    <n v="7756"/>
    <n v="22266"/>
    <n v="0"/>
    <s v="Y"/>
    <s v="No"/>
    <n v="17"/>
    <x v="0"/>
    <n v="3"/>
    <n v="80"/>
    <x v="0"/>
    <n v="7"/>
    <x v="4"/>
    <n v="2"/>
    <n v="6"/>
    <n v="2"/>
    <n v="0"/>
    <n v="4"/>
  </r>
  <r>
    <n v="37"/>
    <x v="1"/>
    <x v="0"/>
    <n v="309"/>
    <x v="0"/>
    <n v="10"/>
    <n v="4"/>
    <s v="Life Sciences"/>
    <n v="1"/>
    <n v="1105"/>
    <n v="4"/>
    <x v="0"/>
    <n v="88"/>
    <x v="1"/>
    <n v="2"/>
    <x v="0"/>
    <n v="4"/>
    <x v="2"/>
    <n v="6694"/>
    <n v="24223"/>
    <n v="2"/>
    <s v="Y"/>
    <s v="Yes"/>
    <n v="14"/>
    <x v="0"/>
    <n v="3"/>
    <n v="80"/>
    <x v="2"/>
    <n v="8"/>
    <x v="3"/>
    <n v="3"/>
    <n v="1"/>
    <n v="0"/>
    <n v="0"/>
    <n v="0"/>
  </r>
  <r>
    <n v="25"/>
    <x v="0"/>
    <x v="0"/>
    <n v="1219"/>
    <x v="1"/>
    <n v="4"/>
    <n v="1"/>
    <s v="Technical Degree"/>
    <n v="1"/>
    <n v="1106"/>
    <n v="4"/>
    <x v="1"/>
    <n v="32"/>
    <x v="0"/>
    <n v="1"/>
    <x v="2"/>
    <n v="4"/>
    <x v="1"/>
    <n v="3691"/>
    <n v="4605"/>
    <n v="1"/>
    <s v="Y"/>
    <s v="Yes"/>
    <n v="15"/>
    <x v="0"/>
    <n v="2"/>
    <n v="80"/>
    <x v="1"/>
    <n v="7"/>
    <x v="1"/>
    <n v="4"/>
    <n v="7"/>
    <n v="7"/>
    <n v="5"/>
    <n v="6"/>
  </r>
  <r>
    <n v="26"/>
    <x v="0"/>
    <x v="0"/>
    <n v="1330"/>
    <x v="1"/>
    <n v="21"/>
    <n v="3"/>
    <s v="Medical"/>
    <n v="1"/>
    <n v="1107"/>
    <n v="1"/>
    <x v="1"/>
    <n v="37"/>
    <x v="0"/>
    <n v="1"/>
    <x v="2"/>
    <n v="3"/>
    <x v="2"/>
    <n v="2377"/>
    <n v="19373"/>
    <n v="1"/>
    <s v="Y"/>
    <s v="No"/>
    <n v="20"/>
    <x v="1"/>
    <n v="3"/>
    <n v="80"/>
    <x v="1"/>
    <n v="1"/>
    <x v="0"/>
    <n v="2"/>
    <n v="1"/>
    <n v="1"/>
    <n v="0"/>
    <n v="0"/>
  </r>
  <r>
    <n v="33"/>
    <x v="0"/>
    <x v="0"/>
    <n v="1017"/>
    <x v="1"/>
    <n v="25"/>
    <n v="3"/>
    <s v="Medical"/>
    <n v="1"/>
    <n v="1108"/>
    <n v="1"/>
    <x v="1"/>
    <n v="55"/>
    <x v="1"/>
    <n v="1"/>
    <x v="1"/>
    <n v="2"/>
    <x v="0"/>
    <n v="2313"/>
    <n v="2993"/>
    <n v="4"/>
    <s v="Y"/>
    <s v="Yes"/>
    <n v="20"/>
    <x v="1"/>
    <n v="2"/>
    <n v="80"/>
    <x v="0"/>
    <n v="5"/>
    <x v="0"/>
    <n v="3"/>
    <n v="2"/>
    <n v="2"/>
    <n v="2"/>
    <n v="2"/>
  </r>
  <r>
    <n v="42"/>
    <x v="1"/>
    <x v="0"/>
    <n v="469"/>
    <x v="1"/>
    <n v="2"/>
    <n v="2"/>
    <s v="Medical"/>
    <n v="1"/>
    <n v="1109"/>
    <n v="4"/>
    <x v="1"/>
    <n v="35"/>
    <x v="0"/>
    <n v="4"/>
    <x v="5"/>
    <n v="1"/>
    <x v="1"/>
    <n v="17665"/>
    <n v="14399"/>
    <n v="0"/>
    <s v="Y"/>
    <s v="No"/>
    <n v="17"/>
    <x v="0"/>
    <n v="4"/>
    <n v="80"/>
    <x v="1"/>
    <n v="23"/>
    <x v="1"/>
    <n v="3"/>
    <n v="22"/>
    <n v="6"/>
    <n v="13"/>
    <n v="7"/>
  </r>
  <r>
    <n v="28"/>
    <x v="0"/>
    <x v="1"/>
    <n v="1009"/>
    <x v="1"/>
    <n v="1"/>
    <n v="3"/>
    <s v="Medical"/>
    <n v="1"/>
    <n v="1111"/>
    <n v="1"/>
    <x v="1"/>
    <n v="45"/>
    <x v="1"/>
    <n v="1"/>
    <x v="2"/>
    <n v="2"/>
    <x v="2"/>
    <n v="2596"/>
    <n v="7160"/>
    <n v="1"/>
    <s v="Y"/>
    <s v="No"/>
    <n v="15"/>
    <x v="0"/>
    <n v="1"/>
    <n v="80"/>
    <x v="3"/>
    <n v="1"/>
    <x v="2"/>
    <n v="3"/>
    <n v="1"/>
    <n v="0"/>
    <n v="0"/>
    <n v="0"/>
  </r>
  <r>
    <n v="50"/>
    <x v="0"/>
    <x v="1"/>
    <n v="959"/>
    <x v="0"/>
    <n v="1"/>
    <n v="4"/>
    <s v="Other"/>
    <n v="1"/>
    <n v="1113"/>
    <n v="4"/>
    <x v="1"/>
    <n v="81"/>
    <x v="0"/>
    <n v="2"/>
    <x v="0"/>
    <n v="3"/>
    <x v="0"/>
    <n v="4728"/>
    <n v="17251"/>
    <n v="3"/>
    <s v="Y"/>
    <s v="Yes"/>
    <n v="14"/>
    <x v="0"/>
    <n v="4"/>
    <n v="80"/>
    <x v="0"/>
    <n v="5"/>
    <x v="5"/>
    <n v="3"/>
    <n v="0"/>
    <n v="0"/>
    <n v="0"/>
    <n v="0"/>
  </r>
  <r>
    <n v="33"/>
    <x v="1"/>
    <x v="1"/>
    <n v="970"/>
    <x v="0"/>
    <n v="7"/>
    <n v="3"/>
    <s v="Life Sciences"/>
    <n v="1"/>
    <n v="1114"/>
    <n v="4"/>
    <x v="0"/>
    <n v="30"/>
    <x v="0"/>
    <n v="2"/>
    <x v="0"/>
    <n v="2"/>
    <x v="1"/>
    <n v="4302"/>
    <n v="13401"/>
    <n v="0"/>
    <s v="Y"/>
    <s v="No"/>
    <n v="17"/>
    <x v="0"/>
    <n v="3"/>
    <n v="80"/>
    <x v="1"/>
    <n v="4"/>
    <x v="1"/>
    <n v="3"/>
    <n v="3"/>
    <n v="2"/>
    <n v="0"/>
    <n v="2"/>
  </r>
  <r>
    <n v="34"/>
    <x v="1"/>
    <x v="2"/>
    <n v="697"/>
    <x v="1"/>
    <n v="3"/>
    <n v="4"/>
    <s v="Life Sciences"/>
    <n v="1"/>
    <n v="1115"/>
    <n v="3"/>
    <x v="1"/>
    <n v="40"/>
    <x v="1"/>
    <n v="1"/>
    <x v="1"/>
    <n v="4"/>
    <x v="1"/>
    <n v="2979"/>
    <n v="22478"/>
    <n v="3"/>
    <s v="Y"/>
    <s v="No"/>
    <n v="17"/>
    <x v="0"/>
    <n v="4"/>
    <n v="80"/>
    <x v="2"/>
    <n v="6"/>
    <x v="2"/>
    <n v="3"/>
    <n v="0"/>
    <n v="0"/>
    <n v="0"/>
    <n v="0"/>
  </r>
  <r>
    <n v="48"/>
    <x v="1"/>
    <x v="2"/>
    <n v="1262"/>
    <x v="1"/>
    <n v="1"/>
    <n v="4"/>
    <s v="Medical"/>
    <n v="1"/>
    <n v="1116"/>
    <n v="1"/>
    <x v="1"/>
    <n v="35"/>
    <x v="2"/>
    <n v="4"/>
    <x v="5"/>
    <n v="4"/>
    <x v="0"/>
    <n v="16885"/>
    <n v="16154"/>
    <n v="2"/>
    <s v="Y"/>
    <s v="No"/>
    <n v="22"/>
    <x v="1"/>
    <n v="3"/>
    <n v="80"/>
    <x v="0"/>
    <n v="27"/>
    <x v="1"/>
    <n v="2"/>
    <n v="5"/>
    <n v="4"/>
    <n v="2"/>
    <n v="1"/>
  </r>
  <r>
    <n v="45"/>
    <x v="1"/>
    <x v="2"/>
    <n v="1050"/>
    <x v="0"/>
    <n v="9"/>
    <n v="4"/>
    <s v="Life Sciences"/>
    <n v="1"/>
    <n v="1117"/>
    <n v="2"/>
    <x v="0"/>
    <n v="65"/>
    <x v="1"/>
    <n v="2"/>
    <x v="0"/>
    <n v="3"/>
    <x v="1"/>
    <n v="5593"/>
    <n v="17970"/>
    <n v="1"/>
    <s v="Y"/>
    <s v="No"/>
    <n v="13"/>
    <x v="0"/>
    <n v="4"/>
    <n v="80"/>
    <x v="1"/>
    <n v="15"/>
    <x v="2"/>
    <n v="3"/>
    <n v="15"/>
    <n v="10"/>
    <n v="4"/>
    <n v="12"/>
  </r>
  <r>
    <n v="52"/>
    <x v="1"/>
    <x v="0"/>
    <n v="994"/>
    <x v="1"/>
    <n v="7"/>
    <n v="4"/>
    <s v="Life Sciences"/>
    <n v="1"/>
    <n v="1118"/>
    <n v="2"/>
    <x v="1"/>
    <n v="87"/>
    <x v="0"/>
    <n v="3"/>
    <x v="4"/>
    <n v="2"/>
    <x v="0"/>
    <n v="10445"/>
    <n v="15322"/>
    <n v="7"/>
    <s v="Y"/>
    <s v="No"/>
    <n v="19"/>
    <x v="0"/>
    <n v="4"/>
    <n v="80"/>
    <x v="0"/>
    <n v="18"/>
    <x v="5"/>
    <n v="3"/>
    <n v="8"/>
    <n v="6"/>
    <n v="4"/>
    <n v="0"/>
  </r>
  <r>
    <n v="38"/>
    <x v="1"/>
    <x v="0"/>
    <n v="770"/>
    <x v="0"/>
    <n v="10"/>
    <n v="4"/>
    <s v="Marketing"/>
    <n v="1"/>
    <n v="1119"/>
    <n v="3"/>
    <x v="1"/>
    <n v="73"/>
    <x v="1"/>
    <n v="3"/>
    <x v="0"/>
    <n v="3"/>
    <x v="2"/>
    <n v="8740"/>
    <n v="5569"/>
    <n v="0"/>
    <s v="Y"/>
    <s v="Yes"/>
    <n v="14"/>
    <x v="0"/>
    <n v="2"/>
    <n v="80"/>
    <x v="3"/>
    <n v="9"/>
    <x v="2"/>
    <n v="3"/>
    <n v="8"/>
    <n v="7"/>
    <n v="2"/>
    <n v="7"/>
  </r>
  <r>
    <n v="29"/>
    <x v="1"/>
    <x v="0"/>
    <n v="1107"/>
    <x v="1"/>
    <n v="28"/>
    <n v="4"/>
    <s v="Life Sciences"/>
    <n v="1"/>
    <n v="1120"/>
    <n v="3"/>
    <x v="0"/>
    <n v="93"/>
    <x v="0"/>
    <n v="1"/>
    <x v="1"/>
    <n v="4"/>
    <x v="2"/>
    <n v="2514"/>
    <n v="26968"/>
    <n v="4"/>
    <s v="Y"/>
    <s v="No"/>
    <n v="22"/>
    <x v="1"/>
    <n v="1"/>
    <n v="80"/>
    <x v="1"/>
    <n v="11"/>
    <x v="4"/>
    <n v="3"/>
    <n v="7"/>
    <n v="5"/>
    <n v="1"/>
    <n v="7"/>
  </r>
  <r>
    <n v="28"/>
    <x v="1"/>
    <x v="0"/>
    <n v="950"/>
    <x v="1"/>
    <n v="3"/>
    <n v="3"/>
    <s v="Medical"/>
    <n v="1"/>
    <n v="1121"/>
    <n v="4"/>
    <x v="0"/>
    <n v="93"/>
    <x v="0"/>
    <n v="3"/>
    <x v="3"/>
    <n v="2"/>
    <x v="2"/>
    <n v="7655"/>
    <n v="8039"/>
    <n v="0"/>
    <s v="Y"/>
    <s v="No"/>
    <n v="17"/>
    <x v="0"/>
    <n v="2"/>
    <n v="80"/>
    <x v="2"/>
    <n v="10"/>
    <x v="1"/>
    <n v="2"/>
    <n v="9"/>
    <n v="7"/>
    <n v="1"/>
    <n v="7"/>
  </r>
  <r>
    <n v="46"/>
    <x v="1"/>
    <x v="0"/>
    <n v="406"/>
    <x v="0"/>
    <n v="3"/>
    <n v="1"/>
    <s v="Marketing"/>
    <n v="1"/>
    <n v="1124"/>
    <n v="1"/>
    <x v="1"/>
    <n v="52"/>
    <x v="0"/>
    <n v="4"/>
    <x v="5"/>
    <n v="3"/>
    <x v="1"/>
    <n v="17465"/>
    <n v="15596"/>
    <n v="3"/>
    <s v="Y"/>
    <s v="No"/>
    <n v="12"/>
    <x v="0"/>
    <n v="4"/>
    <n v="80"/>
    <x v="1"/>
    <n v="23"/>
    <x v="1"/>
    <n v="3"/>
    <n v="12"/>
    <n v="9"/>
    <n v="4"/>
    <n v="9"/>
  </r>
  <r>
    <n v="38"/>
    <x v="1"/>
    <x v="0"/>
    <n v="130"/>
    <x v="0"/>
    <n v="2"/>
    <n v="2"/>
    <s v="Marketing"/>
    <n v="1"/>
    <n v="1125"/>
    <n v="4"/>
    <x v="1"/>
    <n v="32"/>
    <x v="0"/>
    <n v="3"/>
    <x v="0"/>
    <n v="2"/>
    <x v="0"/>
    <n v="7351"/>
    <n v="20619"/>
    <n v="7"/>
    <s v="Y"/>
    <s v="No"/>
    <n v="16"/>
    <x v="0"/>
    <n v="3"/>
    <n v="80"/>
    <x v="0"/>
    <n v="10"/>
    <x v="2"/>
    <n v="3"/>
    <n v="1"/>
    <n v="0"/>
    <n v="0"/>
    <n v="0"/>
  </r>
  <r>
    <n v="43"/>
    <x v="1"/>
    <x v="1"/>
    <n v="1082"/>
    <x v="1"/>
    <n v="27"/>
    <n v="3"/>
    <s v="Life Sciences"/>
    <n v="1"/>
    <n v="1126"/>
    <n v="3"/>
    <x v="0"/>
    <n v="83"/>
    <x v="0"/>
    <n v="3"/>
    <x v="3"/>
    <n v="1"/>
    <x v="1"/>
    <n v="10820"/>
    <n v="11535"/>
    <n v="8"/>
    <s v="Y"/>
    <s v="No"/>
    <n v="11"/>
    <x v="0"/>
    <n v="3"/>
    <n v="80"/>
    <x v="1"/>
    <n v="18"/>
    <x v="4"/>
    <n v="3"/>
    <n v="8"/>
    <n v="7"/>
    <n v="0"/>
    <n v="1"/>
  </r>
  <r>
    <n v="39"/>
    <x v="0"/>
    <x v="1"/>
    <n v="203"/>
    <x v="1"/>
    <n v="2"/>
    <n v="3"/>
    <s v="Life Sciences"/>
    <n v="1"/>
    <n v="1127"/>
    <n v="1"/>
    <x v="1"/>
    <n v="84"/>
    <x v="0"/>
    <n v="4"/>
    <x v="4"/>
    <n v="4"/>
    <x v="2"/>
    <n v="12169"/>
    <n v="13547"/>
    <n v="7"/>
    <s v="Y"/>
    <s v="No"/>
    <n v="11"/>
    <x v="0"/>
    <n v="4"/>
    <n v="80"/>
    <x v="2"/>
    <n v="21"/>
    <x v="5"/>
    <n v="3"/>
    <n v="18"/>
    <n v="7"/>
    <n v="11"/>
    <n v="5"/>
  </r>
  <r>
    <n v="40"/>
    <x v="1"/>
    <x v="0"/>
    <n v="1308"/>
    <x v="1"/>
    <n v="14"/>
    <n v="3"/>
    <s v="Medical"/>
    <n v="1"/>
    <n v="1128"/>
    <n v="3"/>
    <x v="1"/>
    <n v="44"/>
    <x v="1"/>
    <n v="5"/>
    <x v="7"/>
    <n v="3"/>
    <x v="0"/>
    <n v="19626"/>
    <n v="17544"/>
    <n v="1"/>
    <s v="Y"/>
    <s v="No"/>
    <n v="14"/>
    <x v="0"/>
    <n v="1"/>
    <n v="80"/>
    <x v="0"/>
    <n v="21"/>
    <x v="2"/>
    <n v="4"/>
    <n v="20"/>
    <n v="7"/>
    <n v="4"/>
    <n v="9"/>
  </r>
  <r>
    <n v="21"/>
    <x v="1"/>
    <x v="0"/>
    <n v="984"/>
    <x v="1"/>
    <n v="1"/>
    <n v="1"/>
    <s v="Technical Degree"/>
    <n v="1"/>
    <n v="1131"/>
    <n v="4"/>
    <x v="0"/>
    <n v="70"/>
    <x v="1"/>
    <n v="1"/>
    <x v="1"/>
    <n v="2"/>
    <x v="0"/>
    <n v="2070"/>
    <n v="25326"/>
    <n v="1"/>
    <s v="Y"/>
    <s v="Yes"/>
    <n v="11"/>
    <x v="0"/>
    <n v="3"/>
    <n v="80"/>
    <x v="0"/>
    <n v="2"/>
    <x v="6"/>
    <n v="4"/>
    <n v="2"/>
    <n v="2"/>
    <n v="2"/>
    <n v="2"/>
  </r>
  <r>
    <n v="39"/>
    <x v="1"/>
    <x v="2"/>
    <n v="439"/>
    <x v="1"/>
    <n v="9"/>
    <n v="3"/>
    <s v="Life Sciences"/>
    <n v="1"/>
    <n v="1132"/>
    <n v="3"/>
    <x v="1"/>
    <n v="70"/>
    <x v="0"/>
    <n v="2"/>
    <x v="2"/>
    <n v="2"/>
    <x v="0"/>
    <n v="6782"/>
    <n v="8770"/>
    <n v="9"/>
    <s v="Y"/>
    <s v="No"/>
    <n v="15"/>
    <x v="0"/>
    <n v="3"/>
    <n v="80"/>
    <x v="0"/>
    <n v="9"/>
    <x v="2"/>
    <n v="2"/>
    <n v="5"/>
    <n v="4"/>
    <n v="0"/>
    <n v="3"/>
  </r>
  <r>
    <n v="36"/>
    <x v="1"/>
    <x v="2"/>
    <n v="217"/>
    <x v="1"/>
    <n v="18"/>
    <n v="4"/>
    <s v="Life Sciences"/>
    <n v="1"/>
    <n v="1133"/>
    <n v="1"/>
    <x v="1"/>
    <n v="78"/>
    <x v="0"/>
    <n v="2"/>
    <x v="3"/>
    <n v="4"/>
    <x v="0"/>
    <n v="7779"/>
    <n v="23238"/>
    <n v="2"/>
    <s v="Y"/>
    <s v="No"/>
    <n v="20"/>
    <x v="1"/>
    <n v="1"/>
    <n v="80"/>
    <x v="0"/>
    <n v="18"/>
    <x v="0"/>
    <n v="3"/>
    <n v="11"/>
    <n v="9"/>
    <n v="0"/>
    <n v="9"/>
  </r>
  <r>
    <n v="31"/>
    <x v="1"/>
    <x v="1"/>
    <n v="793"/>
    <x v="0"/>
    <n v="20"/>
    <n v="3"/>
    <s v="Life Sciences"/>
    <n v="1"/>
    <n v="1135"/>
    <n v="3"/>
    <x v="1"/>
    <n v="67"/>
    <x v="2"/>
    <n v="1"/>
    <x v="6"/>
    <n v="4"/>
    <x v="1"/>
    <n v="2791"/>
    <n v="21981"/>
    <n v="0"/>
    <s v="Y"/>
    <s v="No"/>
    <n v="12"/>
    <x v="0"/>
    <n v="1"/>
    <n v="80"/>
    <x v="1"/>
    <n v="3"/>
    <x v="5"/>
    <n v="3"/>
    <n v="2"/>
    <n v="2"/>
    <n v="2"/>
    <n v="2"/>
  </r>
  <r>
    <n v="28"/>
    <x v="1"/>
    <x v="0"/>
    <n v="1451"/>
    <x v="1"/>
    <n v="2"/>
    <n v="1"/>
    <s v="Life Sciences"/>
    <n v="1"/>
    <n v="1136"/>
    <n v="1"/>
    <x v="1"/>
    <n v="67"/>
    <x v="1"/>
    <n v="1"/>
    <x v="1"/>
    <n v="2"/>
    <x v="1"/>
    <n v="3201"/>
    <n v="19911"/>
    <n v="0"/>
    <s v="Y"/>
    <s v="No"/>
    <n v="17"/>
    <x v="0"/>
    <n v="1"/>
    <n v="80"/>
    <x v="0"/>
    <n v="6"/>
    <x v="2"/>
    <n v="1"/>
    <n v="5"/>
    <n v="3"/>
    <n v="0"/>
    <n v="4"/>
  </r>
  <r>
    <n v="35"/>
    <x v="1"/>
    <x v="1"/>
    <n v="1182"/>
    <x v="0"/>
    <n v="11"/>
    <n v="2"/>
    <s v="Marketing"/>
    <n v="1"/>
    <n v="1137"/>
    <n v="4"/>
    <x v="1"/>
    <n v="54"/>
    <x v="0"/>
    <n v="2"/>
    <x v="0"/>
    <n v="4"/>
    <x v="2"/>
    <n v="4968"/>
    <n v="18500"/>
    <n v="1"/>
    <s v="Y"/>
    <s v="No"/>
    <n v="11"/>
    <x v="0"/>
    <n v="4"/>
    <n v="80"/>
    <x v="1"/>
    <n v="5"/>
    <x v="1"/>
    <n v="3"/>
    <n v="5"/>
    <n v="2"/>
    <n v="0"/>
    <n v="2"/>
  </r>
  <r>
    <n v="49"/>
    <x v="1"/>
    <x v="0"/>
    <n v="174"/>
    <x v="0"/>
    <n v="8"/>
    <n v="4"/>
    <s v="Technical Degree"/>
    <n v="1"/>
    <n v="1138"/>
    <n v="4"/>
    <x v="1"/>
    <n v="56"/>
    <x v="1"/>
    <n v="4"/>
    <x v="0"/>
    <n v="2"/>
    <x v="1"/>
    <n v="13120"/>
    <n v="11879"/>
    <n v="6"/>
    <s v="Y"/>
    <s v="No"/>
    <n v="17"/>
    <x v="0"/>
    <n v="2"/>
    <n v="80"/>
    <x v="1"/>
    <n v="22"/>
    <x v="1"/>
    <n v="3"/>
    <n v="9"/>
    <n v="8"/>
    <n v="2"/>
    <n v="3"/>
  </r>
  <r>
    <n v="34"/>
    <x v="1"/>
    <x v="1"/>
    <n v="1003"/>
    <x v="1"/>
    <n v="2"/>
    <n v="2"/>
    <s v="Life Sciences"/>
    <n v="1"/>
    <n v="1140"/>
    <n v="4"/>
    <x v="1"/>
    <n v="95"/>
    <x v="0"/>
    <n v="2"/>
    <x v="3"/>
    <n v="3"/>
    <x v="0"/>
    <n v="4033"/>
    <n v="15834"/>
    <n v="2"/>
    <s v="Y"/>
    <s v="No"/>
    <n v="11"/>
    <x v="0"/>
    <n v="4"/>
    <n v="80"/>
    <x v="0"/>
    <n v="5"/>
    <x v="1"/>
    <n v="2"/>
    <n v="3"/>
    <n v="2"/>
    <n v="0"/>
    <n v="2"/>
  </r>
  <r>
    <n v="29"/>
    <x v="1"/>
    <x v="1"/>
    <n v="490"/>
    <x v="1"/>
    <n v="10"/>
    <n v="3"/>
    <s v="Life Sciences"/>
    <n v="1"/>
    <n v="1143"/>
    <n v="4"/>
    <x v="0"/>
    <n v="61"/>
    <x v="0"/>
    <n v="1"/>
    <x v="1"/>
    <n v="2"/>
    <x v="2"/>
    <n v="3291"/>
    <n v="17940"/>
    <n v="0"/>
    <s v="Y"/>
    <s v="No"/>
    <n v="14"/>
    <x v="0"/>
    <n v="4"/>
    <n v="80"/>
    <x v="3"/>
    <n v="8"/>
    <x v="2"/>
    <n v="2"/>
    <n v="7"/>
    <n v="5"/>
    <n v="1"/>
    <n v="1"/>
  </r>
  <r>
    <n v="42"/>
    <x v="1"/>
    <x v="0"/>
    <n v="188"/>
    <x v="1"/>
    <n v="29"/>
    <n v="3"/>
    <s v="Medical"/>
    <n v="1"/>
    <n v="1148"/>
    <n v="2"/>
    <x v="1"/>
    <n v="56"/>
    <x v="3"/>
    <n v="2"/>
    <x v="2"/>
    <n v="4"/>
    <x v="0"/>
    <n v="4272"/>
    <n v="9558"/>
    <n v="4"/>
    <s v="Y"/>
    <s v="No"/>
    <n v="19"/>
    <x v="0"/>
    <n v="1"/>
    <n v="80"/>
    <x v="0"/>
    <n v="16"/>
    <x v="1"/>
    <n v="3"/>
    <n v="1"/>
    <n v="0"/>
    <n v="0"/>
    <n v="0"/>
  </r>
  <r>
    <n v="29"/>
    <x v="1"/>
    <x v="0"/>
    <n v="718"/>
    <x v="1"/>
    <n v="8"/>
    <n v="1"/>
    <s v="Medical"/>
    <n v="1"/>
    <n v="1150"/>
    <n v="2"/>
    <x v="1"/>
    <n v="79"/>
    <x v="1"/>
    <n v="2"/>
    <x v="3"/>
    <n v="4"/>
    <x v="1"/>
    <n v="5056"/>
    <n v="17689"/>
    <n v="1"/>
    <s v="Y"/>
    <s v="Yes"/>
    <n v="15"/>
    <x v="0"/>
    <n v="3"/>
    <n v="80"/>
    <x v="1"/>
    <n v="10"/>
    <x v="2"/>
    <n v="2"/>
    <n v="10"/>
    <n v="7"/>
    <n v="1"/>
    <n v="2"/>
  </r>
  <r>
    <n v="38"/>
    <x v="1"/>
    <x v="0"/>
    <n v="433"/>
    <x v="2"/>
    <n v="1"/>
    <n v="3"/>
    <s v="Human Resources"/>
    <n v="1"/>
    <n v="1152"/>
    <n v="3"/>
    <x v="1"/>
    <n v="37"/>
    <x v="2"/>
    <n v="1"/>
    <x v="8"/>
    <n v="3"/>
    <x v="1"/>
    <n v="2844"/>
    <n v="6004"/>
    <n v="1"/>
    <s v="Y"/>
    <s v="No"/>
    <n v="13"/>
    <x v="0"/>
    <n v="4"/>
    <n v="80"/>
    <x v="1"/>
    <n v="7"/>
    <x v="2"/>
    <n v="4"/>
    <n v="7"/>
    <n v="6"/>
    <n v="5"/>
    <n v="0"/>
  </r>
  <r>
    <n v="28"/>
    <x v="1"/>
    <x v="1"/>
    <n v="773"/>
    <x v="1"/>
    <n v="6"/>
    <n v="3"/>
    <s v="Life Sciences"/>
    <n v="1"/>
    <n v="1154"/>
    <n v="3"/>
    <x v="1"/>
    <n v="39"/>
    <x v="1"/>
    <n v="1"/>
    <x v="1"/>
    <n v="3"/>
    <x v="2"/>
    <n v="2703"/>
    <n v="22088"/>
    <n v="1"/>
    <s v="Y"/>
    <s v="Yes"/>
    <n v="14"/>
    <x v="0"/>
    <n v="4"/>
    <n v="80"/>
    <x v="1"/>
    <n v="3"/>
    <x v="2"/>
    <n v="3"/>
    <n v="3"/>
    <n v="1"/>
    <n v="0"/>
    <n v="2"/>
  </r>
  <r>
    <n v="18"/>
    <x v="0"/>
    <x v="2"/>
    <n v="247"/>
    <x v="1"/>
    <n v="8"/>
    <n v="1"/>
    <s v="Medical"/>
    <n v="1"/>
    <n v="1156"/>
    <n v="3"/>
    <x v="1"/>
    <n v="80"/>
    <x v="0"/>
    <n v="1"/>
    <x v="2"/>
    <n v="3"/>
    <x v="0"/>
    <n v="1904"/>
    <n v="13556"/>
    <n v="1"/>
    <s v="Y"/>
    <s v="No"/>
    <n v="12"/>
    <x v="0"/>
    <n v="4"/>
    <n v="80"/>
    <x v="0"/>
    <n v="0"/>
    <x v="0"/>
    <n v="3"/>
    <n v="0"/>
    <n v="0"/>
    <n v="0"/>
    <n v="0"/>
  </r>
  <r>
    <n v="33"/>
    <x v="0"/>
    <x v="0"/>
    <n v="603"/>
    <x v="0"/>
    <n v="9"/>
    <n v="4"/>
    <s v="Marketing"/>
    <n v="1"/>
    <n v="1157"/>
    <n v="1"/>
    <x v="0"/>
    <n v="77"/>
    <x v="0"/>
    <n v="2"/>
    <x v="0"/>
    <n v="1"/>
    <x v="0"/>
    <n v="8224"/>
    <n v="18385"/>
    <n v="0"/>
    <s v="Y"/>
    <s v="Yes"/>
    <n v="17"/>
    <x v="0"/>
    <n v="1"/>
    <n v="80"/>
    <x v="0"/>
    <n v="6"/>
    <x v="1"/>
    <n v="3"/>
    <n v="5"/>
    <n v="2"/>
    <n v="0"/>
    <n v="3"/>
  </r>
  <r>
    <n v="41"/>
    <x v="1"/>
    <x v="0"/>
    <n v="167"/>
    <x v="1"/>
    <n v="12"/>
    <n v="4"/>
    <s v="Life Sciences"/>
    <n v="1"/>
    <n v="1158"/>
    <n v="2"/>
    <x v="1"/>
    <n v="46"/>
    <x v="0"/>
    <n v="1"/>
    <x v="2"/>
    <n v="4"/>
    <x v="1"/>
    <n v="4766"/>
    <n v="9051"/>
    <n v="3"/>
    <s v="Y"/>
    <s v="Yes"/>
    <n v="11"/>
    <x v="0"/>
    <n v="1"/>
    <n v="80"/>
    <x v="1"/>
    <n v="6"/>
    <x v="5"/>
    <n v="3"/>
    <n v="1"/>
    <n v="0"/>
    <n v="0"/>
    <n v="0"/>
  </r>
  <r>
    <n v="31"/>
    <x v="0"/>
    <x v="1"/>
    <n v="874"/>
    <x v="1"/>
    <n v="15"/>
    <n v="3"/>
    <s v="Medical"/>
    <n v="1"/>
    <n v="1160"/>
    <n v="3"/>
    <x v="1"/>
    <n v="72"/>
    <x v="0"/>
    <n v="1"/>
    <x v="2"/>
    <n v="3"/>
    <x v="1"/>
    <n v="2610"/>
    <n v="6233"/>
    <n v="1"/>
    <s v="Y"/>
    <s v="No"/>
    <n v="12"/>
    <x v="0"/>
    <n v="3"/>
    <n v="80"/>
    <x v="1"/>
    <n v="2"/>
    <x v="3"/>
    <n v="2"/>
    <n v="2"/>
    <n v="2"/>
    <n v="2"/>
    <n v="2"/>
  </r>
  <r>
    <n v="37"/>
    <x v="1"/>
    <x v="0"/>
    <n v="367"/>
    <x v="1"/>
    <n v="25"/>
    <n v="2"/>
    <s v="Medical"/>
    <n v="1"/>
    <n v="1161"/>
    <n v="3"/>
    <x v="0"/>
    <n v="52"/>
    <x v="1"/>
    <n v="2"/>
    <x v="4"/>
    <n v="4"/>
    <x v="2"/>
    <n v="5731"/>
    <n v="17171"/>
    <n v="7"/>
    <s v="Y"/>
    <s v="No"/>
    <n v="13"/>
    <x v="0"/>
    <n v="3"/>
    <n v="80"/>
    <x v="3"/>
    <n v="9"/>
    <x v="2"/>
    <n v="3"/>
    <n v="6"/>
    <n v="2"/>
    <n v="1"/>
    <n v="3"/>
  </r>
  <r>
    <n v="27"/>
    <x v="1"/>
    <x v="0"/>
    <n v="199"/>
    <x v="1"/>
    <n v="6"/>
    <n v="3"/>
    <s v="Life Sciences"/>
    <n v="1"/>
    <n v="1162"/>
    <n v="4"/>
    <x v="1"/>
    <n v="55"/>
    <x v="1"/>
    <n v="1"/>
    <x v="1"/>
    <n v="3"/>
    <x v="1"/>
    <n v="2539"/>
    <n v="7950"/>
    <n v="1"/>
    <s v="Y"/>
    <s v="No"/>
    <n v="13"/>
    <x v="0"/>
    <n v="3"/>
    <n v="80"/>
    <x v="1"/>
    <n v="4"/>
    <x v="0"/>
    <n v="3"/>
    <n v="4"/>
    <n v="2"/>
    <n v="2"/>
    <n v="2"/>
  </r>
  <r>
    <n v="34"/>
    <x v="1"/>
    <x v="0"/>
    <n v="1400"/>
    <x v="0"/>
    <n v="9"/>
    <n v="1"/>
    <s v="Life Sciences"/>
    <n v="1"/>
    <n v="1163"/>
    <n v="2"/>
    <x v="0"/>
    <n v="70"/>
    <x v="0"/>
    <n v="2"/>
    <x v="0"/>
    <n v="3"/>
    <x v="1"/>
    <n v="5714"/>
    <n v="5829"/>
    <n v="1"/>
    <s v="Y"/>
    <s v="No"/>
    <n v="20"/>
    <x v="1"/>
    <n v="1"/>
    <n v="80"/>
    <x v="0"/>
    <n v="6"/>
    <x v="1"/>
    <n v="2"/>
    <n v="6"/>
    <n v="5"/>
    <n v="1"/>
    <n v="3"/>
  </r>
  <r>
    <n v="35"/>
    <x v="1"/>
    <x v="0"/>
    <n v="528"/>
    <x v="2"/>
    <n v="8"/>
    <n v="4"/>
    <s v="Technical Degree"/>
    <n v="1"/>
    <n v="1164"/>
    <n v="3"/>
    <x v="1"/>
    <n v="100"/>
    <x v="0"/>
    <n v="1"/>
    <x v="8"/>
    <n v="3"/>
    <x v="0"/>
    <n v="4323"/>
    <n v="7108"/>
    <n v="1"/>
    <s v="Y"/>
    <s v="No"/>
    <n v="17"/>
    <x v="0"/>
    <n v="2"/>
    <n v="80"/>
    <x v="0"/>
    <n v="6"/>
    <x v="2"/>
    <n v="1"/>
    <n v="5"/>
    <n v="4"/>
    <n v="1"/>
    <n v="4"/>
  </r>
  <r>
    <n v="29"/>
    <x v="0"/>
    <x v="0"/>
    <n v="408"/>
    <x v="0"/>
    <n v="23"/>
    <n v="1"/>
    <s v="Life Sciences"/>
    <n v="1"/>
    <n v="1165"/>
    <n v="4"/>
    <x v="0"/>
    <n v="45"/>
    <x v="1"/>
    <n v="3"/>
    <x v="0"/>
    <n v="1"/>
    <x v="1"/>
    <n v="7336"/>
    <n v="11162"/>
    <n v="1"/>
    <s v="Y"/>
    <s v="No"/>
    <n v="13"/>
    <x v="0"/>
    <n v="1"/>
    <n v="80"/>
    <x v="1"/>
    <n v="11"/>
    <x v="1"/>
    <n v="1"/>
    <n v="11"/>
    <n v="8"/>
    <n v="3"/>
    <n v="10"/>
  </r>
  <r>
    <n v="40"/>
    <x v="1"/>
    <x v="1"/>
    <n v="593"/>
    <x v="1"/>
    <n v="9"/>
    <n v="4"/>
    <s v="Medical"/>
    <n v="1"/>
    <n v="1166"/>
    <n v="2"/>
    <x v="0"/>
    <n v="88"/>
    <x v="0"/>
    <n v="3"/>
    <x v="7"/>
    <n v="3"/>
    <x v="0"/>
    <n v="13499"/>
    <n v="13782"/>
    <n v="9"/>
    <s v="Y"/>
    <s v="No"/>
    <n v="17"/>
    <x v="0"/>
    <n v="3"/>
    <n v="80"/>
    <x v="0"/>
    <n v="20"/>
    <x v="1"/>
    <n v="2"/>
    <n v="18"/>
    <n v="7"/>
    <n v="2"/>
    <n v="13"/>
  </r>
  <r>
    <n v="42"/>
    <x v="0"/>
    <x v="1"/>
    <n v="481"/>
    <x v="0"/>
    <n v="12"/>
    <n v="3"/>
    <s v="Life Sciences"/>
    <n v="1"/>
    <n v="1167"/>
    <n v="3"/>
    <x v="1"/>
    <n v="44"/>
    <x v="0"/>
    <n v="4"/>
    <x v="0"/>
    <n v="1"/>
    <x v="0"/>
    <n v="13758"/>
    <n v="2447"/>
    <n v="0"/>
    <s v="Y"/>
    <s v="Yes"/>
    <n v="12"/>
    <x v="0"/>
    <n v="2"/>
    <n v="80"/>
    <x v="0"/>
    <n v="22"/>
    <x v="2"/>
    <n v="2"/>
    <n v="21"/>
    <n v="9"/>
    <n v="13"/>
    <n v="14"/>
  </r>
  <r>
    <n v="42"/>
    <x v="1"/>
    <x v="0"/>
    <n v="647"/>
    <x v="0"/>
    <n v="4"/>
    <n v="4"/>
    <s v="Marketing"/>
    <n v="1"/>
    <n v="1171"/>
    <n v="2"/>
    <x v="1"/>
    <n v="45"/>
    <x v="0"/>
    <n v="2"/>
    <x v="0"/>
    <n v="1"/>
    <x v="0"/>
    <n v="5155"/>
    <n v="2253"/>
    <n v="7"/>
    <s v="Y"/>
    <s v="No"/>
    <n v="13"/>
    <x v="0"/>
    <n v="4"/>
    <n v="80"/>
    <x v="0"/>
    <n v="9"/>
    <x v="1"/>
    <n v="4"/>
    <n v="6"/>
    <n v="4"/>
    <n v="1"/>
    <n v="5"/>
  </r>
  <r>
    <n v="35"/>
    <x v="1"/>
    <x v="0"/>
    <n v="982"/>
    <x v="1"/>
    <n v="1"/>
    <n v="4"/>
    <s v="Medical"/>
    <n v="1"/>
    <n v="1172"/>
    <n v="4"/>
    <x v="1"/>
    <n v="58"/>
    <x v="1"/>
    <n v="1"/>
    <x v="2"/>
    <n v="3"/>
    <x v="1"/>
    <n v="2258"/>
    <n v="16340"/>
    <n v="6"/>
    <s v="Y"/>
    <s v="No"/>
    <n v="12"/>
    <x v="0"/>
    <n v="2"/>
    <n v="80"/>
    <x v="1"/>
    <n v="10"/>
    <x v="2"/>
    <n v="3"/>
    <n v="8"/>
    <n v="0"/>
    <n v="1"/>
    <n v="7"/>
  </r>
  <r>
    <n v="24"/>
    <x v="1"/>
    <x v="0"/>
    <n v="477"/>
    <x v="1"/>
    <n v="24"/>
    <n v="3"/>
    <s v="Medical"/>
    <n v="1"/>
    <n v="1173"/>
    <n v="4"/>
    <x v="1"/>
    <n v="49"/>
    <x v="0"/>
    <n v="1"/>
    <x v="2"/>
    <n v="2"/>
    <x v="0"/>
    <n v="3597"/>
    <n v="6409"/>
    <n v="8"/>
    <s v="Y"/>
    <s v="No"/>
    <n v="22"/>
    <x v="1"/>
    <n v="4"/>
    <n v="80"/>
    <x v="0"/>
    <n v="6"/>
    <x v="2"/>
    <n v="3"/>
    <n v="4"/>
    <n v="3"/>
    <n v="1"/>
    <n v="2"/>
  </r>
  <r>
    <n v="28"/>
    <x v="0"/>
    <x v="0"/>
    <n v="1485"/>
    <x v="1"/>
    <n v="12"/>
    <n v="1"/>
    <s v="Life Sciences"/>
    <n v="1"/>
    <n v="1175"/>
    <n v="3"/>
    <x v="0"/>
    <n v="79"/>
    <x v="0"/>
    <n v="1"/>
    <x v="2"/>
    <n v="4"/>
    <x v="1"/>
    <n v="2515"/>
    <n v="22955"/>
    <n v="1"/>
    <s v="Y"/>
    <s v="Yes"/>
    <n v="11"/>
    <x v="0"/>
    <n v="4"/>
    <n v="80"/>
    <x v="0"/>
    <n v="1"/>
    <x v="5"/>
    <n v="2"/>
    <n v="1"/>
    <n v="1"/>
    <n v="0"/>
    <n v="0"/>
  </r>
  <r>
    <n v="26"/>
    <x v="1"/>
    <x v="0"/>
    <n v="1384"/>
    <x v="1"/>
    <n v="3"/>
    <n v="4"/>
    <s v="Medical"/>
    <n v="1"/>
    <n v="1177"/>
    <n v="1"/>
    <x v="1"/>
    <n v="82"/>
    <x v="2"/>
    <n v="1"/>
    <x v="2"/>
    <n v="4"/>
    <x v="1"/>
    <n v="4420"/>
    <n v="13421"/>
    <n v="1"/>
    <s v="Y"/>
    <s v="No"/>
    <n v="22"/>
    <x v="1"/>
    <n v="2"/>
    <n v="80"/>
    <x v="1"/>
    <n v="8"/>
    <x v="2"/>
    <n v="3"/>
    <n v="8"/>
    <n v="7"/>
    <n v="0"/>
    <n v="7"/>
  </r>
  <r>
    <n v="30"/>
    <x v="1"/>
    <x v="0"/>
    <n v="852"/>
    <x v="0"/>
    <n v="10"/>
    <n v="3"/>
    <s v="Marketing"/>
    <n v="1"/>
    <n v="1179"/>
    <n v="3"/>
    <x v="1"/>
    <n v="72"/>
    <x v="1"/>
    <n v="2"/>
    <x v="0"/>
    <n v="3"/>
    <x v="1"/>
    <n v="6578"/>
    <n v="2706"/>
    <n v="1"/>
    <s v="Y"/>
    <s v="No"/>
    <n v="18"/>
    <x v="0"/>
    <n v="1"/>
    <n v="80"/>
    <x v="1"/>
    <n v="10"/>
    <x v="1"/>
    <n v="3"/>
    <n v="10"/>
    <n v="3"/>
    <n v="1"/>
    <n v="4"/>
  </r>
  <r>
    <n v="40"/>
    <x v="1"/>
    <x v="1"/>
    <n v="902"/>
    <x v="1"/>
    <n v="26"/>
    <n v="2"/>
    <s v="Medical"/>
    <n v="1"/>
    <n v="1180"/>
    <n v="3"/>
    <x v="0"/>
    <n v="92"/>
    <x v="1"/>
    <n v="2"/>
    <x v="1"/>
    <n v="4"/>
    <x v="1"/>
    <n v="4422"/>
    <n v="21203"/>
    <n v="3"/>
    <s v="Y"/>
    <s v="Yes"/>
    <n v="13"/>
    <x v="0"/>
    <n v="4"/>
    <n v="80"/>
    <x v="1"/>
    <n v="16"/>
    <x v="1"/>
    <n v="1"/>
    <n v="1"/>
    <n v="1"/>
    <n v="0"/>
    <n v="0"/>
  </r>
  <r>
    <n v="35"/>
    <x v="1"/>
    <x v="0"/>
    <n v="819"/>
    <x v="1"/>
    <n v="2"/>
    <n v="3"/>
    <s v="Life Sciences"/>
    <n v="1"/>
    <n v="1182"/>
    <n v="3"/>
    <x v="1"/>
    <n v="44"/>
    <x v="1"/>
    <n v="3"/>
    <x v="3"/>
    <n v="2"/>
    <x v="2"/>
    <n v="10274"/>
    <n v="19588"/>
    <n v="2"/>
    <s v="Y"/>
    <s v="No"/>
    <n v="18"/>
    <x v="0"/>
    <n v="2"/>
    <n v="80"/>
    <x v="1"/>
    <n v="15"/>
    <x v="2"/>
    <n v="4"/>
    <n v="7"/>
    <n v="7"/>
    <n v="6"/>
    <n v="4"/>
  </r>
  <r>
    <n v="34"/>
    <x v="1"/>
    <x v="1"/>
    <n v="669"/>
    <x v="1"/>
    <n v="1"/>
    <n v="3"/>
    <s v="Medical"/>
    <n v="1"/>
    <n v="1184"/>
    <n v="4"/>
    <x v="1"/>
    <n v="97"/>
    <x v="1"/>
    <n v="2"/>
    <x v="4"/>
    <n v="1"/>
    <x v="0"/>
    <n v="5343"/>
    <n v="25755"/>
    <n v="0"/>
    <s v="Y"/>
    <s v="No"/>
    <n v="20"/>
    <x v="1"/>
    <n v="3"/>
    <n v="80"/>
    <x v="0"/>
    <n v="14"/>
    <x v="1"/>
    <n v="3"/>
    <n v="13"/>
    <n v="9"/>
    <n v="4"/>
    <n v="9"/>
  </r>
  <r>
    <n v="35"/>
    <x v="1"/>
    <x v="1"/>
    <n v="636"/>
    <x v="1"/>
    <n v="4"/>
    <n v="4"/>
    <s v="Other"/>
    <n v="1"/>
    <n v="1185"/>
    <n v="4"/>
    <x v="1"/>
    <n v="47"/>
    <x v="1"/>
    <n v="1"/>
    <x v="2"/>
    <n v="4"/>
    <x v="1"/>
    <n v="2376"/>
    <n v="26537"/>
    <n v="1"/>
    <s v="Y"/>
    <s v="No"/>
    <n v="13"/>
    <x v="0"/>
    <n v="2"/>
    <n v="80"/>
    <x v="1"/>
    <n v="2"/>
    <x v="2"/>
    <n v="4"/>
    <n v="2"/>
    <n v="2"/>
    <n v="2"/>
    <n v="2"/>
  </r>
  <r>
    <n v="43"/>
    <x v="0"/>
    <x v="0"/>
    <n v="1372"/>
    <x v="0"/>
    <n v="9"/>
    <n v="3"/>
    <s v="Marketing"/>
    <n v="1"/>
    <n v="1188"/>
    <n v="1"/>
    <x v="0"/>
    <n v="85"/>
    <x v="3"/>
    <n v="2"/>
    <x v="0"/>
    <n v="3"/>
    <x v="0"/>
    <n v="5346"/>
    <n v="9489"/>
    <n v="8"/>
    <s v="Y"/>
    <s v="No"/>
    <n v="13"/>
    <x v="0"/>
    <n v="2"/>
    <n v="80"/>
    <x v="0"/>
    <n v="7"/>
    <x v="2"/>
    <n v="2"/>
    <n v="4"/>
    <n v="3"/>
    <n v="1"/>
    <n v="3"/>
  </r>
  <r>
    <n v="32"/>
    <x v="1"/>
    <x v="2"/>
    <n v="862"/>
    <x v="0"/>
    <n v="2"/>
    <n v="1"/>
    <s v="Life Sciences"/>
    <n v="1"/>
    <n v="1190"/>
    <n v="3"/>
    <x v="0"/>
    <n v="76"/>
    <x v="0"/>
    <n v="1"/>
    <x v="6"/>
    <n v="1"/>
    <x v="2"/>
    <n v="2827"/>
    <n v="14947"/>
    <n v="1"/>
    <s v="Y"/>
    <s v="No"/>
    <n v="12"/>
    <x v="0"/>
    <n v="3"/>
    <n v="80"/>
    <x v="2"/>
    <n v="1"/>
    <x v="1"/>
    <n v="3"/>
    <n v="1"/>
    <n v="0"/>
    <n v="0"/>
    <n v="0"/>
  </r>
  <r>
    <n v="56"/>
    <x v="1"/>
    <x v="0"/>
    <n v="718"/>
    <x v="1"/>
    <n v="4"/>
    <n v="4"/>
    <s v="Technical Degree"/>
    <n v="1"/>
    <n v="1191"/>
    <n v="4"/>
    <x v="0"/>
    <n v="92"/>
    <x v="0"/>
    <n v="5"/>
    <x v="5"/>
    <n v="1"/>
    <x v="2"/>
    <n v="19943"/>
    <n v="18575"/>
    <n v="4"/>
    <s v="Y"/>
    <s v="No"/>
    <n v="13"/>
    <x v="0"/>
    <n v="4"/>
    <n v="80"/>
    <x v="1"/>
    <n v="28"/>
    <x v="2"/>
    <n v="3"/>
    <n v="5"/>
    <n v="2"/>
    <n v="4"/>
    <n v="2"/>
  </r>
  <r>
    <n v="29"/>
    <x v="1"/>
    <x v="0"/>
    <n v="1401"/>
    <x v="1"/>
    <n v="6"/>
    <n v="1"/>
    <s v="Medical"/>
    <n v="1"/>
    <n v="1192"/>
    <n v="2"/>
    <x v="0"/>
    <n v="54"/>
    <x v="0"/>
    <n v="1"/>
    <x v="2"/>
    <n v="4"/>
    <x v="1"/>
    <n v="3131"/>
    <n v="26342"/>
    <n v="1"/>
    <s v="Y"/>
    <s v="No"/>
    <n v="13"/>
    <x v="0"/>
    <n v="1"/>
    <n v="80"/>
    <x v="1"/>
    <n v="10"/>
    <x v="3"/>
    <n v="3"/>
    <n v="10"/>
    <n v="8"/>
    <n v="0"/>
    <n v="8"/>
  </r>
  <r>
    <n v="19"/>
    <x v="1"/>
    <x v="0"/>
    <n v="645"/>
    <x v="1"/>
    <n v="9"/>
    <n v="2"/>
    <s v="Life Sciences"/>
    <n v="1"/>
    <n v="1193"/>
    <n v="3"/>
    <x v="1"/>
    <n v="54"/>
    <x v="0"/>
    <n v="1"/>
    <x v="1"/>
    <n v="1"/>
    <x v="0"/>
    <n v="2552"/>
    <n v="7172"/>
    <n v="1"/>
    <s v="Y"/>
    <s v="No"/>
    <n v="25"/>
    <x v="1"/>
    <n v="3"/>
    <n v="80"/>
    <x v="0"/>
    <n v="1"/>
    <x v="5"/>
    <n v="3"/>
    <n v="1"/>
    <n v="1"/>
    <n v="0"/>
    <n v="0"/>
  </r>
  <r>
    <n v="45"/>
    <x v="1"/>
    <x v="0"/>
    <n v="1457"/>
    <x v="1"/>
    <n v="7"/>
    <n v="3"/>
    <s v="Medical"/>
    <n v="1"/>
    <n v="1195"/>
    <n v="1"/>
    <x v="0"/>
    <n v="83"/>
    <x v="0"/>
    <n v="1"/>
    <x v="1"/>
    <n v="3"/>
    <x v="1"/>
    <n v="4477"/>
    <n v="20100"/>
    <n v="4"/>
    <s v="Y"/>
    <s v="Yes"/>
    <n v="19"/>
    <x v="0"/>
    <n v="3"/>
    <n v="80"/>
    <x v="1"/>
    <n v="7"/>
    <x v="2"/>
    <n v="2"/>
    <n v="3"/>
    <n v="2"/>
    <n v="0"/>
    <n v="2"/>
  </r>
  <r>
    <n v="37"/>
    <x v="1"/>
    <x v="0"/>
    <n v="977"/>
    <x v="1"/>
    <n v="1"/>
    <n v="3"/>
    <s v="Life Sciences"/>
    <n v="1"/>
    <n v="1196"/>
    <n v="4"/>
    <x v="0"/>
    <n v="56"/>
    <x v="1"/>
    <n v="2"/>
    <x v="3"/>
    <n v="4"/>
    <x v="1"/>
    <n v="6474"/>
    <n v="9961"/>
    <n v="1"/>
    <s v="Y"/>
    <s v="No"/>
    <n v="13"/>
    <x v="0"/>
    <n v="2"/>
    <n v="80"/>
    <x v="1"/>
    <n v="14"/>
    <x v="2"/>
    <n v="2"/>
    <n v="14"/>
    <n v="8"/>
    <n v="3"/>
    <n v="11"/>
  </r>
  <r>
    <n v="20"/>
    <x v="1"/>
    <x v="0"/>
    <n v="805"/>
    <x v="1"/>
    <n v="3"/>
    <n v="3"/>
    <s v="Life Sciences"/>
    <n v="1"/>
    <n v="1198"/>
    <n v="1"/>
    <x v="1"/>
    <n v="87"/>
    <x v="1"/>
    <n v="1"/>
    <x v="2"/>
    <n v="3"/>
    <x v="0"/>
    <n v="3033"/>
    <n v="12828"/>
    <n v="1"/>
    <s v="Y"/>
    <s v="No"/>
    <n v="12"/>
    <x v="0"/>
    <n v="1"/>
    <n v="80"/>
    <x v="0"/>
    <n v="2"/>
    <x v="2"/>
    <n v="2"/>
    <n v="2"/>
    <n v="2"/>
    <n v="1"/>
    <n v="2"/>
  </r>
  <r>
    <n v="44"/>
    <x v="0"/>
    <x v="0"/>
    <n v="1097"/>
    <x v="1"/>
    <n v="10"/>
    <n v="4"/>
    <s v="Life Sciences"/>
    <n v="1"/>
    <n v="1200"/>
    <n v="3"/>
    <x v="1"/>
    <n v="96"/>
    <x v="0"/>
    <n v="1"/>
    <x v="1"/>
    <n v="3"/>
    <x v="0"/>
    <n v="2936"/>
    <n v="10826"/>
    <n v="1"/>
    <s v="Y"/>
    <s v="Yes"/>
    <n v="11"/>
    <x v="0"/>
    <n v="3"/>
    <n v="80"/>
    <x v="0"/>
    <n v="6"/>
    <x v="5"/>
    <n v="3"/>
    <n v="6"/>
    <n v="4"/>
    <n v="0"/>
    <n v="2"/>
  </r>
  <r>
    <n v="53"/>
    <x v="1"/>
    <x v="0"/>
    <n v="1223"/>
    <x v="1"/>
    <n v="7"/>
    <n v="2"/>
    <s v="Medical"/>
    <n v="1"/>
    <n v="1201"/>
    <n v="4"/>
    <x v="0"/>
    <n v="50"/>
    <x v="0"/>
    <n v="5"/>
    <x v="5"/>
    <n v="3"/>
    <x v="2"/>
    <n v="18606"/>
    <n v="18640"/>
    <n v="3"/>
    <s v="Y"/>
    <s v="No"/>
    <n v="18"/>
    <x v="0"/>
    <n v="2"/>
    <n v="80"/>
    <x v="1"/>
    <n v="26"/>
    <x v="6"/>
    <n v="3"/>
    <n v="7"/>
    <n v="7"/>
    <n v="4"/>
    <n v="7"/>
  </r>
  <r>
    <n v="29"/>
    <x v="1"/>
    <x v="0"/>
    <n v="942"/>
    <x v="1"/>
    <n v="15"/>
    <n v="1"/>
    <s v="Life Sciences"/>
    <n v="1"/>
    <n v="1202"/>
    <n v="2"/>
    <x v="0"/>
    <n v="69"/>
    <x v="3"/>
    <n v="1"/>
    <x v="1"/>
    <n v="4"/>
    <x v="1"/>
    <n v="2168"/>
    <n v="26933"/>
    <n v="0"/>
    <s v="Y"/>
    <s v="Yes"/>
    <n v="18"/>
    <x v="0"/>
    <n v="1"/>
    <n v="80"/>
    <x v="1"/>
    <n v="6"/>
    <x v="2"/>
    <n v="2"/>
    <n v="5"/>
    <n v="4"/>
    <n v="1"/>
    <n v="3"/>
  </r>
  <r>
    <n v="22"/>
    <x v="0"/>
    <x v="1"/>
    <n v="1256"/>
    <x v="1"/>
    <n v="3"/>
    <n v="4"/>
    <s v="Life Sciences"/>
    <n v="1"/>
    <n v="1203"/>
    <n v="3"/>
    <x v="1"/>
    <n v="48"/>
    <x v="1"/>
    <n v="1"/>
    <x v="1"/>
    <n v="4"/>
    <x v="1"/>
    <n v="2853"/>
    <n v="4223"/>
    <n v="0"/>
    <s v="Y"/>
    <s v="Yes"/>
    <n v="11"/>
    <x v="0"/>
    <n v="2"/>
    <n v="80"/>
    <x v="1"/>
    <n v="1"/>
    <x v="3"/>
    <n v="3"/>
    <n v="0"/>
    <n v="0"/>
    <n v="0"/>
    <n v="0"/>
  </r>
  <r>
    <n v="46"/>
    <x v="1"/>
    <x v="0"/>
    <n v="1402"/>
    <x v="0"/>
    <n v="2"/>
    <n v="3"/>
    <s v="Marketing"/>
    <n v="1"/>
    <n v="1204"/>
    <n v="3"/>
    <x v="0"/>
    <n v="69"/>
    <x v="0"/>
    <n v="4"/>
    <x v="5"/>
    <n v="1"/>
    <x v="1"/>
    <n v="17048"/>
    <n v="24097"/>
    <n v="8"/>
    <s v="Y"/>
    <s v="No"/>
    <n v="23"/>
    <x v="1"/>
    <n v="1"/>
    <n v="80"/>
    <x v="0"/>
    <n v="28"/>
    <x v="2"/>
    <n v="3"/>
    <n v="26"/>
    <n v="15"/>
    <n v="15"/>
    <n v="9"/>
  </r>
  <r>
    <n v="44"/>
    <x v="1"/>
    <x v="2"/>
    <n v="111"/>
    <x v="1"/>
    <n v="17"/>
    <n v="3"/>
    <s v="Life Sciences"/>
    <n v="1"/>
    <n v="1206"/>
    <n v="4"/>
    <x v="1"/>
    <n v="74"/>
    <x v="3"/>
    <n v="1"/>
    <x v="1"/>
    <n v="3"/>
    <x v="0"/>
    <n v="2290"/>
    <n v="4279"/>
    <n v="2"/>
    <s v="Y"/>
    <s v="No"/>
    <n v="13"/>
    <x v="0"/>
    <n v="4"/>
    <n v="80"/>
    <x v="0"/>
    <n v="6"/>
    <x v="1"/>
    <n v="3"/>
    <n v="0"/>
    <n v="0"/>
    <n v="0"/>
    <n v="0"/>
  </r>
  <r>
    <n v="33"/>
    <x v="1"/>
    <x v="0"/>
    <n v="147"/>
    <x v="2"/>
    <n v="2"/>
    <n v="3"/>
    <s v="Human Resources"/>
    <n v="1"/>
    <n v="1207"/>
    <n v="2"/>
    <x v="1"/>
    <n v="99"/>
    <x v="0"/>
    <n v="1"/>
    <x v="8"/>
    <n v="3"/>
    <x v="1"/>
    <n v="3600"/>
    <n v="8429"/>
    <n v="1"/>
    <s v="Y"/>
    <s v="No"/>
    <n v="13"/>
    <x v="0"/>
    <n v="4"/>
    <n v="80"/>
    <x v="1"/>
    <n v="5"/>
    <x v="2"/>
    <n v="3"/>
    <n v="5"/>
    <n v="4"/>
    <n v="1"/>
    <n v="4"/>
  </r>
  <r>
    <n v="41"/>
    <x v="0"/>
    <x v="2"/>
    <n v="906"/>
    <x v="1"/>
    <n v="5"/>
    <n v="2"/>
    <s v="Life Sciences"/>
    <n v="1"/>
    <n v="1210"/>
    <n v="1"/>
    <x v="1"/>
    <n v="95"/>
    <x v="1"/>
    <n v="1"/>
    <x v="1"/>
    <n v="1"/>
    <x v="2"/>
    <n v="2107"/>
    <n v="20293"/>
    <n v="6"/>
    <s v="Y"/>
    <s v="No"/>
    <n v="17"/>
    <x v="0"/>
    <n v="1"/>
    <n v="80"/>
    <x v="1"/>
    <n v="5"/>
    <x v="2"/>
    <n v="1"/>
    <n v="1"/>
    <n v="0"/>
    <n v="0"/>
    <n v="0"/>
  </r>
  <r>
    <n v="30"/>
    <x v="1"/>
    <x v="0"/>
    <n v="1329"/>
    <x v="0"/>
    <n v="29"/>
    <n v="4"/>
    <s v="Life Sciences"/>
    <n v="1"/>
    <n v="1211"/>
    <n v="3"/>
    <x v="1"/>
    <n v="61"/>
    <x v="0"/>
    <n v="2"/>
    <x v="0"/>
    <n v="1"/>
    <x v="2"/>
    <n v="4115"/>
    <n v="13192"/>
    <n v="8"/>
    <s v="Y"/>
    <s v="No"/>
    <n v="19"/>
    <x v="0"/>
    <n v="3"/>
    <n v="80"/>
    <x v="2"/>
    <n v="8"/>
    <x v="1"/>
    <n v="3"/>
    <n v="4"/>
    <n v="3"/>
    <n v="0"/>
    <n v="3"/>
  </r>
  <r>
    <n v="40"/>
    <x v="1"/>
    <x v="1"/>
    <n v="1184"/>
    <x v="0"/>
    <n v="2"/>
    <n v="4"/>
    <s v="Medical"/>
    <n v="1"/>
    <n v="1212"/>
    <n v="2"/>
    <x v="1"/>
    <n v="62"/>
    <x v="0"/>
    <n v="2"/>
    <x v="0"/>
    <n v="2"/>
    <x v="1"/>
    <n v="4327"/>
    <n v="25440"/>
    <n v="5"/>
    <s v="Y"/>
    <s v="No"/>
    <n v="12"/>
    <x v="0"/>
    <n v="4"/>
    <n v="80"/>
    <x v="2"/>
    <n v="5"/>
    <x v="2"/>
    <n v="3"/>
    <n v="0"/>
    <n v="0"/>
    <n v="0"/>
    <n v="0"/>
  </r>
  <r>
    <n v="50"/>
    <x v="1"/>
    <x v="1"/>
    <n v="1421"/>
    <x v="1"/>
    <n v="2"/>
    <n v="3"/>
    <s v="Medical"/>
    <n v="1"/>
    <n v="1215"/>
    <n v="4"/>
    <x v="0"/>
    <n v="30"/>
    <x v="0"/>
    <n v="4"/>
    <x v="5"/>
    <n v="1"/>
    <x v="1"/>
    <n v="17856"/>
    <n v="9490"/>
    <n v="2"/>
    <s v="Y"/>
    <s v="No"/>
    <n v="22"/>
    <x v="1"/>
    <n v="3"/>
    <n v="80"/>
    <x v="1"/>
    <n v="32"/>
    <x v="1"/>
    <n v="3"/>
    <n v="2"/>
    <n v="2"/>
    <n v="2"/>
    <n v="2"/>
  </r>
  <r>
    <n v="28"/>
    <x v="1"/>
    <x v="0"/>
    <n v="1179"/>
    <x v="1"/>
    <n v="19"/>
    <n v="4"/>
    <s v="Medical"/>
    <n v="1"/>
    <n v="1216"/>
    <n v="4"/>
    <x v="1"/>
    <n v="78"/>
    <x v="1"/>
    <n v="1"/>
    <x v="2"/>
    <n v="1"/>
    <x v="1"/>
    <n v="3196"/>
    <n v="12449"/>
    <n v="1"/>
    <s v="Y"/>
    <s v="No"/>
    <n v="12"/>
    <x v="0"/>
    <n v="3"/>
    <n v="80"/>
    <x v="2"/>
    <n v="6"/>
    <x v="2"/>
    <n v="3"/>
    <n v="6"/>
    <n v="5"/>
    <n v="3"/>
    <n v="3"/>
  </r>
  <r>
    <n v="46"/>
    <x v="1"/>
    <x v="0"/>
    <n v="1450"/>
    <x v="1"/>
    <n v="15"/>
    <n v="2"/>
    <s v="Life Sciences"/>
    <n v="1"/>
    <n v="1217"/>
    <n v="4"/>
    <x v="1"/>
    <n v="52"/>
    <x v="0"/>
    <n v="5"/>
    <x v="7"/>
    <n v="2"/>
    <x v="1"/>
    <n v="19081"/>
    <n v="10849"/>
    <n v="5"/>
    <s v="Y"/>
    <s v="No"/>
    <n v="11"/>
    <x v="0"/>
    <n v="1"/>
    <n v="80"/>
    <x v="1"/>
    <n v="25"/>
    <x v="2"/>
    <n v="3"/>
    <n v="4"/>
    <n v="2"/>
    <n v="0"/>
    <n v="3"/>
  </r>
  <r>
    <n v="35"/>
    <x v="1"/>
    <x v="0"/>
    <n v="1361"/>
    <x v="0"/>
    <n v="17"/>
    <n v="4"/>
    <s v="Life Sciences"/>
    <n v="1"/>
    <n v="1218"/>
    <n v="3"/>
    <x v="1"/>
    <n v="94"/>
    <x v="0"/>
    <n v="2"/>
    <x v="0"/>
    <n v="1"/>
    <x v="1"/>
    <n v="8966"/>
    <n v="21026"/>
    <n v="3"/>
    <s v="Y"/>
    <s v="Yes"/>
    <n v="15"/>
    <x v="0"/>
    <n v="4"/>
    <n v="80"/>
    <x v="2"/>
    <n v="15"/>
    <x v="2"/>
    <n v="3"/>
    <n v="7"/>
    <n v="7"/>
    <n v="1"/>
    <n v="7"/>
  </r>
  <r>
    <n v="24"/>
    <x v="0"/>
    <x v="0"/>
    <n v="984"/>
    <x v="1"/>
    <n v="17"/>
    <n v="2"/>
    <s v="Life Sciences"/>
    <n v="1"/>
    <n v="1219"/>
    <n v="4"/>
    <x v="0"/>
    <n v="97"/>
    <x v="0"/>
    <n v="1"/>
    <x v="2"/>
    <n v="2"/>
    <x v="1"/>
    <n v="2210"/>
    <n v="3372"/>
    <n v="1"/>
    <s v="Y"/>
    <s v="No"/>
    <n v="13"/>
    <x v="0"/>
    <n v="1"/>
    <n v="80"/>
    <x v="1"/>
    <n v="1"/>
    <x v="1"/>
    <n v="1"/>
    <n v="1"/>
    <n v="0"/>
    <n v="0"/>
    <n v="0"/>
  </r>
  <r>
    <n v="33"/>
    <x v="1"/>
    <x v="1"/>
    <n v="1146"/>
    <x v="0"/>
    <n v="25"/>
    <n v="3"/>
    <s v="Medical"/>
    <n v="1"/>
    <n v="1220"/>
    <n v="2"/>
    <x v="0"/>
    <n v="82"/>
    <x v="0"/>
    <n v="2"/>
    <x v="0"/>
    <n v="3"/>
    <x v="1"/>
    <n v="4539"/>
    <n v="4905"/>
    <n v="1"/>
    <s v="Y"/>
    <s v="No"/>
    <n v="12"/>
    <x v="0"/>
    <n v="1"/>
    <n v="80"/>
    <x v="1"/>
    <n v="10"/>
    <x v="1"/>
    <n v="2"/>
    <n v="10"/>
    <n v="7"/>
    <n v="0"/>
    <n v="1"/>
  </r>
  <r>
    <n v="36"/>
    <x v="1"/>
    <x v="0"/>
    <n v="917"/>
    <x v="1"/>
    <n v="6"/>
    <n v="4"/>
    <s v="Life Sciences"/>
    <n v="1"/>
    <n v="1221"/>
    <n v="3"/>
    <x v="1"/>
    <n v="60"/>
    <x v="3"/>
    <n v="1"/>
    <x v="2"/>
    <n v="3"/>
    <x v="2"/>
    <n v="2741"/>
    <n v="6865"/>
    <n v="1"/>
    <s v="Y"/>
    <s v="No"/>
    <n v="14"/>
    <x v="0"/>
    <n v="3"/>
    <n v="80"/>
    <x v="1"/>
    <n v="7"/>
    <x v="5"/>
    <n v="3"/>
    <n v="7"/>
    <n v="7"/>
    <n v="1"/>
    <n v="7"/>
  </r>
  <r>
    <n v="30"/>
    <x v="1"/>
    <x v="0"/>
    <n v="853"/>
    <x v="1"/>
    <n v="7"/>
    <n v="4"/>
    <s v="Life Sciences"/>
    <n v="1"/>
    <n v="1224"/>
    <n v="3"/>
    <x v="1"/>
    <n v="49"/>
    <x v="0"/>
    <n v="2"/>
    <x v="2"/>
    <n v="3"/>
    <x v="2"/>
    <n v="3491"/>
    <n v="11309"/>
    <n v="1"/>
    <s v="Y"/>
    <s v="No"/>
    <n v="13"/>
    <x v="0"/>
    <n v="1"/>
    <n v="80"/>
    <x v="2"/>
    <n v="10"/>
    <x v="5"/>
    <n v="2"/>
    <n v="10"/>
    <n v="7"/>
    <n v="8"/>
    <n v="9"/>
  </r>
  <r>
    <n v="44"/>
    <x v="1"/>
    <x v="0"/>
    <n v="200"/>
    <x v="1"/>
    <n v="29"/>
    <n v="4"/>
    <s v="Other"/>
    <n v="1"/>
    <n v="1225"/>
    <n v="4"/>
    <x v="1"/>
    <n v="32"/>
    <x v="0"/>
    <n v="2"/>
    <x v="1"/>
    <n v="4"/>
    <x v="0"/>
    <n v="4541"/>
    <n v="7744"/>
    <n v="1"/>
    <s v="Y"/>
    <s v="No"/>
    <n v="25"/>
    <x v="1"/>
    <n v="2"/>
    <n v="80"/>
    <x v="0"/>
    <n v="20"/>
    <x v="1"/>
    <n v="3"/>
    <n v="20"/>
    <n v="11"/>
    <n v="13"/>
    <n v="17"/>
  </r>
  <r>
    <n v="20"/>
    <x v="1"/>
    <x v="0"/>
    <n v="654"/>
    <x v="0"/>
    <n v="21"/>
    <n v="3"/>
    <s v="Marketing"/>
    <n v="1"/>
    <n v="1226"/>
    <n v="3"/>
    <x v="1"/>
    <n v="43"/>
    <x v="2"/>
    <n v="1"/>
    <x v="6"/>
    <n v="4"/>
    <x v="0"/>
    <n v="2678"/>
    <n v="5050"/>
    <n v="1"/>
    <s v="Y"/>
    <s v="No"/>
    <n v="17"/>
    <x v="0"/>
    <n v="4"/>
    <n v="80"/>
    <x v="0"/>
    <n v="2"/>
    <x v="2"/>
    <n v="3"/>
    <n v="2"/>
    <n v="1"/>
    <n v="2"/>
    <n v="2"/>
  </r>
  <r>
    <n v="46"/>
    <x v="1"/>
    <x v="0"/>
    <n v="150"/>
    <x v="1"/>
    <n v="2"/>
    <n v="4"/>
    <s v="Technical Degree"/>
    <n v="1"/>
    <n v="1228"/>
    <n v="4"/>
    <x v="1"/>
    <n v="60"/>
    <x v="0"/>
    <n v="2"/>
    <x v="3"/>
    <n v="4"/>
    <x v="2"/>
    <n v="7379"/>
    <n v="17433"/>
    <n v="2"/>
    <s v="Y"/>
    <s v="No"/>
    <n v="11"/>
    <x v="0"/>
    <n v="3"/>
    <n v="80"/>
    <x v="1"/>
    <n v="12"/>
    <x v="1"/>
    <n v="2"/>
    <n v="6"/>
    <n v="3"/>
    <n v="1"/>
    <n v="4"/>
  </r>
  <r>
    <n v="42"/>
    <x v="1"/>
    <x v="2"/>
    <n v="179"/>
    <x v="2"/>
    <n v="2"/>
    <n v="5"/>
    <s v="Medical"/>
    <n v="1"/>
    <n v="1231"/>
    <n v="4"/>
    <x v="1"/>
    <n v="79"/>
    <x v="2"/>
    <n v="2"/>
    <x v="8"/>
    <n v="1"/>
    <x v="1"/>
    <n v="6272"/>
    <n v="12858"/>
    <n v="7"/>
    <s v="Y"/>
    <s v="No"/>
    <n v="16"/>
    <x v="0"/>
    <n v="1"/>
    <n v="80"/>
    <x v="1"/>
    <n v="10"/>
    <x v="1"/>
    <n v="4"/>
    <n v="4"/>
    <n v="3"/>
    <n v="0"/>
    <n v="3"/>
  </r>
  <r>
    <n v="60"/>
    <x v="1"/>
    <x v="0"/>
    <n v="696"/>
    <x v="0"/>
    <n v="7"/>
    <n v="4"/>
    <s v="Marketing"/>
    <n v="1"/>
    <n v="1233"/>
    <n v="2"/>
    <x v="1"/>
    <n v="52"/>
    <x v="2"/>
    <n v="2"/>
    <x v="0"/>
    <n v="4"/>
    <x v="2"/>
    <n v="5220"/>
    <n v="10893"/>
    <n v="0"/>
    <s v="Y"/>
    <s v="Yes"/>
    <n v="18"/>
    <x v="0"/>
    <n v="2"/>
    <n v="80"/>
    <x v="1"/>
    <n v="12"/>
    <x v="1"/>
    <n v="3"/>
    <n v="11"/>
    <n v="7"/>
    <n v="1"/>
    <n v="9"/>
  </r>
  <r>
    <n v="32"/>
    <x v="1"/>
    <x v="1"/>
    <n v="116"/>
    <x v="1"/>
    <n v="13"/>
    <n v="3"/>
    <s v="Other"/>
    <n v="1"/>
    <n v="1234"/>
    <n v="3"/>
    <x v="0"/>
    <n v="77"/>
    <x v="1"/>
    <n v="1"/>
    <x v="2"/>
    <n v="2"/>
    <x v="1"/>
    <n v="2743"/>
    <n v="7331"/>
    <n v="1"/>
    <s v="Y"/>
    <s v="No"/>
    <n v="20"/>
    <x v="1"/>
    <n v="3"/>
    <n v="80"/>
    <x v="1"/>
    <n v="2"/>
    <x v="2"/>
    <n v="3"/>
    <n v="2"/>
    <n v="2"/>
    <n v="2"/>
    <n v="2"/>
  </r>
  <r>
    <n v="32"/>
    <x v="1"/>
    <x v="1"/>
    <n v="1316"/>
    <x v="1"/>
    <n v="2"/>
    <n v="2"/>
    <s v="Life Sciences"/>
    <n v="1"/>
    <n v="1235"/>
    <n v="4"/>
    <x v="0"/>
    <n v="38"/>
    <x v="0"/>
    <n v="2"/>
    <x v="1"/>
    <n v="3"/>
    <x v="0"/>
    <n v="4998"/>
    <n v="2338"/>
    <n v="4"/>
    <s v="Y"/>
    <s v="Yes"/>
    <n v="14"/>
    <x v="0"/>
    <n v="4"/>
    <n v="80"/>
    <x v="0"/>
    <n v="10"/>
    <x v="2"/>
    <n v="3"/>
    <n v="8"/>
    <n v="7"/>
    <n v="0"/>
    <n v="7"/>
  </r>
  <r>
    <n v="36"/>
    <x v="1"/>
    <x v="0"/>
    <n v="363"/>
    <x v="1"/>
    <n v="1"/>
    <n v="3"/>
    <s v="Technical Degree"/>
    <n v="1"/>
    <n v="1237"/>
    <n v="3"/>
    <x v="0"/>
    <n v="77"/>
    <x v="3"/>
    <n v="3"/>
    <x v="3"/>
    <n v="1"/>
    <x v="2"/>
    <n v="10252"/>
    <n v="4235"/>
    <n v="2"/>
    <s v="Y"/>
    <s v="Yes"/>
    <n v="21"/>
    <x v="1"/>
    <n v="3"/>
    <n v="80"/>
    <x v="1"/>
    <n v="17"/>
    <x v="2"/>
    <n v="3"/>
    <n v="7"/>
    <n v="7"/>
    <n v="7"/>
    <n v="7"/>
  </r>
  <r>
    <n v="33"/>
    <x v="1"/>
    <x v="0"/>
    <n v="117"/>
    <x v="1"/>
    <n v="9"/>
    <n v="3"/>
    <s v="Medical"/>
    <n v="1"/>
    <n v="1238"/>
    <n v="1"/>
    <x v="1"/>
    <n v="60"/>
    <x v="0"/>
    <n v="1"/>
    <x v="1"/>
    <n v="4"/>
    <x v="1"/>
    <n v="2781"/>
    <n v="6311"/>
    <n v="0"/>
    <s v="Y"/>
    <s v="No"/>
    <n v="13"/>
    <x v="0"/>
    <n v="2"/>
    <n v="80"/>
    <x v="1"/>
    <n v="15"/>
    <x v="3"/>
    <n v="3"/>
    <n v="14"/>
    <n v="10"/>
    <n v="4"/>
    <n v="10"/>
  </r>
  <r>
    <n v="40"/>
    <x v="1"/>
    <x v="0"/>
    <n v="107"/>
    <x v="0"/>
    <n v="10"/>
    <n v="3"/>
    <s v="Technical Degree"/>
    <n v="1"/>
    <n v="1239"/>
    <n v="2"/>
    <x v="0"/>
    <n v="84"/>
    <x v="1"/>
    <n v="2"/>
    <x v="0"/>
    <n v="2"/>
    <x v="2"/>
    <n v="6852"/>
    <n v="11591"/>
    <n v="7"/>
    <s v="Y"/>
    <s v="No"/>
    <n v="12"/>
    <x v="0"/>
    <n v="2"/>
    <n v="80"/>
    <x v="1"/>
    <n v="7"/>
    <x v="2"/>
    <n v="4"/>
    <n v="5"/>
    <n v="1"/>
    <n v="1"/>
    <n v="3"/>
  </r>
  <r>
    <n v="25"/>
    <x v="1"/>
    <x v="0"/>
    <n v="1356"/>
    <x v="0"/>
    <n v="10"/>
    <n v="4"/>
    <s v="Life Sciences"/>
    <n v="1"/>
    <n v="1240"/>
    <n v="3"/>
    <x v="1"/>
    <n v="57"/>
    <x v="0"/>
    <n v="2"/>
    <x v="0"/>
    <n v="4"/>
    <x v="0"/>
    <n v="4950"/>
    <n v="20623"/>
    <n v="0"/>
    <s v="Y"/>
    <s v="No"/>
    <n v="14"/>
    <x v="0"/>
    <n v="2"/>
    <n v="80"/>
    <x v="0"/>
    <n v="5"/>
    <x v="5"/>
    <n v="3"/>
    <n v="4"/>
    <n v="3"/>
    <n v="1"/>
    <n v="1"/>
  </r>
  <r>
    <n v="30"/>
    <x v="1"/>
    <x v="0"/>
    <n v="1465"/>
    <x v="1"/>
    <n v="1"/>
    <n v="3"/>
    <s v="Medical"/>
    <n v="1"/>
    <n v="1241"/>
    <n v="4"/>
    <x v="1"/>
    <n v="63"/>
    <x v="0"/>
    <n v="1"/>
    <x v="1"/>
    <n v="2"/>
    <x v="1"/>
    <n v="3579"/>
    <n v="9369"/>
    <n v="0"/>
    <s v="Y"/>
    <s v="Yes"/>
    <n v="21"/>
    <x v="1"/>
    <n v="1"/>
    <n v="80"/>
    <x v="1"/>
    <n v="12"/>
    <x v="2"/>
    <n v="3"/>
    <n v="11"/>
    <n v="9"/>
    <n v="5"/>
    <n v="7"/>
  </r>
  <r>
    <n v="42"/>
    <x v="1"/>
    <x v="1"/>
    <n v="458"/>
    <x v="1"/>
    <n v="26"/>
    <n v="5"/>
    <s v="Medical"/>
    <n v="1"/>
    <n v="1242"/>
    <n v="1"/>
    <x v="0"/>
    <n v="60"/>
    <x v="0"/>
    <n v="3"/>
    <x v="7"/>
    <n v="1"/>
    <x v="1"/>
    <n v="13191"/>
    <n v="23281"/>
    <n v="3"/>
    <s v="Y"/>
    <s v="Yes"/>
    <n v="17"/>
    <x v="0"/>
    <n v="3"/>
    <n v="80"/>
    <x v="0"/>
    <n v="20"/>
    <x v="6"/>
    <n v="3"/>
    <n v="1"/>
    <n v="0"/>
    <n v="0"/>
    <n v="0"/>
  </r>
  <r>
    <n v="35"/>
    <x v="1"/>
    <x v="2"/>
    <n v="1212"/>
    <x v="0"/>
    <n v="8"/>
    <n v="2"/>
    <s v="Marketing"/>
    <n v="1"/>
    <n v="1243"/>
    <n v="3"/>
    <x v="0"/>
    <n v="78"/>
    <x v="1"/>
    <n v="3"/>
    <x v="0"/>
    <n v="4"/>
    <x v="1"/>
    <n v="10377"/>
    <n v="13755"/>
    <n v="4"/>
    <s v="Y"/>
    <s v="Yes"/>
    <n v="11"/>
    <x v="0"/>
    <n v="2"/>
    <n v="80"/>
    <x v="1"/>
    <n v="16"/>
    <x v="6"/>
    <n v="2"/>
    <n v="13"/>
    <n v="2"/>
    <n v="4"/>
    <n v="12"/>
  </r>
  <r>
    <n v="27"/>
    <x v="1"/>
    <x v="0"/>
    <n v="1103"/>
    <x v="1"/>
    <n v="14"/>
    <n v="3"/>
    <s v="Life Sciences"/>
    <n v="1"/>
    <n v="1244"/>
    <n v="1"/>
    <x v="1"/>
    <n v="42"/>
    <x v="0"/>
    <n v="1"/>
    <x v="1"/>
    <n v="1"/>
    <x v="1"/>
    <n v="2235"/>
    <n v="14377"/>
    <n v="1"/>
    <s v="Y"/>
    <s v="Yes"/>
    <n v="14"/>
    <x v="0"/>
    <n v="4"/>
    <n v="80"/>
    <x v="3"/>
    <n v="9"/>
    <x v="1"/>
    <n v="2"/>
    <n v="9"/>
    <n v="7"/>
    <n v="6"/>
    <n v="8"/>
  </r>
  <r>
    <n v="54"/>
    <x v="1"/>
    <x v="1"/>
    <n v="966"/>
    <x v="1"/>
    <n v="1"/>
    <n v="4"/>
    <s v="Life Sciences"/>
    <n v="1"/>
    <n v="1245"/>
    <n v="4"/>
    <x v="0"/>
    <n v="53"/>
    <x v="0"/>
    <n v="3"/>
    <x v="3"/>
    <n v="3"/>
    <x v="2"/>
    <n v="10502"/>
    <n v="9659"/>
    <n v="7"/>
    <s v="Y"/>
    <s v="No"/>
    <n v="17"/>
    <x v="0"/>
    <n v="1"/>
    <n v="80"/>
    <x v="1"/>
    <n v="33"/>
    <x v="2"/>
    <n v="1"/>
    <n v="5"/>
    <n v="4"/>
    <n v="1"/>
    <n v="4"/>
  </r>
  <r>
    <n v="44"/>
    <x v="1"/>
    <x v="0"/>
    <n v="1117"/>
    <x v="1"/>
    <n v="2"/>
    <n v="1"/>
    <s v="Life Sciences"/>
    <n v="1"/>
    <n v="1246"/>
    <n v="1"/>
    <x v="0"/>
    <n v="72"/>
    <x v="2"/>
    <n v="1"/>
    <x v="1"/>
    <n v="4"/>
    <x v="1"/>
    <n v="2011"/>
    <n v="19982"/>
    <n v="1"/>
    <s v="Y"/>
    <s v="No"/>
    <n v="13"/>
    <x v="0"/>
    <n v="4"/>
    <n v="80"/>
    <x v="1"/>
    <n v="10"/>
    <x v="3"/>
    <n v="3"/>
    <n v="10"/>
    <n v="5"/>
    <n v="7"/>
    <n v="7"/>
  </r>
  <r>
    <n v="19"/>
    <x v="0"/>
    <x v="2"/>
    <n v="504"/>
    <x v="1"/>
    <n v="10"/>
    <n v="3"/>
    <s v="Medical"/>
    <n v="1"/>
    <n v="1248"/>
    <n v="1"/>
    <x v="0"/>
    <n v="96"/>
    <x v="1"/>
    <n v="1"/>
    <x v="1"/>
    <n v="2"/>
    <x v="0"/>
    <n v="1859"/>
    <n v="6148"/>
    <n v="1"/>
    <s v="Y"/>
    <s v="Yes"/>
    <n v="25"/>
    <x v="1"/>
    <n v="2"/>
    <n v="80"/>
    <x v="0"/>
    <n v="1"/>
    <x v="2"/>
    <n v="4"/>
    <n v="1"/>
    <n v="1"/>
    <n v="0"/>
    <n v="0"/>
  </r>
  <r>
    <n v="29"/>
    <x v="1"/>
    <x v="0"/>
    <n v="1010"/>
    <x v="1"/>
    <n v="1"/>
    <n v="3"/>
    <s v="Life Sciences"/>
    <n v="1"/>
    <n v="1249"/>
    <n v="1"/>
    <x v="0"/>
    <n v="97"/>
    <x v="0"/>
    <n v="1"/>
    <x v="1"/>
    <n v="4"/>
    <x v="2"/>
    <n v="3760"/>
    <n v="5598"/>
    <n v="1"/>
    <s v="Y"/>
    <s v="No"/>
    <n v="15"/>
    <x v="0"/>
    <n v="1"/>
    <n v="80"/>
    <x v="2"/>
    <n v="3"/>
    <x v="3"/>
    <n v="3"/>
    <n v="3"/>
    <n v="2"/>
    <n v="1"/>
    <n v="2"/>
  </r>
  <r>
    <n v="54"/>
    <x v="1"/>
    <x v="0"/>
    <n v="685"/>
    <x v="1"/>
    <n v="3"/>
    <n v="3"/>
    <s v="Life Sciences"/>
    <n v="1"/>
    <n v="1250"/>
    <n v="4"/>
    <x v="1"/>
    <n v="85"/>
    <x v="0"/>
    <n v="4"/>
    <x v="7"/>
    <n v="4"/>
    <x v="1"/>
    <n v="17779"/>
    <n v="23474"/>
    <n v="3"/>
    <s v="Y"/>
    <s v="No"/>
    <n v="14"/>
    <x v="0"/>
    <n v="1"/>
    <n v="80"/>
    <x v="0"/>
    <n v="36"/>
    <x v="2"/>
    <n v="3"/>
    <n v="10"/>
    <n v="9"/>
    <n v="0"/>
    <n v="9"/>
  </r>
  <r>
    <n v="31"/>
    <x v="1"/>
    <x v="0"/>
    <n v="1332"/>
    <x v="1"/>
    <n v="11"/>
    <n v="2"/>
    <s v="Medical"/>
    <n v="1"/>
    <n v="1251"/>
    <n v="3"/>
    <x v="1"/>
    <n v="80"/>
    <x v="0"/>
    <n v="2"/>
    <x v="4"/>
    <n v="1"/>
    <x v="1"/>
    <n v="6833"/>
    <n v="17089"/>
    <n v="1"/>
    <s v="Y"/>
    <s v="Yes"/>
    <n v="12"/>
    <x v="0"/>
    <n v="4"/>
    <n v="80"/>
    <x v="0"/>
    <n v="6"/>
    <x v="2"/>
    <n v="2"/>
    <n v="6"/>
    <n v="5"/>
    <n v="0"/>
    <n v="1"/>
  </r>
  <r>
    <n v="31"/>
    <x v="1"/>
    <x v="0"/>
    <n v="1062"/>
    <x v="1"/>
    <n v="24"/>
    <n v="3"/>
    <s v="Medical"/>
    <n v="1"/>
    <n v="1252"/>
    <n v="3"/>
    <x v="0"/>
    <n v="96"/>
    <x v="1"/>
    <n v="2"/>
    <x v="4"/>
    <n v="1"/>
    <x v="0"/>
    <n v="6812"/>
    <n v="17198"/>
    <n v="1"/>
    <s v="Y"/>
    <s v="No"/>
    <n v="19"/>
    <x v="0"/>
    <n v="2"/>
    <n v="80"/>
    <x v="0"/>
    <n v="10"/>
    <x v="2"/>
    <n v="3"/>
    <n v="10"/>
    <n v="9"/>
    <n v="1"/>
    <n v="8"/>
  </r>
  <r>
    <n v="59"/>
    <x v="1"/>
    <x v="0"/>
    <n v="326"/>
    <x v="0"/>
    <n v="3"/>
    <n v="3"/>
    <s v="Life Sciences"/>
    <n v="1"/>
    <n v="1254"/>
    <n v="3"/>
    <x v="0"/>
    <n v="48"/>
    <x v="1"/>
    <n v="2"/>
    <x v="0"/>
    <n v="4"/>
    <x v="0"/>
    <n v="5171"/>
    <n v="16490"/>
    <n v="5"/>
    <s v="Y"/>
    <s v="No"/>
    <n v="17"/>
    <x v="0"/>
    <n v="4"/>
    <n v="80"/>
    <x v="0"/>
    <n v="13"/>
    <x v="2"/>
    <n v="3"/>
    <n v="6"/>
    <n v="1"/>
    <n v="0"/>
    <n v="5"/>
  </r>
  <r>
    <n v="43"/>
    <x v="1"/>
    <x v="0"/>
    <n v="920"/>
    <x v="1"/>
    <n v="3"/>
    <n v="3"/>
    <s v="Life Sciences"/>
    <n v="1"/>
    <n v="1255"/>
    <n v="3"/>
    <x v="1"/>
    <n v="96"/>
    <x v="3"/>
    <n v="5"/>
    <x v="7"/>
    <n v="4"/>
    <x v="1"/>
    <n v="19740"/>
    <n v="18625"/>
    <n v="3"/>
    <s v="Y"/>
    <s v="No"/>
    <n v="14"/>
    <x v="0"/>
    <n v="2"/>
    <n v="80"/>
    <x v="1"/>
    <n v="25"/>
    <x v="2"/>
    <n v="3"/>
    <n v="8"/>
    <n v="7"/>
    <n v="0"/>
    <n v="7"/>
  </r>
  <r>
    <n v="49"/>
    <x v="1"/>
    <x v="0"/>
    <n v="1098"/>
    <x v="1"/>
    <n v="4"/>
    <n v="2"/>
    <s v="Medical"/>
    <n v="1"/>
    <n v="1256"/>
    <n v="1"/>
    <x v="1"/>
    <n v="85"/>
    <x v="1"/>
    <n v="5"/>
    <x v="5"/>
    <n v="3"/>
    <x v="1"/>
    <n v="18711"/>
    <n v="12124"/>
    <n v="2"/>
    <s v="Y"/>
    <s v="No"/>
    <n v="13"/>
    <x v="0"/>
    <n v="3"/>
    <n v="80"/>
    <x v="1"/>
    <n v="23"/>
    <x v="2"/>
    <n v="4"/>
    <n v="1"/>
    <n v="0"/>
    <n v="0"/>
    <n v="0"/>
  </r>
  <r>
    <n v="36"/>
    <x v="1"/>
    <x v="1"/>
    <n v="469"/>
    <x v="1"/>
    <n v="3"/>
    <n v="3"/>
    <s v="Technical Degree"/>
    <n v="1"/>
    <n v="1257"/>
    <n v="3"/>
    <x v="1"/>
    <n v="46"/>
    <x v="0"/>
    <n v="1"/>
    <x v="1"/>
    <n v="2"/>
    <x v="1"/>
    <n v="3692"/>
    <n v="9256"/>
    <n v="1"/>
    <s v="Y"/>
    <s v="No"/>
    <n v="12"/>
    <x v="0"/>
    <n v="3"/>
    <n v="80"/>
    <x v="0"/>
    <n v="12"/>
    <x v="2"/>
    <n v="2"/>
    <n v="11"/>
    <n v="10"/>
    <n v="0"/>
    <n v="7"/>
  </r>
  <r>
    <n v="48"/>
    <x v="1"/>
    <x v="0"/>
    <n v="969"/>
    <x v="1"/>
    <n v="2"/>
    <n v="2"/>
    <s v="Technical Degree"/>
    <n v="1"/>
    <n v="1258"/>
    <n v="4"/>
    <x v="1"/>
    <n v="76"/>
    <x v="2"/>
    <n v="1"/>
    <x v="2"/>
    <n v="2"/>
    <x v="0"/>
    <n v="2559"/>
    <n v="16620"/>
    <n v="5"/>
    <s v="Y"/>
    <s v="No"/>
    <n v="11"/>
    <x v="0"/>
    <n v="3"/>
    <n v="80"/>
    <x v="0"/>
    <n v="7"/>
    <x v="5"/>
    <n v="2"/>
    <n v="1"/>
    <n v="0"/>
    <n v="0"/>
    <n v="0"/>
  </r>
  <r>
    <n v="27"/>
    <x v="1"/>
    <x v="0"/>
    <n v="1167"/>
    <x v="1"/>
    <n v="4"/>
    <n v="2"/>
    <s v="Life Sciences"/>
    <n v="1"/>
    <n v="1259"/>
    <n v="1"/>
    <x v="1"/>
    <n v="76"/>
    <x v="0"/>
    <n v="1"/>
    <x v="1"/>
    <n v="3"/>
    <x v="2"/>
    <n v="2517"/>
    <n v="3208"/>
    <n v="1"/>
    <s v="Y"/>
    <s v="No"/>
    <n v="11"/>
    <x v="0"/>
    <n v="2"/>
    <n v="80"/>
    <x v="2"/>
    <n v="5"/>
    <x v="2"/>
    <n v="3"/>
    <n v="5"/>
    <n v="3"/>
    <n v="0"/>
    <n v="3"/>
  </r>
  <r>
    <n v="29"/>
    <x v="1"/>
    <x v="0"/>
    <n v="1329"/>
    <x v="1"/>
    <n v="7"/>
    <n v="3"/>
    <s v="Life Sciences"/>
    <n v="1"/>
    <n v="1260"/>
    <n v="3"/>
    <x v="1"/>
    <n v="82"/>
    <x v="0"/>
    <n v="2"/>
    <x v="4"/>
    <n v="4"/>
    <x v="2"/>
    <n v="6623"/>
    <n v="4204"/>
    <n v="1"/>
    <s v="Y"/>
    <s v="Yes"/>
    <n v="11"/>
    <x v="0"/>
    <n v="2"/>
    <n v="80"/>
    <x v="3"/>
    <n v="6"/>
    <x v="2"/>
    <n v="3"/>
    <n v="6"/>
    <n v="0"/>
    <n v="1"/>
    <n v="0"/>
  </r>
  <r>
    <n v="48"/>
    <x v="1"/>
    <x v="0"/>
    <n v="715"/>
    <x v="1"/>
    <n v="1"/>
    <n v="3"/>
    <s v="Life Sciences"/>
    <n v="1"/>
    <n v="1263"/>
    <n v="4"/>
    <x v="1"/>
    <n v="76"/>
    <x v="1"/>
    <n v="5"/>
    <x v="7"/>
    <n v="4"/>
    <x v="0"/>
    <n v="18265"/>
    <n v="8733"/>
    <n v="6"/>
    <s v="Y"/>
    <s v="No"/>
    <n v="12"/>
    <x v="0"/>
    <n v="3"/>
    <n v="80"/>
    <x v="0"/>
    <n v="25"/>
    <x v="1"/>
    <n v="4"/>
    <n v="1"/>
    <n v="0"/>
    <n v="0"/>
    <n v="0"/>
  </r>
  <r>
    <n v="29"/>
    <x v="1"/>
    <x v="0"/>
    <n v="694"/>
    <x v="1"/>
    <n v="1"/>
    <n v="3"/>
    <s v="Life Sciences"/>
    <n v="1"/>
    <n v="1264"/>
    <n v="4"/>
    <x v="0"/>
    <n v="87"/>
    <x v="1"/>
    <n v="4"/>
    <x v="7"/>
    <n v="4"/>
    <x v="2"/>
    <n v="16124"/>
    <n v="3423"/>
    <n v="3"/>
    <s v="Y"/>
    <s v="No"/>
    <n v="14"/>
    <x v="0"/>
    <n v="2"/>
    <n v="80"/>
    <x v="3"/>
    <n v="9"/>
    <x v="2"/>
    <n v="2"/>
    <n v="7"/>
    <n v="7"/>
    <n v="1"/>
    <n v="7"/>
  </r>
  <r>
    <n v="34"/>
    <x v="1"/>
    <x v="0"/>
    <n v="1320"/>
    <x v="1"/>
    <n v="20"/>
    <n v="3"/>
    <s v="Technical Degree"/>
    <n v="1"/>
    <n v="1265"/>
    <n v="3"/>
    <x v="0"/>
    <n v="89"/>
    <x v="2"/>
    <n v="1"/>
    <x v="1"/>
    <n v="3"/>
    <x v="1"/>
    <n v="2585"/>
    <n v="21643"/>
    <n v="0"/>
    <s v="Y"/>
    <s v="No"/>
    <n v="17"/>
    <x v="0"/>
    <n v="4"/>
    <n v="80"/>
    <x v="0"/>
    <n v="2"/>
    <x v="3"/>
    <n v="2"/>
    <n v="1"/>
    <n v="0"/>
    <n v="0"/>
    <n v="0"/>
  </r>
  <r>
    <n v="44"/>
    <x v="1"/>
    <x v="0"/>
    <n v="1099"/>
    <x v="0"/>
    <n v="5"/>
    <n v="3"/>
    <s v="Marketing"/>
    <n v="1"/>
    <n v="1267"/>
    <n v="2"/>
    <x v="1"/>
    <n v="88"/>
    <x v="0"/>
    <n v="5"/>
    <x v="5"/>
    <n v="2"/>
    <x v="1"/>
    <n v="18213"/>
    <n v="8751"/>
    <n v="7"/>
    <s v="Y"/>
    <s v="No"/>
    <n v="11"/>
    <x v="0"/>
    <n v="3"/>
    <n v="80"/>
    <x v="1"/>
    <n v="26"/>
    <x v="3"/>
    <n v="3"/>
    <n v="22"/>
    <n v="9"/>
    <n v="3"/>
    <n v="10"/>
  </r>
  <r>
    <n v="33"/>
    <x v="1"/>
    <x v="0"/>
    <n v="536"/>
    <x v="0"/>
    <n v="10"/>
    <n v="5"/>
    <s v="Marketing"/>
    <n v="1"/>
    <n v="1268"/>
    <n v="4"/>
    <x v="1"/>
    <n v="82"/>
    <x v="2"/>
    <n v="3"/>
    <x v="0"/>
    <n v="3"/>
    <x v="2"/>
    <n v="8380"/>
    <n v="21708"/>
    <n v="0"/>
    <s v="Y"/>
    <s v="Yes"/>
    <n v="14"/>
    <x v="0"/>
    <n v="4"/>
    <n v="80"/>
    <x v="3"/>
    <n v="10"/>
    <x v="1"/>
    <n v="3"/>
    <n v="9"/>
    <n v="8"/>
    <n v="0"/>
    <n v="8"/>
  </r>
  <r>
    <n v="19"/>
    <x v="1"/>
    <x v="0"/>
    <n v="265"/>
    <x v="1"/>
    <n v="25"/>
    <n v="3"/>
    <s v="Life Sciences"/>
    <n v="1"/>
    <n v="1269"/>
    <n v="2"/>
    <x v="0"/>
    <n v="57"/>
    <x v="2"/>
    <n v="1"/>
    <x v="1"/>
    <n v="4"/>
    <x v="0"/>
    <n v="2994"/>
    <n v="21221"/>
    <n v="1"/>
    <s v="Y"/>
    <s v="Yes"/>
    <n v="12"/>
    <x v="0"/>
    <n v="4"/>
    <n v="80"/>
    <x v="0"/>
    <n v="1"/>
    <x v="2"/>
    <n v="3"/>
    <n v="1"/>
    <n v="0"/>
    <n v="0"/>
    <n v="1"/>
  </r>
  <r>
    <n v="23"/>
    <x v="1"/>
    <x v="0"/>
    <n v="373"/>
    <x v="1"/>
    <n v="1"/>
    <n v="2"/>
    <s v="Life Sciences"/>
    <n v="1"/>
    <n v="1270"/>
    <n v="4"/>
    <x v="1"/>
    <n v="47"/>
    <x v="0"/>
    <n v="1"/>
    <x v="1"/>
    <n v="3"/>
    <x v="1"/>
    <n v="1223"/>
    <n v="16901"/>
    <n v="1"/>
    <s v="Y"/>
    <s v="No"/>
    <n v="22"/>
    <x v="1"/>
    <n v="4"/>
    <n v="80"/>
    <x v="1"/>
    <n v="1"/>
    <x v="2"/>
    <n v="3"/>
    <n v="1"/>
    <n v="0"/>
    <n v="0"/>
    <n v="1"/>
  </r>
  <r>
    <n v="25"/>
    <x v="0"/>
    <x v="1"/>
    <n v="599"/>
    <x v="0"/>
    <n v="24"/>
    <n v="1"/>
    <s v="Life Sciences"/>
    <n v="1"/>
    <n v="1273"/>
    <n v="3"/>
    <x v="1"/>
    <n v="73"/>
    <x v="3"/>
    <n v="1"/>
    <x v="6"/>
    <n v="4"/>
    <x v="0"/>
    <n v="1118"/>
    <n v="8040"/>
    <n v="1"/>
    <s v="Y"/>
    <s v="Yes"/>
    <n v="14"/>
    <x v="0"/>
    <n v="4"/>
    <n v="80"/>
    <x v="0"/>
    <n v="1"/>
    <x v="5"/>
    <n v="3"/>
    <n v="1"/>
    <n v="0"/>
    <n v="1"/>
    <n v="0"/>
  </r>
  <r>
    <n v="26"/>
    <x v="1"/>
    <x v="0"/>
    <n v="583"/>
    <x v="1"/>
    <n v="4"/>
    <n v="2"/>
    <s v="Life Sciences"/>
    <n v="1"/>
    <n v="1275"/>
    <n v="3"/>
    <x v="1"/>
    <n v="53"/>
    <x v="0"/>
    <n v="1"/>
    <x v="1"/>
    <n v="4"/>
    <x v="0"/>
    <n v="2875"/>
    <n v="9973"/>
    <n v="1"/>
    <s v="Y"/>
    <s v="Yes"/>
    <n v="20"/>
    <x v="1"/>
    <n v="2"/>
    <n v="80"/>
    <x v="0"/>
    <n v="8"/>
    <x v="2"/>
    <n v="2"/>
    <n v="8"/>
    <n v="5"/>
    <n v="2"/>
    <n v="2"/>
  </r>
  <r>
    <n v="45"/>
    <x v="0"/>
    <x v="0"/>
    <n v="1449"/>
    <x v="0"/>
    <n v="2"/>
    <n v="3"/>
    <s v="Marketing"/>
    <n v="1"/>
    <n v="1277"/>
    <n v="1"/>
    <x v="0"/>
    <n v="94"/>
    <x v="3"/>
    <n v="5"/>
    <x v="5"/>
    <n v="2"/>
    <x v="0"/>
    <n v="18824"/>
    <n v="2493"/>
    <n v="2"/>
    <s v="Y"/>
    <s v="Yes"/>
    <n v="16"/>
    <x v="0"/>
    <n v="1"/>
    <n v="80"/>
    <x v="0"/>
    <n v="26"/>
    <x v="2"/>
    <n v="3"/>
    <n v="24"/>
    <n v="10"/>
    <n v="1"/>
    <n v="11"/>
  </r>
  <r>
    <n v="55"/>
    <x v="1"/>
    <x v="2"/>
    <n v="177"/>
    <x v="1"/>
    <n v="8"/>
    <n v="1"/>
    <s v="Medical"/>
    <n v="1"/>
    <n v="1278"/>
    <n v="4"/>
    <x v="1"/>
    <n v="37"/>
    <x v="1"/>
    <n v="4"/>
    <x v="4"/>
    <n v="2"/>
    <x v="2"/>
    <n v="13577"/>
    <n v="25592"/>
    <n v="1"/>
    <s v="Y"/>
    <s v="Yes"/>
    <n v="15"/>
    <x v="0"/>
    <n v="4"/>
    <n v="80"/>
    <x v="1"/>
    <n v="34"/>
    <x v="1"/>
    <n v="3"/>
    <n v="33"/>
    <n v="9"/>
    <n v="15"/>
    <n v="0"/>
  </r>
  <r>
    <n v="21"/>
    <x v="0"/>
    <x v="1"/>
    <n v="251"/>
    <x v="1"/>
    <n v="10"/>
    <n v="2"/>
    <s v="Life Sciences"/>
    <n v="1"/>
    <n v="1279"/>
    <n v="1"/>
    <x v="0"/>
    <n v="45"/>
    <x v="1"/>
    <n v="1"/>
    <x v="2"/>
    <n v="3"/>
    <x v="0"/>
    <n v="2625"/>
    <n v="25308"/>
    <n v="1"/>
    <s v="Y"/>
    <s v="No"/>
    <n v="20"/>
    <x v="1"/>
    <n v="3"/>
    <n v="80"/>
    <x v="0"/>
    <n v="2"/>
    <x v="2"/>
    <n v="1"/>
    <n v="2"/>
    <n v="2"/>
    <n v="2"/>
    <n v="2"/>
  </r>
  <r>
    <n v="46"/>
    <x v="1"/>
    <x v="0"/>
    <n v="168"/>
    <x v="0"/>
    <n v="4"/>
    <n v="2"/>
    <s v="Marketing"/>
    <n v="1"/>
    <n v="1280"/>
    <n v="4"/>
    <x v="0"/>
    <n v="33"/>
    <x v="1"/>
    <n v="5"/>
    <x v="5"/>
    <n v="2"/>
    <x v="1"/>
    <n v="18789"/>
    <n v="9946"/>
    <n v="2"/>
    <s v="Y"/>
    <s v="No"/>
    <n v="14"/>
    <x v="0"/>
    <n v="3"/>
    <n v="80"/>
    <x v="1"/>
    <n v="26"/>
    <x v="2"/>
    <n v="3"/>
    <n v="11"/>
    <n v="4"/>
    <n v="0"/>
    <n v="8"/>
  </r>
  <r>
    <n v="34"/>
    <x v="1"/>
    <x v="0"/>
    <n v="131"/>
    <x v="0"/>
    <n v="2"/>
    <n v="3"/>
    <s v="Marketing"/>
    <n v="1"/>
    <n v="1281"/>
    <n v="3"/>
    <x v="0"/>
    <n v="86"/>
    <x v="0"/>
    <n v="2"/>
    <x v="0"/>
    <n v="1"/>
    <x v="0"/>
    <n v="4538"/>
    <n v="6039"/>
    <n v="0"/>
    <s v="Y"/>
    <s v="Yes"/>
    <n v="12"/>
    <x v="0"/>
    <n v="4"/>
    <n v="80"/>
    <x v="0"/>
    <n v="4"/>
    <x v="1"/>
    <n v="3"/>
    <n v="3"/>
    <n v="2"/>
    <n v="0"/>
    <n v="2"/>
  </r>
  <r>
    <n v="51"/>
    <x v="1"/>
    <x v="1"/>
    <n v="237"/>
    <x v="0"/>
    <n v="9"/>
    <n v="3"/>
    <s v="Life Sciences"/>
    <n v="1"/>
    <n v="1282"/>
    <n v="4"/>
    <x v="1"/>
    <n v="83"/>
    <x v="0"/>
    <n v="5"/>
    <x v="5"/>
    <n v="2"/>
    <x v="2"/>
    <n v="19847"/>
    <n v="19196"/>
    <n v="4"/>
    <s v="Y"/>
    <s v="Yes"/>
    <n v="24"/>
    <x v="1"/>
    <n v="1"/>
    <n v="80"/>
    <x v="1"/>
    <n v="31"/>
    <x v="3"/>
    <n v="2"/>
    <n v="29"/>
    <n v="10"/>
    <n v="11"/>
    <n v="10"/>
  </r>
  <r>
    <n v="59"/>
    <x v="1"/>
    <x v="0"/>
    <n v="1429"/>
    <x v="1"/>
    <n v="18"/>
    <n v="4"/>
    <s v="Medical"/>
    <n v="1"/>
    <n v="1283"/>
    <n v="4"/>
    <x v="1"/>
    <n v="67"/>
    <x v="0"/>
    <n v="3"/>
    <x v="3"/>
    <n v="4"/>
    <x v="0"/>
    <n v="10512"/>
    <n v="20002"/>
    <n v="6"/>
    <s v="Y"/>
    <s v="No"/>
    <n v="12"/>
    <x v="0"/>
    <n v="4"/>
    <n v="80"/>
    <x v="0"/>
    <n v="25"/>
    <x v="6"/>
    <n v="2"/>
    <n v="9"/>
    <n v="7"/>
    <n v="5"/>
    <n v="4"/>
  </r>
  <r>
    <n v="34"/>
    <x v="1"/>
    <x v="1"/>
    <n v="135"/>
    <x v="1"/>
    <n v="19"/>
    <n v="3"/>
    <s v="Medical"/>
    <n v="1"/>
    <n v="1285"/>
    <n v="3"/>
    <x v="0"/>
    <n v="46"/>
    <x v="0"/>
    <n v="2"/>
    <x v="2"/>
    <n v="2"/>
    <x v="2"/>
    <n v="4444"/>
    <n v="22534"/>
    <n v="4"/>
    <s v="Y"/>
    <s v="No"/>
    <n v="13"/>
    <x v="0"/>
    <n v="3"/>
    <n v="80"/>
    <x v="3"/>
    <n v="15"/>
    <x v="2"/>
    <n v="4"/>
    <n v="11"/>
    <n v="8"/>
    <n v="5"/>
    <n v="10"/>
  </r>
  <r>
    <n v="28"/>
    <x v="1"/>
    <x v="1"/>
    <n v="791"/>
    <x v="1"/>
    <n v="1"/>
    <n v="4"/>
    <s v="Medical"/>
    <n v="1"/>
    <n v="1286"/>
    <n v="4"/>
    <x v="1"/>
    <n v="44"/>
    <x v="0"/>
    <n v="1"/>
    <x v="2"/>
    <n v="3"/>
    <x v="0"/>
    <n v="2154"/>
    <n v="6842"/>
    <n v="0"/>
    <s v="Y"/>
    <s v="Yes"/>
    <n v="11"/>
    <x v="0"/>
    <n v="3"/>
    <n v="80"/>
    <x v="0"/>
    <n v="5"/>
    <x v="2"/>
    <n v="2"/>
    <n v="4"/>
    <n v="2"/>
    <n v="0"/>
    <n v="2"/>
  </r>
  <r>
    <n v="44"/>
    <x v="1"/>
    <x v="0"/>
    <n v="1199"/>
    <x v="1"/>
    <n v="4"/>
    <n v="2"/>
    <s v="Life Sciences"/>
    <n v="1"/>
    <n v="1288"/>
    <n v="3"/>
    <x v="1"/>
    <n v="92"/>
    <x v="2"/>
    <n v="5"/>
    <x v="5"/>
    <n v="1"/>
    <x v="2"/>
    <n v="19190"/>
    <n v="17477"/>
    <n v="1"/>
    <s v="Y"/>
    <s v="No"/>
    <n v="14"/>
    <x v="0"/>
    <n v="4"/>
    <n v="80"/>
    <x v="3"/>
    <n v="26"/>
    <x v="5"/>
    <n v="2"/>
    <n v="25"/>
    <n v="9"/>
    <n v="14"/>
    <n v="13"/>
  </r>
  <r>
    <n v="34"/>
    <x v="1"/>
    <x v="1"/>
    <n v="648"/>
    <x v="2"/>
    <n v="11"/>
    <n v="3"/>
    <s v="Life Sciences"/>
    <n v="1"/>
    <n v="1289"/>
    <n v="3"/>
    <x v="1"/>
    <n v="56"/>
    <x v="1"/>
    <n v="2"/>
    <x v="8"/>
    <n v="2"/>
    <x v="1"/>
    <n v="4490"/>
    <n v="21833"/>
    <n v="4"/>
    <s v="Y"/>
    <s v="No"/>
    <n v="11"/>
    <x v="0"/>
    <n v="4"/>
    <n v="80"/>
    <x v="3"/>
    <n v="14"/>
    <x v="3"/>
    <n v="4"/>
    <n v="10"/>
    <n v="9"/>
    <n v="1"/>
    <n v="8"/>
  </r>
  <r>
    <n v="35"/>
    <x v="1"/>
    <x v="0"/>
    <n v="735"/>
    <x v="1"/>
    <n v="6"/>
    <n v="1"/>
    <s v="Life Sciences"/>
    <n v="1"/>
    <n v="1291"/>
    <n v="3"/>
    <x v="1"/>
    <n v="66"/>
    <x v="0"/>
    <n v="1"/>
    <x v="1"/>
    <n v="3"/>
    <x v="1"/>
    <n v="3506"/>
    <n v="6020"/>
    <n v="0"/>
    <s v="Y"/>
    <s v="Yes"/>
    <n v="14"/>
    <x v="0"/>
    <n v="4"/>
    <n v="80"/>
    <x v="0"/>
    <n v="4"/>
    <x v="1"/>
    <n v="3"/>
    <n v="3"/>
    <n v="2"/>
    <n v="2"/>
    <n v="2"/>
  </r>
  <r>
    <n v="42"/>
    <x v="1"/>
    <x v="0"/>
    <n v="603"/>
    <x v="1"/>
    <n v="7"/>
    <n v="4"/>
    <s v="Medical"/>
    <n v="1"/>
    <n v="1292"/>
    <n v="2"/>
    <x v="0"/>
    <n v="78"/>
    <x v="2"/>
    <n v="2"/>
    <x v="1"/>
    <n v="2"/>
    <x v="1"/>
    <n v="2372"/>
    <n v="5628"/>
    <n v="6"/>
    <s v="Y"/>
    <s v="Yes"/>
    <n v="16"/>
    <x v="0"/>
    <n v="4"/>
    <n v="80"/>
    <x v="0"/>
    <n v="18"/>
    <x v="2"/>
    <n v="3"/>
    <n v="1"/>
    <n v="0"/>
    <n v="0"/>
    <n v="0"/>
  </r>
  <r>
    <n v="43"/>
    <x v="1"/>
    <x v="0"/>
    <n v="531"/>
    <x v="0"/>
    <n v="4"/>
    <n v="4"/>
    <s v="Marketing"/>
    <n v="1"/>
    <n v="1293"/>
    <n v="4"/>
    <x v="0"/>
    <n v="56"/>
    <x v="1"/>
    <n v="3"/>
    <x v="0"/>
    <n v="4"/>
    <x v="0"/>
    <n v="10231"/>
    <n v="20364"/>
    <n v="3"/>
    <s v="Y"/>
    <s v="No"/>
    <n v="14"/>
    <x v="0"/>
    <n v="4"/>
    <n v="80"/>
    <x v="0"/>
    <n v="23"/>
    <x v="1"/>
    <n v="4"/>
    <n v="21"/>
    <n v="7"/>
    <n v="15"/>
    <n v="17"/>
  </r>
  <r>
    <n v="36"/>
    <x v="1"/>
    <x v="0"/>
    <n v="429"/>
    <x v="1"/>
    <n v="2"/>
    <n v="4"/>
    <s v="Life Sciences"/>
    <n v="1"/>
    <n v="1294"/>
    <n v="3"/>
    <x v="0"/>
    <n v="53"/>
    <x v="0"/>
    <n v="2"/>
    <x v="3"/>
    <n v="2"/>
    <x v="0"/>
    <n v="5410"/>
    <n v="2323"/>
    <n v="9"/>
    <s v="Y"/>
    <s v="Yes"/>
    <n v="11"/>
    <x v="0"/>
    <n v="4"/>
    <n v="80"/>
    <x v="0"/>
    <n v="18"/>
    <x v="2"/>
    <n v="3"/>
    <n v="16"/>
    <n v="14"/>
    <n v="5"/>
    <n v="12"/>
  </r>
  <r>
    <n v="44"/>
    <x v="0"/>
    <x v="0"/>
    <n v="621"/>
    <x v="1"/>
    <n v="15"/>
    <n v="3"/>
    <s v="Medical"/>
    <n v="1"/>
    <n v="1295"/>
    <n v="1"/>
    <x v="0"/>
    <n v="73"/>
    <x v="0"/>
    <n v="3"/>
    <x v="4"/>
    <n v="4"/>
    <x v="1"/>
    <n v="7978"/>
    <n v="14075"/>
    <n v="1"/>
    <s v="Y"/>
    <s v="No"/>
    <n v="11"/>
    <x v="0"/>
    <n v="4"/>
    <n v="80"/>
    <x v="1"/>
    <n v="10"/>
    <x v="2"/>
    <n v="3"/>
    <n v="10"/>
    <n v="7"/>
    <n v="0"/>
    <n v="5"/>
  </r>
  <r>
    <n v="28"/>
    <x v="1"/>
    <x v="1"/>
    <n v="193"/>
    <x v="1"/>
    <n v="2"/>
    <n v="3"/>
    <s v="Life Sciences"/>
    <n v="1"/>
    <n v="1296"/>
    <n v="4"/>
    <x v="1"/>
    <n v="52"/>
    <x v="1"/>
    <n v="1"/>
    <x v="2"/>
    <n v="4"/>
    <x v="1"/>
    <n v="3867"/>
    <n v="14222"/>
    <n v="1"/>
    <s v="Y"/>
    <s v="Yes"/>
    <n v="12"/>
    <x v="0"/>
    <n v="2"/>
    <n v="80"/>
    <x v="1"/>
    <n v="2"/>
    <x v="2"/>
    <n v="3"/>
    <n v="2"/>
    <n v="2"/>
    <n v="2"/>
    <n v="2"/>
  </r>
  <r>
    <n v="51"/>
    <x v="1"/>
    <x v="1"/>
    <n v="968"/>
    <x v="1"/>
    <n v="6"/>
    <n v="2"/>
    <s v="Medical"/>
    <n v="1"/>
    <n v="1297"/>
    <n v="2"/>
    <x v="0"/>
    <n v="40"/>
    <x v="1"/>
    <n v="1"/>
    <x v="2"/>
    <n v="3"/>
    <x v="0"/>
    <n v="2838"/>
    <n v="4257"/>
    <n v="0"/>
    <s v="Y"/>
    <s v="No"/>
    <n v="14"/>
    <x v="0"/>
    <n v="2"/>
    <n v="80"/>
    <x v="0"/>
    <n v="8"/>
    <x v="6"/>
    <n v="2"/>
    <n v="7"/>
    <n v="0"/>
    <n v="7"/>
    <n v="7"/>
  </r>
  <r>
    <n v="30"/>
    <x v="1"/>
    <x v="2"/>
    <n v="879"/>
    <x v="1"/>
    <n v="9"/>
    <n v="2"/>
    <s v="Medical"/>
    <n v="1"/>
    <n v="1298"/>
    <n v="3"/>
    <x v="0"/>
    <n v="72"/>
    <x v="0"/>
    <n v="2"/>
    <x v="3"/>
    <n v="3"/>
    <x v="0"/>
    <n v="4695"/>
    <n v="12858"/>
    <n v="7"/>
    <s v="Y"/>
    <s v="Yes"/>
    <n v="18"/>
    <x v="0"/>
    <n v="3"/>
    <n v="80"/>
    <x v="0"/>
    <n v="10"/>
    <x v="1"/>
    <n v="3"/>
    <n v="8"/>
    <n v="4"/>
    <n v="1"/>
    <n v="7"/>
  </r>
  <r>
    <n v="29"/>
    <x v="0"/>
    <x v="0"/>
    <n v="806"/>
    <x v="1"/>
    <n v="7"/>
    <n v="3"/>
    <s v="Technical Degree"/>
    <n v="1"/>
    <n v="1299"/>
    <n v="2"/>
    <x v="0"/>
    <n v="39"/>
    <x v="0"/>
    <n v="1"/>
    <x v="2"/>
    <n v="3"/>
    <x v="2"/>
    <n v="3339"/>
    <n v="17285"/>
    <n v="3"/>
    <s v="Y"/>
    <s v="Yes"/>
    <n v="13"/>
    <x v="0"/>
    <n v="1"/>
    <n v="80"/>
    <x v="3"/>
    <n v="10"/>
    <x v="2"/>
    <n v="3"/>
    <n v="7"/>
    <n v="7"/>
    <n v="7"/>
    <n v="7"/>
  </r>
  <r>
    <n v="28"/>
    <x v="1"/>
    <x v="0"/>
    <n v="640"/>
    <x v="1"/>
    <n v="1"/>
    <n v="3"/>
    <s v="Technical Degree"/>
    <n v="1"/>
    <n v="1301"/>
    <n v="4"/>
    <x v="1"/>
    <n v="84"/>
    <x v="0"/>
    <n v="1"/>
    <x v="1"/>
    <n v="1"/>
    <x v="0"/>
    <n v="2080"/>
    <n v="4732"/>
    <n v="2"/>
    <s v="Y"/>
    <s v="No"/>
    <n v="11"/>
    <x v="0"/>
    <n v="2"/>
    <n v="80"/>
    <x v="0"/>
    <n v="5"/>
    <x v="2"/>
    <n v="2"/>
    <n v="3"/>
    <n v="2"/>
    <n v="1"/>
    <n v="2"/>
  </r>
  <r>
    <n v="25"/>
    <x v="1"/>
    <x v="0"/>
    <n v="266"/>
    <x v="1"/>
    <n v="1"/>
    <n v="3"/>
    <s v="Medical"/>
    <n v="1"/>
    <n v="1303"/>
    <n v="4"/>
    <x v="0"/>
    <n v="40"/>
    <x v="0"/>
    <n v="1"/>
    <x v="1"/>
    <n v="2"/>
    <x v="0"/>
    <n v="2096"/>
    <n v="18830"/>
    <n v="1"/>
    <s v="Y"/>
    <s v="No"/>
    <n v="18"/>
    <x v="0"/>
    <n v="4"/>
    <n v="80"/>
    <x v="0"/>
    <n v="2"/>
    <x v="1"/>
    <n v="2"/>
    <n v="2"/>
    <n v="2"/>
    <n v="2"/>
    <n v="1"/>
  </r>
  <r>
    <n v="32"/>
    <x v="1"/>
    <x v="0"/>
    <n v="604"/>
    <x v="0"/>
    <n v="8"/>
    <n v="3"/>
    <s v="Medical"/>
    <n v="1"/>
    <n v="1304"/>
    <n v="3"/>
    <x v="1"/>
    <n v="56"/>
    <x v="2"/>
    <n v="2"/>
    <x v="0"/>
    <n v="4"/>
    <x v="1"/>
    <n v="6209"/>
    <n v="11693"/>
    <n v="1"/>
    <s v="Y"/>
    <s v="No"/>
    <n v="15"/>
    <x v="0"/>
    <n v="3"/>
    <n v="80"/>
    <x v="3"/>
    <n v="10"/>
    <x v="5"/>
    <n v="4"/>
    <n v="10"/>
    <n v="7"/>
    <n v="0"/>
    <n v="8"/>
  </r>
  <r>
    <n v="45"/>
    <x v="1"/>
    <x v="1"/>
    <n v="364"/>
    <x v="1"/>
    <n v="25"/>
    <n v="3"/>
    <s v="Medical"/>
    <n v="1"/>
    <n v="1306"/>
    <n v="2"/>
    <x v="0"/>
    <n v="83"/>
    <x v="0"/>
    <n v="5"/>
    <x v="5"/>
    <n v="2"/>
    <x v="0"/>
    <n v="18061"/>
    <n v="13035"/>
    <n v="3"/>
    <s v="Y"/>
    <s v="No"/>
    <n v="22"/>
    <x v="1"/>
    <n v="3"/>
    <n v="80"/>
    <x v="0"/>
    <n v="22"/>
    <x v="5"/>
    <n v="3"/>
    <n v="0"/>
    <n v="0"/>
    <n v="0"/>
    <n v="0"/>
  </r>
  <r>
    <n v="39"/>
    <x v="1"/>
    <x v="0"/>
    <n v="412"/>
    <x v="1"/>
    <n v="13"/>
    <n v="4"/>
    <s v="Medical"/>
    <n v="1"/>
    <n v="1307"/>
    <n v="3"/>
    <x v="0"/>
    <n v="94"/>
    <x v="1"/>
    <n v="4"/>
    <x v="5"/>
    <n v="2"/>
    <x v="2"/>
    <n v="17123"/>
    <n v="17334"/>
    <n v="6"/>
    <s v="Y"/>
    <s v="Yes"/>
    <n v="13"/>
    <x v="0"/>
    <n v="4"/>
    <n v="80"/>
    <x v="3"/>
    <n v="21"/>
    <x v="5"/>
    <n v="3"/>
    <n v="19"/>
    <n v="9"/>
    <n v="15"/>
    <n v="2"/>
  </r>
  <r>
    <n v="58"/>
    <x v="1"/>
    <x v="0"/>
    <n v="848"/>
    <x v="1"/>
    <n v="23"/>
    <n v="4"/>
    <s v="Life Sciences"/>
    <n v="1"/>
    <n v="1308"/>
    <n v="1"/>
    <x v="1"/>
    <n v="88"/>
    <x v="0"/>
    <n v="1"/>
    <x v="1"/>
    <n v="3"/>
    <x v="2"/>
    <n v="2372"/>
    <n v="26076"/>
    <n v="1"/>
    <s v="Y"/>
    <s v="No"/>
    <n v="12"/>
    <x v="0"/>
    <n v="4"/>
    <n v="80"/>
    <x v="3"/>
    <n v="2"/>
    <x v="1"/>
    <n v="3"/>
    <n v="2"/>
    <n v="2"/>
    <n v="2"/>
    <n v="2"/>
  </r>
  <r>
    <n v="32"/>
    <x v="0"/>
    <x v="0"/>
    <n v="1089"/>
    <x v="1"/>
    <n v="7"/>
    <n v="2"/>
    <s v="Life Sciences"/>
    <n v="1"/>
    <n v="1309"/>
    <n v="4"/>
    <x v="1"/>
    <n v="79"/>
    <x v="0"/>
    <n v="2"/>
    <x v="2"/>
    <n v="3"/>
    <x v="1"/>
    <n v="4883"/>
    <n v="22845"/>
    <n v="1"/>
    <s v="Y"/>
    <s v="No"/>
    <n v="18"/>
    <x v="0"/>
    <n v="1"/>
    <n v="80"/>
    <x v="1"/>
    <n v="10"/>
    <x v="1"/>
    <n v="3"/>
    <n v="10"/>
    <n v="4"/>
    <n v="1"/>
    <n v="1"/>
  </r>
  <r>
    <n v="39"/>
    <x v="0"/>
    <x v="0"/>
    <n v="360"/>
    <x v="1"/>
    <n v="23"/>
    <n v="3"/>
    <s v="Medical"/>
    <n v="1"/>
    <n v="1310"/>
    <n v="3"/>
    <x v="1"/>
    <n v="93"/>
    <x v="0"/>
    <n v="1"/>
    <x v="1"/>
    <n v="1"/>
    <x v="0"/>
    <n v="3904"/>
    <n v="22154"/>
    <n v="0"/>
    <s v="Y"/>
    <s v="No"/>
    <n v="13"/>
    <x v="0"/>
    <n v="1"/>
    <n v="80"/>
    <x v="0"/>
    <n v="6"/>
    <x v="2"/>
    <n v="3"/>
    <n v="5"/>
    <n v="2"/>
    <n v="0"/>
    <n v="3"/>
  </r>
  <r>
    <n v="30"/>
    <x v="1"/>
    <x v="0"/>
    <n v="1138"/>
    <x v="1"/>
    <n v="6"/>
    <n v="3"/>
    <s v="Technical Degree"/>
    <n v="1"/>
    <n v="1311"/>
    <n v="1"/>
    <x v="0"/>
    <n v="48"/>
    <x v="1"/>
    <n v="2"/>
    <x v="2"/>
    <n v="4"/>
    <x v="1"/>
    <n v="4627"/>
    <n v="23631"/>
    <n v="0"/>
    <s v="Y"/>
    <s v="No"/>
    <n v="12"/>
    <x v="0"/>
    <n v="1"/>
    <n v="80"/>
    <x v="1"/>
    <n v="10"/>
    <x v="6"/>
    <n v="3"/>
    <n v="9"/>
    <n v="2"/>
    <n v="6"/>
    <n v="7"/>
  </r>
  <r>
    <n v="36"/>
    <x v="1"/>
    <x v="0"/>
    <n v="325"/>
    <x v="1"/>
    <n v="10"/>
    <n v="4"/>
    <s v="Technical Degree"/>
    <n v="1"/>
    <n v="1312"/>
    <n v="4"/>
    <x v="0"/>
    <n v="63"/>
    <x v="0"/>
    <n v="3"/>
    <x v="4"/>
    <n v="3"/>
    <x v="1"/>
    <n v="7094"/>
    <n v="5747"/>
    <n v="3"/>
    <s v="Y"/>
    <s v="No"/>
    <n v="12"/>
    <x v="0"/>
    <n v="1"/>
    <n v="80"/>
    <x v="0"/>
    <n v="10"/>
    <x v="0"/>
    <n v="3"/>
    <n v="7"/>
    <n v="7"/>
    <n v="1"/>
    <n v="7"/>
  </r>
  <r>
    <n v="46"/>
    <x v="1"/>
    <x v="0"/>
    <n v="991"/>
    <x v="2"/>
    <n v="1"/>
    <n v="2"/>
    <s v="Life Sciences"/>
    <n v="1"/>
    <n v="1314"/>
    <n v="4"/>
    <x v="0"/>
    <n v="44"/>
    <x v="0"/>
    <n v="1"/>
    <x v="8"/>
    <n v="1"/>
    <x v="0"/>
    <n v="3423"/>
    <n v="22957"/>
    <n v="6"/>
    <s v="Y"/>
    <s v="No"/>
    <n v="12"/>
    <x v="0"/>
    <n v="3"/>
    <n v="80"/>
    <x v="0"/>
    <n v="10"/>
    <x v="1"/>
    <n v="4"/>
    <n v="7"/>
    <n v="6"/>
    <n v="5"/>
    <n v="7"/>
  </r>
  <r>
    <n v="28"/>
    <x v="1"/>
    <x v="2"/>
    <n v="1476"/>
    <x v="1"/>
    <n v="1"/>
    <n v="3"/>
    <s v="Life Sciences"/>
    <n v="1"/>
    <n v="1315"/>
    <n v="3"/>
    <x v="0"/>
    <n v="55"/>
    <x v="3"/>
    <n v="2"/>
    <x v="2"/>
    <n v="4"/>
    <x v="1"/>
    <n v="6674"/>
    <n v="16392"/>
    <n v="0"/>
    <s v="Y"/>
    <s v="No"/>
    <n v="11"/>
    <x v="0"/>
    <n v="1"/>
    <n v="80"/>
    <x v="2"/>
    <n v="10"/>
    <x v="6"/>
    <n v="3"/>
    <n v="9"/>
    <n v="8"/>
    <n v="7"/>
    <n v="5"/>
  </r>
  <r>
    <n v="50"/>
    <x v="1"/>
    <x v="0"/>
    <n v="1322"/>
    <x v="1"/>
    <n v="28"/>
    <n v="3"/>
    <s v="Life Sciences"/>
    <n v="1"/>
    <n v="1317"/>
    <n v="4"/>
    <x v="0"/>
    <n v="43"/>
    <x v="0"/>
    <n v="4"/>
    <x v="7"/>
    <n v="1"/>
    <x v="1"/>
    <n v="16880"/>
    <n v="22422"/>
    <n v="4"/>
    <s v="Y"/>
    <s v="Yes"/>
    <n v="11"/>
    <x v="0"/>
    <n v="2"/>
    <n v="80"/>
    <x v="0"/>
    <n v="25"/>
    <x v="2"/>
    <n v="3"/>
    <n v="3"/>
    <n v="2"/>
    <n v="1"/>
    <n v="2"/>
  </r>
  <r>
    <n v="40"/>
    <x v="0"/>
    <x v="0"/>
    <n v="299"/>
    <x v="0"/>
    <n v="25"/>
    <n v="4"/>
    <s v="Marketing"/>
    <n v="1"/>
    <n v="1318"/>
    <n v="4"/>
    <x v="1"/>
    <n v="57"/>
    <x v="1"/>
    <n v="3"/>
    <x v="0"/>
    <n v="2"/>
    <x v="0"/>
    <n v="9094"/>
    <n v="17235"/>
    <n v="2"/>
    <s v="Y"/>
    <s v="Yes"/>
    <n v="12"/>
    <x v="0"/>
    <n v="3"/>
    <n v="80"/>
    <x v="0"/>
    <n v="9"/>
    <x v="2"/>
    <n v="3"/>
    <n v="5"/>
    <n v="4"/>
    <n v="1"/>
    <n v="0"/>
  </r>
  <r>
    <n v="52"/>
    <x v="0"/>
    <x v="0"/>
    <n v="1030"/>
    <x v="0"/>
    <n v="5"/>
    <n v="3"/>
    <s v="Life Sciences"/>
    <n v="1"/>
    <n v="1319"/>
    <n v="2"/>
    <x v="1"/>
    <n v="64"/>
    <x v="0"/>
    <n v="3"/>
    <x v="0"/>
    <n v="2"/>
    <x v="0"/>
    <n v="8446"/>
    <n v="21534"/>
    <n v="9"/>
    <s v="Y"/>
    <s v="Yes"/>
    <n v="19"/>
    <x v="0"/>
    <n v="3"/>
    <n v="80"/>
    <x v="0"/>
    <n v="10"/>
    <x v="2"/>
    <n v="2"/>
    <n v="8"/>
    <n v="7"/>
    <n v="7"/>
    <n v="7"/>
  </r>
  <r>
    <n v="30"/>
    <x v="1"/>
    <x v="0"/>
    <n v="634"/>
    <x v="1"/>
    <n v="17"/>
    <n v="4"/>
    <s v="Medical"/>
    <n v="1"/>
    <n v="1321"/>
    <n v="2"/>
    <x v="0"/>
    <n v="95"/>
    <x v="0"/>
    <n v="3"/>
    <x v="5"/>
    <n v="1"/>
    <x v="1"/>
    <n v="11916"/>
    <n v="25927"/>
    <n v="1"/>
    <s v="Y"/>
    <s v="Yes"/>
    <n v="23"/>
    <x v="1"/>
    <n v="4"/>
    <n v="80"/>
    <x v="3"/>
    <n v="9"/>
    <x v="2"/>
    <n v="3"/>
    <n v="9"/>
    <n v="1"/>
    <n v="0"/>
    <n v="8"/>
  </r>
  <r>
    <n v="39"/>
    <x v="1"/>
    <x v="0"/>
    <n v="524"/>
    <x v="1"/>
    <n v="18"/>
    <n v="2"/>
    <s v="Life Sciences"/>
    <n v="1"/>
    <n v="1322"/>
    <n v="1"/>
    <x v="1"/>
    <n v="32"/>
    <x v="0"/>
    <n v="2"/>
    <x v="3"/>
    <n v="3"/>
    <x v="0"/>
    <n v="4534"/>
    <n v="13352"/>
    <n v="0"/>
    <s v="Y"/>
    <s v="No"/>
    <n v="11"/>
    <x v="0"/>
    <n v="1"/>
    <n v="80"/>
    <x v="0"/>
    <n v="9"/>
    <x v="6"/>
    <n v="3"/>
    <n v="8"/>
    <n v="7"/>
    <n v="1"/>
    <n v="7"/>
  </r>
  <r>
    <n v="31"/>
    <x v="1"/>
    <x v="2"/>
    <n v="587"/>
    <x v="0"/>
    <n v="2"/>
    <n v="4"/>
    <s v="Life Sciences"/>
    <n v="1"/>
    <n v="1324"/>
    <n v="4"/>
    <x v="0"/>
    <n v="57"/>
    <x v="0"/>
    <n v="3"/>
    <x v="0"/>
    <n v="3"/>
    <x v="2"/>
    <n v="9852"/>
    <n v="8935"/>
    <n v="1"/>
    <s v="Y"/>
    <s v="Yes"/>
    <n v="19"/>
    <x v="0"/>
    <n v="1"/>
    <n v="80"/>
    <x v="1"/>
    <n v="10"/>
    <x v="3"/>
    <n v="2"/>
    <n v="10"/>
    <n v="8"/>
    <n v="9"/>
    <n v="6"/>
  </r>
  <r>
    <n v="41"/>
    <x v="1"/>
    <x v="2"/>
    <n v="256"/>
    <x v="0"/>
    <n v="10"/>
    <n v="2"/>
    <s v="Medical"/>
    <n v="1"/>
    <n v="1329"/>
    <n v="3"/>
    <x v="1"/>
    <n v="40"/>
    <x v="3"/>
    <n v="2"/>
    <x v="0"/>
    <n v="2"/>
    <x v="0"/>
    <n v="6151"/>
    <n v="22074"/>
    <n v="1"/>
    <s v="Y"/>
    <s v="No"/>
    <n v="13"/>
    <x v="0"/>
    <n v="1"/>
    <n v="80"/>
    <x v="0"/>
    <n v="19"/>
    <x v="5"/>
    <n v="3"/>
    <n v="19"/>
    <n v="2"/>
    <n v="11"/>
    <n v="9"/>
  </r>
  <r>
    <n v="31"/>
    <x v="0"/>
    <x v="1"/>
    <n v="1060"/>
    <x v="0"/>
    <n v="1"/>
    <n v="3"/>
    <s v="Life Sciences"/>
    <n v="1"/>
    <n v="1331"/>
    <n v="4"/>
    <x v="0"/>
    <n v="54"/>
    <x v="0"/>
    <n v="1"/>
    <x v="6"/>
    <n v="2"/>
    <x v="0"/>
    <n v="2302"/>
    <n v="8319"/>
    <n v="1"/>
    <s v="Y"/>
    <s v="Yes"/>
    <n v="11"/>
    <x v="0"/>
    <n v="1"/>
    <n v="80"/>
    <x v="0"/>
    <n v="3"/>
    <x v="2"/>
    <n v="4"/>
    <n v="3"/>
    <n v="2"/>
    <n v="2"/>
    <n v="2"/>
  </r>
  <r>
    <n v="44"/>
    <x v="0"/>
    <x v="0"/>
    <n v="935"/>
    <x v="1"/>
    <n v="3"/>
    <n v="3"/>
    <s v="Life Sciences"/>
    <n v="1"/>
    <n v="1333"/>
    <n v="1"/>
    <x v="1"/>
    <n v="89"/>
    <x v="0"/>
    <n v="1"/>
    <x v="2"/>
    <n v="1"/>
    <x v="1"/>
    <n v="2362"/>
    <n v="14669"/>
    <n v="4"/>
    <s v="Y"/>
    <s v="No"/>
    <n v="12"/>
    <x v="0"/>
    <n v="3"/>
    <n v="80"/>
    <x v="0"/>
    <n v="10"/>
    <x v="5"/>
    <n v="4"/>
    <n v="3"/>
    <n v="2"/>
    <n v="1"/>
    <n v="2"/>
  </r>
  <r>
    <n v="42"/>
    <x v="1"/>
    <x v="2"/>
    <n v="495"/>
    <x v="1"/>
    <n v="2"/>
    <n v="1"/>
    <s v="Life Sciences"/>
    <n v="1"/>
    <n v="1334"/>
    <n v="3"/>
    <x v="1"/>
    <n v="37"/>
    <x v="0"/>
    <n v="4"/>
    <x v="5"/>
    <n v="3"/>
    <x v="1"/>
    <n v="17861"/>
    <n v="26582"/>
    <n v="0"/>
    <s v="Y"/>
    <s v="Yes"/>
    <n v="13"/>
    <x v="0"/>
    <n v="4"/>
    <n v="80"/>
    <x v="0"/>
    <n v="21"/>
    <x v="1"/>
    <n v="2"/>
    <n v="20"/>
    <n v="8"/>
    <n v="2"/>
    <n v="10"/>
  </r>
  <r>
    <n v="55"/>
    <x v="1"/>
    <x v="0"/>
    <n v="282"/>
    <x v="1"/>
    <n v="2"/>
    <n v="2"/>
    <s v="Medical"/>
    <n v="1"/>
    <n v="1336"/>
    <n v="4"/>
    <x v="0"/>
    <n v="58"/>
    <x v="3"/>
    <n v="5"/>
    <x v="5"/>
    <n v="3"/>
    <x v="1"/>
    <n v="19187"/>
    <n v="6992"/>
    <n v="4"/>
    <s v="Y"/>
    <s v="No"/>
    <n v="14"/>
    <x v="0"/>
    <n v="4"/>
    <n v="80"/>
    <x v="1"/>
    <n v="23"/>
    <x v="3"/>
    <n v="3"/>
    <n v="19"/>
    <n v="9"/>
    <n v="9"/>
    <n v="11"/>
  </r>
  <r>
    <n v="56"/>
    <x v="1"/>
    <x v="0"/>
    <n v="206"/>
    <x v="2"/>
    <n v="8"/>
    <n v="4"/>
    <s v="Life Sciences"/>
    <n v="1"/>
    <n v="1338"/>
    <n v="4"/>
    <x v="1"/>
    <n v="99"/>
    <x v="0"/>
    <n v="5"/>
    <x v="5"/>
    <n v="2"/>
    <x v="0"/>
    <n v="19717"/>
    <n v="4022"/>
    <n v="6"/>
    <s v="Y"/>
    <s v="No"/>
    <n v="14"/>
    <x v="0"/>
    <n v="1"/>
    <n v="80"/>
    <x v="0"/>
    <n v="36"/>
    <x v="5"/>
    <n v="3"/>
    <n v="7"/>
    <n v="3"/>
    <n v="7"/>
    <n v="7"/>
  </r>
  <r>
    <n v="40"/>
    <x v="1"/>
    <x v="2"/>
    <n v="458"/>
    <x v="1"/>
    <n v="16"/>
    <n v="2"/>
    <s v="Life Sciences"/>
    <n v="1"/>
    <n v="1340"/>
    <n v="3"/>
    <x v="1"/>
    <n v="74"/>
    <x v="0"/>
    <n v="1"/>
    <x v="1"/>
    <n v="3"/>
    <x v="2"/>
    <n v="3544"/>
    <n v="8532"/>
    <n v="9"/>
    <s v="Y"/>
    <s v="No"/>
    <n v="16"/>
    <x v="0"/>
    <n v="2"/>
    <n v="80"/>
    <x v="1"/>
    <n v="6"/>
    <x v="0"/>
    <n v="3"/>
    <n v="4"/>
    <n v="2"/>
    <n v="0"/>
    <n v="0"/>
  </r>
  <r>
    <n v="34"/>
    <x v="1"/>
    <x v="0"/>
    <n v="943"/>
    <x v="1"/>
    <n v="9"/>
    <n v="3"/>
    <s v="Life Sciences"/>
    <n v="1"/>
    <n v="1344"/>
    <n v="4"/>
    <x v="1"/>
    <n v="86"/>
    <x v="0"/>
    <n v="3"/>
    <x v="4"/>
    <n v="4"/>
    <x v="2"/>
    <n v="8500"/>
    <n v="5494"/>
    <n v="0"/>
    <s v="Y"/>
    <s v="No"/>
    <n v="11"/>
    <x v="0"/>
    <n v="4"/>
    <n v="80"/>
    <x v="1"/>
    <n v="10"/>
    <x v="0"/>
    <n v="2"/>
    <n v="9"/>
    <n v="7"/>
    <n v="1"/>
    <n v="6"/>
  </r>
  <r>
    <n v="40"/>
    <x v="1"/>
    <x v="0"/>
    <n v="523"/>
    <x v="1"/>
    <n v="2"/>
    <n v="3"/>
    <s v="Life Sciences"/>
    <n v="1"/>
    <n v="1346"/>
    <n v="3"/>
    <x v="1"/>
    <n v="98"/>
    <x v="0"/>
    <n v="2"/>
    <x v="1"/>
    <n v="4"/>
    <x v="0"/>
    <n v="4661"/>
    <n v="22455"/>
    <n v="1"/>
    <s v="Y"/>
    <s v="No"/>
    <n v="13"/>
    <x v="0"/>
    <n v="3"/>
    <n v="80"/>
    <x v="0"/>
    <n v="9"/>
    <x v="5"/>
    <n v="3"/>
    <n v="9"/>
    <n v="8"/>
    <n v="8"/>
    <n v="8"/>
  </r>
  <r>
    <n v="41"/>
    <x v="1"/>
    <x v="1"/>
    <n v="1018"/>
    <x v="0"/>
    <n v="1"/>
    <n v="3"/>
    <s v="Marketing"/>
    <n v="1"/>
    <n v="1349"/>
    <n v="3"/>
    <x v="0"/>
    <n v="66"/>
    <x v="0"/>
    <n v="2"/>
    <x v="0"/>
    <n v="1"/>
    <x v="2"/>
    <n v="4103"/>
    <n v="4297"/>
    <n v="0"/>
    <s v="Y"/>
    <s v="No"/>
    <n v="17"/>
    <x v="0"/>
    <n v="4"/>
    <n v="80"/>
    <x v="1"/>
    <n v="10"/>
    <x v="2"/>
    <n v="3"/>
    <n v="9"/>
    <n v="3"/>
    <n v="1"/>
    <n v="7"/>
  </r>
  <r>
    <n v="35"/>
    <x v="1"/>
    <x v="1"/>
    <n v="482"/>
    <x v="1"/>
    <n v="4"/>
    <n v="4"/>
    <s v="Life Sciences"/>
    <n v="1"/>
    <n v="1350"/>
    <n v="3"/>
    <x v="1"/>
    <n v="87"/>
    <x v="0"/>
    <n v="2"/>
    <x v="1"/>
    <n v="3"/>
    <x v="0"/>
    <n v="4249"/>
    <n v="2690"/>
    <n v="1"/>
    <s v="Y"/>
    <s v="Yes"/>
    <n v="11"/>
    <x v="0"/>
    <n v="2"/>
    <n v="80"/>
    <x v="0"/>
    <n v="9"/>
    <x v="1"/>
    <n v="3"/>
    <n v="9"/>
    <n v="6"/>
    <n v="1"/>
    <n v="1"/>
  </r>
  <r>
    <n v="51"/>
    <x v="1"/>
    <x v="0"/>
    <n v="770"/>
    <x v="2"/>
    <n v="5"/>
    <n v="3"/>
    <s v="Life Sciences"/>
    <n v="1"/>
    <n v="1352"/>
    <n v="3"/>
    <x v="1"/>
    <n v="84"/>
    <x v="0"/>
    <n v="4"/>
    <x v="5"/>
    <n v="2"/>
    <x v="2"/>
    <n v="14026"/>
    <n v="17588"/>
    <n v="1"/>
    <s v="Y"/>
    <s v="Yes"/>
    <n v="11"/>
    <x v="0"/>
    <n v="2"/>
    <n v="80"/>
    <x v="1"/>
    <n v="33"/>
    <x v="2"/>
    <n v="3"/>
    <n v="33"/>
    <n v="9"/>
    <n v="0"/>
    <n v="10"/>
  </r>
  <r>
    <n v="38"/>
    <x v="1"/>
    <x v="0"/>
    <n v="1009"/>
    <x v="0"/>
    <n v="2"/>
    <n v="2"/>
    <s v="Life Sciences"/>
    <n v="1"/>
    <n v="1355"/>
    <n v="2"/>
    <x v="0"/>
    <n v="31"/>
    <x v="0"/>
    <n v="2"/>
    <x v="0"/>
    <n v="1"/>
    <x v="2"/>
    <n v="6893"/>
    <n v="19461"/>
    <n v="3"/>
    <s v="Y"/>
    <s v="No"/>
    <n v="15"/>
    <x v="0"/>
    <n v="4"/>
    <n v="80"/>
    <x v="1"/>
    <n v="11"/>
    <x v="1"/>
    <n v="3"/>
    <n v="7"/>
    <n v="7"/>
    <n v="1"/>
    <n v="7"/>
  </r>
  <r>
    <n v="34"/>
    <x v="1"/>
    <x v="0"/>
    <n v="507"/>
    <x v="0"/>
    <n v="15"/>
    <n v="2"/>
    <s v="Medical"/>
    <n v="1"/>
    <n v="1356"/>
    <n v="3"/>
    <x v="0"/>
    <n v="66"/>
    <x v="0"/>
    <n v="2"/>
    <x v="0"/>
    <n v="1"/>
    <x v="0"/>
    <n v="6125"/>
    <n v="23553"/>
    <n v="1"/>
    <s v="Y"/>
    <s v="No"/>
    <n v="12"/>
    <x v="0"/>
    <n v="4"/>
    <n v="80"/>
    <x v="0"/>
    <n v="10"/>
    <x v="6"/>
    <n v="4"/>
    <n v="10"/>
    <n v="8"/>
    <n v="9"/>
    <n v="6"/>
  </r>
  <r>
    <n v="25"/>
    <x v="1"/>
    <x v="0"/>
    <n v="882"/>
    <x v="1"/>
    <n v="19"/>
    <n v="1"/>
    <s v="Medical"/>
    <n v="1"/>
    <n v="1358"/>
    <n v="4"/>
    <x v="1"/>
    <n v="67"/>
    <x v="0"/>
    <n v="1"/>
    <x v="2"/>
    <n v="4"/>
    <x v="1"/>
    <n v="3669"/>
    <n v="9075"/>
    <n v="3"/>
    <s v="Y"/>
    <s v="No"/>
    <n v="11"/>
    <x v="0"/>
    <n v="3"/>
    <n v="80"/>
    <x v="2"/>
    <n v="7"/>
    <x v="6"/>
    <n v="2"/>
    <n v="3"/>
    <n v="2"/>
    <n v="1"/>
    <n v="2"/>
  </r>
  <r>
    <n v="58"/>
    <x v="0"/>
    <x v="0"/>
    <n v="601"/>
    <x v="1"/>
    <n v="7"/>
    <n v="4"/>
    <s v="Medical"/>
    <n v="1"/>
    <n v="1360"/>
    <n v="3"/>
    <x v="0"/>
    <n v="53"/>
    <x v="1"/>
    <n v="3"/>
    <x v="3"/>
    <n v="1"/>
    <x v="1"/>
    <n v="10008"/>
    <n v="12023"/>
    <n v="7"/>
    <s v="Y"/>
    <s v="Yes"/>
    <n v="14"/>
    <x v="0"/>
    <n v="4"/>
    <n v="80"/>
    <x v="0"/>
    <n v="31"/>
    <x v="0"/>
    <n v="2"/>
    <n v="10"/>
    <n v="9"/>
    <n v="5"/>
    <n v="9"/>
  </r>
  <r>
    <n v="40"/>
    <x v="1"/>
    <x v="0"/>
    <n v="329"/>
    <x v="1"/>
    <n v="1"/>
    <n v="4"/>
    <s v="Life Sciences"/>
    <n v="1"/>
    <n v="1361"/>
    <n v="2"/>
    <x v="1"/>
    <n v="88"/>
    <x v="0"/>
    <n v="1"/>
    <x v="2"/>
    <n v="2"/>
    <x v="1"/>
    <n v="2387"/>
    <n v="6762"/>
    <n v="3"/>
    <s v="Y"/>
    <s v="No"/>
    <n v="22"/>
    <x v="1"/>
    <n v="3"/>
    <n v="80"/>
    <x v="1"/>
    <n v="7"/>
    <x v="1"/>
    <n v="3"/>
    <n v="4"/>
    <n v="2"/>
    <n v="0"/>
    <n v="3"/>
  </r>
  <r>
    <n v="36"/>
    <x v="1"/>
    <x v="1"/>
    <n v="607"/>
    <x v="0"/>
    <n v="7"/>
    <n v="3"/>
    <s v="Marketing"/>
    <n v="1"/>
    <n v="1362"/>
    <n v="1"/>
    <x v="0"/>
    <n v="83"/>
    <x v="2"/>
    <n v="2"/>
    <x v="0"/>
    <n v="1"/>
    <x v="1"/>
    <n v="4639"/>
    <n v="2261"/>
    <n v="2"/>
    <s v="Y"/>
    <s v="No"/>
    <n v="16"/>
    <x v="0"/>
    <n v="4"/>
    <n v="80"/>
    <x v="1"/>
    <n v="17"/>
    <x v="2"/>
    <n v="2"/>
    <n v="15"/>
    <n v="7"/>
    <n v="6"/>
    <n v="13"/>
  </r>
  <r>
    <n v="48"/>
    <x v="1"/>
    <x v="0"/>
    <n v="855"/>
    <x v="1"/>
    <n v="4"/>
    <n v="3"/>
    <s v="Life Sciences"/>
    <n v="1"/>
    <n v="1363"/>
    <n v="4"/>
    <x v="1"/>
    <n v="54"/>
    <x v="0"/>
    <n v="3"/>
    <x v="3"/>
    <n v="4"/>
    <x v="0"/>
    <n v="7898"/>
    <n v="18706"/>
    <n v="1"/>
    <s v="Y"/>
    <s v="No"/>
    <n v="11"/>
    <x v="0"/>
    <n v="3"/>
    <n v="80"/>
    <x v="0"/>
    <n v="11"/>
    <x v="2"/>
    <n v="3"/>
    <n v="10"/>
    <n v="9"/>
    <n v="0"/>
    <n v="8"/>
  </r>
  <r>
    <n v="27"/>
    <x v="1"/>
    <x v="0"/>
    <n v="1291"/>
    <x v="0"/>
    <n v="11"/>
    <n v="3"/>
    <s v="Medical"/>
    <n v="1"/>
    <n v="1364"/>
    <n v="3"/>
    <x v="0"/>
    <n v="98"/>
    <x v="2"/>
    <n v="1"/>
    <x v="6"/>
    <n v="4"/>
    <x v="1"/>
    <n v="2534"/>
    <n v="6527"/>
    <n v="8"/>
    <s v="Y"/>
    <s v="No"/>
    <n v="14"/>
    <x v="0"/>
    <n v="2"/>
    <n v="80"/>
    <x v="1"/>
    <n v="5"/>
    <x v="5"/>
    <n v="3"/>
    <n v="1"/>
    <n v="0"/>
    <n v="0"/>
    <n v="0"/>
  </r>
  <r>
    <n v="51"/>
    <x v="1"/>
    <x v="0"/>
    <n v="1405"/>
    <x v="1"/>
    <n v="11"/>
    <n v="2"/>
    <s v="Technical Degree"/>
    <n v="1"/>
    <n v="1367"/>
    <n v="4"/>
    <x v="0"/>
    <n v="82"/>
    <x v="1"/>
    <n v="4"/>
    <x v="3"/>
    <n v="2"/>
    <x v="0"/>
    <n v="13142"/>
    <n v="24439"/>
    <n v="3"/>
    <s v="Y"/>
    <s v="No"/>
    <n v="16"/>
    <x v="0"/>
    <n v="2"/>
    <n v="80"/>
    <x v="0"/>
    <n v="29"/>
    <x v="4"/>
    <n v="2"/>
    <n v="5"/>
    <n v="2"/>
    <n v="0"/>
    <n v="3"/>
  </r>
  <r>
    <n v="18"/>
    <x v="1"/>
    <x v="2"/>
    <n v="1124"/>
    <x v="1"/>
    <n v="1"/>
    <n v="3"/>
    <s v="Life Sciences"/>
    <n v="1"/>
    <n v="1368"/>
    <n v="4"/>
    <x v="0"/>
    <n v="97"/>
    <x v="0"/>
    <n v="1"/>
    <x v="2"/>
    <n v="4"/>
    <x v="0"/>
    <n v="1611"/>
    <n v="19305"/>
    <n v="1"/>
    <s v="Y"/>
    <s v="No"/>
    <n v="15"/>
    <x v="0"/>
    <n v="3"/>
    <n v="80"/>
    <x v="0"/>
    <n v="0"/>
    <x v="3"/>
    <n v="4"/>
    <n v="0"/>
    <n v="0"/>
    <n v="0"/>
    <n v="0"/>
  </r>
  <r>
    <n v="35"/>
    <x v="1"/>
    <x v="0"/>
    <n v="817"/>
    <x v="1"/>
    <n v="1"/>
    <n v="3"/>
    <s v="Medical"/>
    <n v="1"/>
    <n v="1369"/>
    <n v="4"/>
    <x v="0"/>
    <n v="60"/>
    <x v="1"/>
    <n v="2"/>
    <x v="2"/>
    <n v="4"/>
    <x v="1"/>
    <n v="5363"/>
    <n v="10846"/>
    <n v="0"/>
    <s v="Y"/>
    <s v="No"/>
    <n v="12"/>
    <x v="0"/>
    <n v="2"/>
    <n v="80"/>
    <x v="1"/>
    <n v="10"/>
    <x v="0"/>
    <n v="3"/>
    <n v="9"/>
    <n v="7"/>
    <n v="0"/>
    <n v="0"/>
  </r>
  <r>
    <n v="27"/>
    <x v="1"/>
    <x v="1"/>
    <n v="793"/>
    <x v="0"/>
    <n v="2"/>
    <n v="1"/>
    <s v="Life Sciences"/>
    <n v="1"/>
    <n v="1371"/>
    <n v="4"/>
    <x v="1"/>
    <n v="43"/>
    <x v="3"/>
    <n v="2"/>
    <x v="0"/>
    <n v="4"/>
    <x v="0"/>
    <n v="5071"/>
    <n v="20392"/>
    <n v="3"/>
    <s v="Y"/>
    <s v="No"/>
    <n v="20"/>
    <x v="1"/>
    <n v="2"/>
    <n v="80"/>
    <x v="0"/>
    <n v="8"/>
    <x v="1"/>
    <n v="3"/>
    <n v="6"/>
    <n v="2"/>
    <n v="0"/>
    <n v="0"/>
  </r>
  <r>
    <n v="55"/>
    <x v="0"/>
    <x v="0"/>
    <n v="267"/>
    <x v="0"/>
    <n v="13"/>
    <n v="4"/>
    <s v="Marketing"/>
    <n v="1"/>
    <n v="1372"/>
    <n v="1"/>
    <x v="1"/>
    <n v="85"/>
    <x v="2"/>
    <n v="4"/>
    <x v="0"/>
    <n v="3"/>
    <x v="0"/>
    <n v="13695"/>
    <n v="9277"/>
    <n v="6"/>
    <s v="Y"/>
    <s v="Yes"/>
    <n v="17"/>
    <x v="0"/>
    <n v="3"/>
    <n v="80"/>
    <x v="0"/>
    <n v="24"/>
    <x v="2"/>
    <n v="2"/>
    <n v="19"/>
    <n v="7"/>
    <n v="3"/>
    <n v="8"/>
  </r>
  <r>
    <n v="56"/>
    <x v="1"/>
    <x v="0"/>
    <n v="1369"/>
    <x v="1"/>
    <n v="23"/>
    <n v="3"/>
    <s v="Life Sciences"/>
    <n v="1"/>
    <n v="1373"/>
    <n v="4"/>
    <x v="1"/>
    <n v="68"/>
    <x v="0"/>
    <n v="4"/>
    <x v="3"/>
    <n v="2"/>
    <x v="1"/>
    <n v="13402"/>
    <n v="18235"/>
    <n v="4"/>
    <s v="Y"/>
    <s v="Yes"/>
    <n v="12"/>
    <x v="0"/>
    <n v="1"/>
    <n v="80"/>
    <x v="1"/>
    <n v="33"/>
    <x v="0"/>
    <n v="3"/>
    <n v="19"/>
    <n v="16"/>
    <n v="15"/>
    <n v="9"/>
  </r>
  <r>
    <n v="34"/>
    <x v="1"/>
    <x v="2"/>
    <n v="999"/>
    <x v="1"/>
    <n v="26"/>
    <n v="1"/>
    <s v="Technical Degree"/>
    <n v="1"/>
    <n v="1374"/>
    <n v="1"/>
    <x v="0"/>
    <n v="92"/>
    <x v="1"/>
    <n v="1"/>
    <x v="1"/>
    <n v="3"/>
    <x v="2"/>
    <n v="2029"/>
    <n v="15891"/>
    <n v="1"/>
    <s v="Y"/>
    <s v="No"/>
    <n v="20"/>
    <x v="1"/>
    <n v="3"/>
    <n v="80"/>
    <x v="2"/>
    <n v="5"/>
    <x v="2"/>
    <n v="3"/>
    <n v="5"/>
    <n v="4"/>
    <n v="0"/>
    <n v="0"/>
  </r>
  <r>
    <n v="40"/>
    <x v="1"/>
    <x v="0"/>
    <n v="1202"/>
    <x v="1"/>
    <n v="2"/>
    <n v="1"/>
    <s v="Medical"/>
    <n v="1"/>
    <n v="1375"/>
    <n v="2"/>
    <x v="0"/>
    <n v="89"/>
    <x v="2"/>
    <n v="2"/>
    <x v="4"/>
    <n v="3"/>
    <x v="2"/>
    <n v="6377"/>
    <n v="13888"/>
    <n v="5"/>
    <s v="Y"/>
    <s v="No"/>
    <n v="20"/>
    <x v="1"/>
    <n v="2"/>
    <n v="80"/>
    <x v="2"/>
    <n v="15"/>
    <x v="0"/>
    <n v="3"/>
    <n v="12"/>
    <n v="11"/>
    <n v="11"/>
    <n v="8"/>
  </r>
  <r>
    <n v="34"/>
    <x v="1"/>
    <x v="0"/>
    <n v="285"/>
    <x v="1"/>
    <n v="29"/>
    <n v="3"/>
    <s v="Medical"/>
    <n v="1"/>
    <n v="1377"/>
    <n v="2"/>
    <x v="1"/>
    <n v="86"/>
    <x v="0"/>
    <n v="2"/>
    <x v="2"/>
    <n v="3"/>
    <x v="1"/>
    <n v="5429"/>
    <n v="17491"/>
    <n v="4"/>
    <s v="Y"/>
    <s v="No"/>
    <n v="13"/>
    <x v="0"/>
    <n v="1"/>
    <n v="80"/>
    <x v="3"/>
    <n v="10"/>
    <x v="4"/>
    <n v="3"/>
    <n v="8"/>
    <n v="7"/>
    <n v="7"/>
    <n v="7"/>
  </r>
  <r>
    <n v="31"/>
    <x v="0"/>
    <x v="1"/>
    <n v="703"/>
    <x v="0"/>
    <n v="2"/>
    <n v="3"/>
    <s v="Life Sciences"/>
    <n v="1"/>
    <n v="1379"/>
    <n v="3"/>
    <x v="0"/>
    <n v="90"/>
    <x v="1"/>
    <n v="1"/>
    <x v="6"/>
    <n v="4"/>
    <x v="0"/>
    <n v="2785"/>
    <n v="11882"/>
    <n v="7"/>
    <s v="Y"/>
    <s v="No"/>
    <n v="14"/>
    <x v="0"/>
    <n v="3"/>
    <n v="80"/>
    <x v="0"/>
    <n v="3"/>
    <x v="1"/>
    <n v="4"/>
    <n v="1"/>
    <n v="0"/>
    <n v="0"/>
    <n v="0"/>
  </r>
  <r>
    <n v="35"/>
    <x v="0"/>
    <x v="1"/>
    <n v="662"/>
    <x v="0"/>
    <n v="18"/>
    <n v="4"/>
    <s v="Marketing"/>
    <n v="1"/>
    <n v="1380"/>
    <n v="4"/>
    <x v="0"/>
    <n v="67"/>
    <x v="0"/>
    <n v="2"/>
    <x v="0"/>
    <n v="3"/>
    <x v="1"/>
    <n v="4614"/>
    <n v="23288"/>
    <n v="0"/>
    <s v="Y"/>
    <s v="Yes"/>
    <n v="18"/>
    <x v="0"/>
    <n v="3"/>
    <n v="80"/>
    <x v="1"/>
    <n v="5"/>
    <x v="0"/>
    <n v="2"/>
    <n v="4"/>
    <n v="2"/>
    <n v="3"/>
    <n v="2"/>
  </r>
  <r>
    <n v="38"/>
    <x v="1"/>
    <x v="1"/>
    <n v="693"/>
    <x v="1"/>
    <n v="7"/>
    <n v="3"/>
    <s v="Life Sciences"/>
    <n v="1"/>
    <n v="1382"/>
    <n v="4"/>
    <x v="1"/>
    <n v="57"/>
    <x v="2"/>
    <n v="1"/>
    <x v="1"/>
    <n v="3"/>
    <x v="2"/>
    <n v="2610"/>
    <n v="15748"/>
    <n v="1"/>
    <s v="Y"/>
    <s v="No"/>
    <n v="11"/>
    <x v="0"/>
    <n v="4"/>
    <n v="80"/>
    <x v="2"/>
    <n v="4"/>
    <x v="2"/>
    <n v="3"/>
    <n v="4"/>
    <n v="2"/>
    <n v="0"/>
    <n v="3"/>
  </r>
  <r>
    <n v="34"/>
    <x v="1"/>
    <x v="0"/>
    <n v="404"/>
    <x v="1"/>
    <n v="2"/>
    <n v="4"/>
    <s v="Technical Degree"/>
    <n v="1"/>
    <n v="1383"/>
    <n v="3"/>
    <x v="0"/>
    <n v="98"/>
    <x v="0"/>
    <n v="2"/>
    <x v="4"/>
    <n v="4"/>
    <x v="0"/>
    <n v="6687"/>
    <n v="6163"/>
    <n v="1"/>
    <s v="Y"/>
    <s v="No"/>
    <n v="11"/>
    <x v="0"/>
    <n v="4"/>
    <n v="80"/>
    <x v="0"/>
    <n v="14"/>
    <x v="2"/>
    <n v="4"/>
    <n v="14"/>
    <n v="11"/>
    <n v="4"/>
    <n v="11"/>
  </r>
  <r>
    <n v="28"/>
    <x v="1"/>
    <x v="0"/>
    <n v="736"/>
    <x v="0"/>
    <n v="26"/>
    <n v="3"/>
    <s v="Life Sciences"/>
    <n v="1"/>
    <n v="1387"/>
    <n v="3"/>
    <x v="1"/>
    <n v="48"/>
    <x v="1"/>
    <n v="2"/>
    <x v="0"/>
    <n v="1"/>
    <x v="1"/>
    <n v="4724"/>
    <n v="24232"/>
    <n v="1"/>
    <s v="Y"/>
    <s v="No"/>
    <n v="11"/>
    <x v="0"/>
    <n v="3"/>
    <n v="80"/>
    <x v="1"/>
    <n v="5"/>
    <x v="0"/>
    <n v="3"/>
    <n v="5"/>
    <n v="3"/>
    <n v="0"/>
    <n v="4"/>
  </r>
  <r>
    <n v="31"/>
    <x v="0"/>
    <x v="0"/>
    <n v="330"/>
    <x v="1"/>
    <n v="22"/>
    <n v="4"/>
    <s v="Medical"/>
    <n v="1"/>
    <n v="1389"/>
    <n v="4"/>
    <x v="1"/>
    <n v="98"/>
    <x v="0"/>
    <n v="2"/>
    <x v="3"/>
    <n v="3"/>
    <x v="1"/>
    <n v="6179"/>
    <n v="21057"/>
    <n v="1"/>
    <s v="Y"/>
    <s v="Yes"/>
    <n v="15"/>
    <x v="0"/>
    <n v="4"/>
    <n v="80"/>
    <x v="3"/>
    <n v="10"/>
    <x v="1"/>
    <n v="2"/>
    <n v="10"/>
    <n v="2"/>
    <n v="6"/>
    <n v="7"/>
  </r>
  <r>
    <n v="39"/>
    <x v="1"/>
    <x v="0"/>
    <n v="1498"/>
    <x v="0"/>
    <n v="21"/>
    <n v="4"/>
    <s v="Life Sciences"/>
    <n v="1"/>
    <n v="1390"/>
    <n v="1"/>
    <x v="1"/>
    <n v="44"/>
    <x v="1"/>
    <n v="2"/>
    <x v="0"/>
    <n v="4"/>
    <x v="1"/>
    <n v="6120"/>
    <n v="3567"/>
    <n v="3"/>
    <s v="Y"/>
    <s v="Yes"/>
    <n v="12"/>
    <x v="0"/>
    <n v="4"/>
    <n v="80"/>
    <x v="3"/>
    <n v="8"/>
    <x v="2"/>
    <n v="4"/>
    <n v="5"/>
    <n v="4"/>
    <n v="1"/>
    <n v="4"/>
  </r>
  <r>
    <n v="51"/>
    <x v="1"/>
    <x v="1"/>
    <n v="541"/>
    <x v="0"/>
    <n v="2"/>
    <n v="3"/>
    <s v="Marketing"/>
    <n v="1"/>
    <n v="1391"/>
    <n v="2"/>
    <x v="1"/>
    <n v="52"/>
    <x v="0"/>
    <n v="3"/>
    <x v="0"/>
    <n v="2"/>
    <x v="1"/>
    <n v="10596"/>
    <n v="15395"/>
    <n v="2"/>
    <s v="Y"/>
    <s v="No"/>
    <n v="11"/>
    <x v="0"/>
    <n v="2"/>
    <n v="80"/>
    <x v="0"/>
    <n v="14"/>
    <x v="3"/>
    <n v="3"/>
    <n v="4"/>
    <n v="2"/>
    <n v="3"/>
    <n v="2"/>
  </r>
  <r>
    <n v="41"/>
    <x v="1"/>
    <x v="1"/>
    <n v="1200"/>
    <x v="1"/>
    <n v="22"/>
    <n v="3"/>
    <s v="Life Sciences"/>
    <n v="1"/>
    <n v="1392"/>
    <n v="4"/>
    <x v="0"/>
    <n v="75"/>
    <x v="0"/>
    <n v="2"/>
    <x v="1"/>
    <n v="4"/>
    <x v="2"/>
    <n v="5467"/>
    <n v="13953"/>
    <n v="3"/>
    <s v="Y"/>
    <s v="Yes"/>
    <n v="14"/>
    <x v="0"/>
    <n v="1"/>
    <n v="80"/>
    <x v="3"/>
    <n v="12"/>
    <x v="5"/>
    <n v="2"/>
    <n v="6"/>
    <n v="2"/>
    <n v="3"/>
    <n v="3"/>
  </r>
  <r>
    <n v="37"/>
    <x v="1"/>
    <x v="0"/>
    <n v="1439"/>
    <x v="1"/>
    <n v="4"/>
    <n v="1"/>
    <s v="Life Sciences"/>
    <n v="1"/>
    <n v="1394"/>
    <n v="3"/>
    <x v="1"/>
    <n v="54"/>
    <x v="0"/>
    <n v="1"/>
    <x v="1"/>
    <n v="3"/>
    <x v="1"/>
    <n v="2996"/>
    <n v="5182"/>
    <n v="7"/>
    <s v="Y"/>
    <s v="Yes"/>
    <n v="15"/>
    <x v="0"/>
    <n v="4"/>
    <n v="80"/>
    <x v="0"/>
    <n v="8"/>
    <x v="2"/>
    <n v="3"/>
    <n v="6"/>
    <n v="4"/>
    <n v="1"/>
    <n v="3"/>
  </r>
  <r>
    <n v="33"/>
    <x v="1"/>
    <x v="1"/>
    <n v="1111"/>
    <x v="0"/>
    <n v="5"/>
    <n v="1"/>
    <s v="Life Sciences"/>
    <n v="1"/>
    <n v="1395"/>
    <n v="2"/>
    <x v="1"/>
    <n v="61"/>
    <x v="0"/>
    <n v="2"/>
    <x v="0"/>
    <n v="4"/>
    <x v="1"/>
    <n v="9998"/>
    <n v="19293"/>
    <n v="6"/>
    <s v="Y"/>
    <s v="No"/>
    <n v="13"/>
    <x v="0"/>
    <n v="1"/>
    <n v="80"/>
    <x v="0"/>
    <n v="8"/>
    <x v="2"/>
    <n v="4"/>
    <n v="5"/>
    <n v="4"/>
    <n v="1"/>
    <n v="2"/>
  </r>
  <r>
    <n v="32"/>
    <x v="1"/>
    <x v="0"/>
    <n v="499"/>
    <x v="0"/>
    <n v="2"/>
    <n v="1"/>
    <s v="Marketing"/>
    <n v="1"/>
    <n v="1396"/>
    <n v="3"/>
    <x v="1"/>
    <n v="36"/>
    <x v="0"/>
    <n v="2"/>
    <x v="0"/>
    <n v="2"/>
    <x v="1"/>
    <n v="4078"/>
    <n v="20497"/>
    <n v="0"/>
    <s v="Y"/>
    <s v="Yes"/>
    <n v="13"/>
    <x v="0"/>
    <n v="1"/>
    <n v="80"/>
    <x v="2"/>
    <n v="4"/>
    <x v="1"/>
    <n v="2"/>
    <n v="3"/>
    <n v="2"/>
    <n v="1"/>
    <n v="2"/>
  </r>
  <r>
    <n v="39"/>
    <x v="1"/>
    <x v="2"/>
    <n v="1485"/>
    <x v="1"/>
    <n v="25"/>
    <n v="2"/>
    <s v="Life Sciences"/>
    <n v="1"/>
    <n v="1397"/>
    <n v="3"/>
    <x v="1"/>
    <n v="71"/>
    <x v="0"/>
    <n v="3"/>
    <x v="4"/>
    <n v="3"/>
    <x v="1"/>
    <n v="10920"/>
    <n v="3449"/>
    <n v="3"/>
    <s v="Y"/>
    <s v="No"/>
    <n v="21"/>
    <x v="1"/>
    <n v="2"/>
    <n v="80"/>
    <x v="1"/>
    <n v="13"/>
    <x v="2"/>
    <n v="3"/>
    <n v="6"/>
    <n v="4"/>
    <n v="0"/>
    <n v="5"/>
  </r>
  <r>
    <n v="25"/>
    <x v="1"/>
    <x v="0"/>
    <n v="1372"/>
    <x v="0"/>
    <n v="18"/>
    <n v="1"/>
    <s v="Life Sciences"/>
    <n v="1"/>
    <n v="1399"/>
    <n v="1"/>
    <x v="1"/>
    <n v="93"/>
    <x v="2"/>
    <n v="2"/>
    <x v="0"/>
    <n v="3"/>
    <x v="1"/>
    <n v="6232"/>
    <n v="12477"/>
    <n v="2"/>
    <s v="Y"/>
    <s v="No"/>
    <n v="11"/>
    <x v="0"/>
    <n v="2"/>
    <n v="80"/>
    <x v="0"/>
    <n v="6"/>
    <x v="1"/>
    <n v="2"/>
    <n v="3"/>
    <n v="2"/>
    <n v="1"/>
    <n v="2"/>
  </r>
  <r>
    <n v="52"/>
    <x v="1"/>
    <x v="1"/>
    <n v="322"/>
    <x v="1"/>
    <n v="28"/>
    <n v="2"/>
    <s v="Medical"/>
    <n v="1"/>
    <n v="1401"/>
    <n v="4"/>
    <x v="0"/>
    <n v="59"/>
    <x v="2"/>
    <n v="4"/>
    <x v="3"/>
    <n v="3"/>
    <x v="1"/>
    <n v="13247"/>
    <n v="9731"/>
    <n v="2"/>
    <s v="Y"/>
    <s v="Yes"/>
    <n v="11"/>
    <x v="0"/>
    <n v="2"/>
    <n v="80"/>
    <x v="1"/>
    <n v="24"/>
    <x v="1"/>
    <n v="2"/>
    <n v="5"/>
    <n v="3"/>
    <n v="0"/>
    <n v="2"/>
  </r>
  <r>
    <n v="43"/>
    <x v="1"/>
    <x v="0"/>
    <n v="930"/>
    <x v="1"/>
    <n v="6"/>
    <n v="3"/>
    <s v="Medical"/>
    <n v="1"/>
    <n v="1402"/>
    <n v="1"/>
    <x v="0"/>
    <n v="73"/>
    <x v="1"/>
    <n v="2"/>
    <x v="1"/>
    <n v="3"/>
    <x v="0"/>
    <n v="4081"/>
    <n v="20003"/>
    <n v="1"/>
    <s v="Y"/>
    <s v="Yes"/>
    <n v="14"/>
    <x v="0"/>
    <n v="1"/>
    <n v="80"/>
    <x v="0"/>
    <n v="20"/>
    <x v="1"/>
    <n v="1"/>
    <n v="20"/>
    <n v="7"/>
    <n v="1"/>
    <n v="8"/>
  </r>
  <r>
    <n v="27"/>
    <x v="1"/>
    <x v="0"/>
    <n v="205"/>
    <x v="0"/>
    <n v="10"/>
    <n v="3"/>
    <s v="Marketing"/>
    <n v="1"/>
    <n v="1403"/>
    <n v="4"/>
    <x v="0"/>
    <n v="98"/>
    <x v="1"/>
    <n v="2"/>
    <x v="0"/>
    <n v="4"/>
    <x v="1"/>
    <n v="5769"/>
    <n v="7100"/>
    <n v="1"/>
    <s v="Y"/>
    <s v="Yes"/>
    <n v="11"/>
    <x v="0"/>
    <n v="4"/>
    <n v="80"/>
    <x v="0"/>
    <n v="6"/>
    <x v="1"/>
    <n v="3"/>
    <n v="6"/>
    <n v="2"/>
    <n v="4"/>
    <n v="4"/>
  </r>
  <r>
    <n v="27"/>
    <x v="0"/>
    <x v="0"/>
    <n v="135"/>
    <x v="1"/>
    <n v="17"/>
    <n v="4"/>
    <s v="Life Sciences"/>
    <n v="1"/>
    <n v="1405"/>
    <n v="4"/>
    <x v="0"/>
    <n v="51"/>
    <x v="0"/>
    <n v="1"/>
    <x v="1"/>
    <n v="3"/>
    <x v="0"/>
    <n v="2394"/>
    <n v="25681"/>
    <n v="1"/>
    <s v="Y"/>
    <s v="Yes"/>
    <n v="13"/>
    <x v="0"/>
    <n v="4"/>
    <n v="80"/>
    <x v="0"/>
    <n v="8"/>
    <x v="2"/>
    <n v="3"/>
    <n v="8"/>
    <n v="2"/>
    <n v="7"/>
    <n v="7"/>
  </r>
  <r>
    <n v="26"/>
    <x v="1"/>
    <x v="0"/>
    <n v="683"/>
    <x v="1"/>
    <n v="2"/>
    <n v="1"/>
    <s v="Medical"/>
    <n v="1"/>
    <n v="1407"/>
    <n v="1"/>
    <x v="1"/>
    <n v="36"/>
    <x v="1"/>
    <n v="1"/>
    <x v="1"/>
    <n v="4"/>
    <x v="0"/>
    <n v="3904"/>
    <n v="4050"/>
    <n v="0"/>
    <s v="Y"/>
    <s v="No"/>
    <n v="12"/>
    <x v="0"/>
    <n v="4"/>
    <n v="80"/>
    <x v="0"/>
    <n v="5"/>
    <x v="2"/>
    <n v="3"/>
    <n v="4"/>
    <n v="3"/>
    <n v="1"/>
    <n v="1"/>
  </r>
  <r>
    <n v="42"/>
    <x v="1"/>
    <x v="0"/>
    <n v="1147"/>
    <x v="2"/>
    <n v="10"/>
    <n v="3"/>
    <s v="Human Resources"/>
    <n v="1"/>
    <n v="1408"/>
    <n v="3"/>
    <x v="0"/>
    <n v="31"/>
    <x v="0"/>
    <n v="4"/>
    <x v="5"/>
    <n v="1"/>
    <x v="1"/>
    <n v="16799"/>
    <n v="16616"/>
    <n v="0"/>
    <s v="Y"/>
    <s v="No"/>
    <n v="14"/>
    <x v="0"/>
    <n v="3"/>
    <n v="80"/>
    <x v="1"/>
    <n v="21"/>
    <x v="3"/>
    <n v="3"/>
    <n v="20"/>
    <n v="7"/>
    <n v="0"/>
    <n v="9"/>
  </r>
  <r>
    <n v="52"/>
    <x v="1"/>
    <x v="0"/>
    <n v="258"/>
    <x v="1"/>
    <n v="8"/>
    <n v="4"/>
    <s v="Other"/>
    <n v="1"/>
    <n v="1409"/>
    <n v="3"/>
    <x v="0"/>
    <n v="54"/>
    <x v="0"/>
    <n v="1"/>
    <x v="2"/>
    <n v="1"/>
    <x v="1"/>
    <n v="2950"/>
    <n v="17363"/>
    <n v="9"/>
    <s v="Y"/>
    <s v="No"/>
    <n v="13"/>
    <x v="0"/>
    <n v="3"/>
    <n v="80"/>
    <x v="0"/>
    <n v="12"/>
    <x v="2"/>
    <n v="1"/>
    <n v="5"/>
    <n v="4"/>
    <n v="0"/>
    <n v="4"/>
  </r>
  <r>
    <n v="37"/>
    <x v="1"/>
    <x v="0"/>
    <n v="1462"/>
    <x v="1"/>
    <n v="11"/>
    <n v="3"/>
    <s v="Medical"/>
    <n v="1"/>
    <n v="1411"/>
    <n v="1"/>
    <x v="0"/>
    <n v="94"/>
    <x v="0"/>
    <n v="1"/>
    <x v="2"/>
    <n v="3"/>
    <x v="0"/>
    <n v="3629"/>
    <n v="19106"/>
    <n v="4"/>
    <s v="Y"/>
    <s v="No"/>
    <n v="18"/>
    <x v="0"/>
    <n v="1"/>
    <n v="80"/>
    <x v="0"/>
    <n v="8"/>
    <x v="6"/>
    <n v="3"/>
    <n v="3"/>
    <n v="2"/>
    <n v="0"/>
    <n v="2"/>
  </r>
  <r>
    <n v="35"/>
    <x v="1"/>
    <x v="1"/>
    <n v="200"/>
    <x v="1"/>
    <n v="18"/>
    <n v="2"/>
    <s v="Life Sciences"/>
    <n v="1"/>
    <n v="1412"/>
    <n v="3"/>
    <x v="1"/>
    <n v="60"/>
    <x v="0"/>
    <n v="3"/>
    <x v="3"/>
    <n v="4"/>
    <x v="0"/>
    <n v="9362"/>
    <n v="19944"/>
    <n v="2"/>
    <s v="Y"/>
    <s v="No"/>
    <n v="11"/>
    <x v="0"/>
    <n v="3"/>
    <n v="80"/>
    <x v="0"/>
    <n v="10"/>
    <x v="2"/>
    <n v="3"/>
    <n v="2"/>
    <n v="2"/>
    <n v="2"/>
    <n v="2"/>
  </r>
  <r>
    <n v="25"/>
    <x v="1"/>
    <x v="0"/>
    <n v="949"/>
    <x v="1"/>
    <n v="1"/>
    <n v="3"/>
    <s v="Technical Degree"/>
    <n v="1"/>
    <n v="1415"/>
    <n v="1"/>
    <x v="1"/>
    <n v="81"/>
    <x v="0"/>
    <n v="1"/>
    <x v="2"/>
    <n v="4"/>
    <x v="1"/>
    <n v="3229"/>
    <n v="4910"/>
    <n v="4"/>
    <s v="Y"/>
    <s v="No"/>
    <n v="11"/>
    <x v="0"/>
    <n v="2"/>
    <n v="80"/>
    <x v="1"/>
    <n v="7"/>
    <x v="2"/>
    <n v="2"/>
    <n v="3"/>
    <n v="2"/>
    <n v="0"/>
    <n v="2"/>
  </r>
  <r>
    <n v="26"/>
    <x v="1"/>
    <x v="0"/>
    <n v="652"/>
    <x v="1"/>
    <n v="7"/>
    <n v="3"/>
    <s v="Other"/>
    <n v="1"/>
    <n v="1417"/>
    <n v="3"/>
    <x v="1"/>
    <n v="100"/>
    <x v="2"/>
    <n v="1"/>
    <x v="2"/>
    <n v="1"/>
    <x v="0"/>
    <n v="3578"/>
    <n v="23577"/>
    <n v="0"/>
    <s v="Y"/>
    <s v="No"/>
    <n v="12"/>
    <x v="0"/>
    <n v="4"/>
    <n v="80"/>
    <x v="0"/>
    <n v="8"/>
    <x v="2"/>
    <n v="3"/>
    <n v="7"/>
    <n v="7"/>
    <n v="0"/>
    <n v="7"/>
  </r>
  <r>
    <n v="29"/>
    <x v="1"/>
    <x v="0"/>
    <n v="332"/>
    <x v="2"/>
    <n v="17"/>
    <n v="3"/>
    <s v="Other"/>
    <n v="1"/>
    <n v="1419"/>
    <n v="2"/>
    <x v="1"/>
    <n v="51"/>
    <x v="1"/>
    <n v="3"/>
    <x v="8"/>
    <n v="1"/>
    <x v="0"/>
    <n v="7988"/>
    <n v="9769"/>
    <n v="1"/>
    <s v="Y"/>
    <s v="No"/>
    <n v="13"/>
    <x v="0"/>
    <n v="1"/>
    <n v="80"/>
    <x v="0"/>
    <n v="10"/>
    <x v="1"/>
    <n v="2"/>
    <n v="10"/>
    <n v="9"/>
    <n v="0"/>
    <n v="9"/>
  </r>
  <r>
    <n v="49"/>
    <x v="0"/>
    <x v="1"/>
    <n v="1475"/>
    <x v="1"/>
    <n v="28"/>
    <n v="2"/>
    <s v="Life Sciences"/>
    <n v="1"/>
    <n v="1420"/>
    <n v="1"/>
    <x v="1"/>
    <n v="97"/>
    <x v="1"/>
    <n v="2"/>
    <x v="2"/>
    <n v="1"/>
    <x v="0"/>
    <n v="4284"/>
    <n v="22710"/>
    <n v="3"/>
    <s v="Y"/>
    <s v="No"/>
    <n v="20"/>
    <x v="1"/>
    <n v="1"/>
    <n v="80"/>
    <x v="0"/>
    <n v="20"/>
    <x v="2"/>
    <n v="3"/>
    <n v="4"/>
    <n v="3"/>
    <n v="1"/>
    <n v="3"/>
  </r>
  <r>
    <n v="29"/>
    <x v="0"/>
    <x v="1"/>
    <n v="337"/>
    <x v="1"/>
    <n v="14"/>
    <n v="1"/>
    <s v="Other"/>
    <n v="1"/>
    <n v="1421"/>
    <n v="3"/>
    <x v="0"/>
    <n v="84"/>
    <x v="0"/>
    <n v="3"/>
    <x v="4"/>
    <n v="4"/>
    <x v="0"/>
    <n v="7553"/>
    <n v="22930"/>
    <n v="0"/>
    <s v="Y"/>
    <s v="Yes"/>
    <n v="12"/>
    <x v="0"/>
    <n v="1"/>
    <n v="80"/>
    <x v="0"/>
    <n v="9"/>
    <x v="4"/>
    <n v="3"/>
    <n v="8"/>
    <n v="7"/>
    <n v="7"/>
    <n v="7"/>
  </r>
  <r>
    <n v="54"/>
    <x v="1"/>
    <x v="0"/>
    <n v="971"/>
    <x v="1"/>
    <n v="1"/>
    <n v="3"/>
    <s v="Medical"/>
    <n v="1"/>
    <n v="1422"/>
    <n v="4"/>
    <x v="0"/>
    <n v="54"/>
    <x v="0"/>
    <n v="4"/>
    <x v="7"/>
    <n v="4"/>
    <x v="0"/>
    <n v="17328"/>
    <n v="5652"/>
    <n v="6"/>
    <s v="Y"/>
    <s v="No"/>
    <n v="19"/>
    <x v="0"/>
    <n v="4"/>
    <n v="80"/>
    <x v="0"/>
    <n v="29"/>
    <x v="1"/>
    <n v="2"/>
    <n v="20"/>
    <n v="7"/>
    <n v="12"/>
    <n v="7"/>
  </r>
  <r>
    <n v="58"/>
    <x v="1"/>
    <x v="0"/>
    <n v="1055"/>
    <x v="1"/>
    <n v="1"/>
    <n v="3"/>
    <s v="Medical"/>
    <n v="1"/>
    <n v="1423"/>
    <n v="4"/>
    <x v="0"/>
    <n v="76"/>
    <x v="0"/>
    <n v="5"/>
    <x v="7"/>
    <n v="1"/>
    <x v="1"/>
    <n v="19701"/>
    <n v="22456"/>
    <n v="3"/>
    <s v="Y"/>
    <s v="Yes"/>
    <n v="21"/>
    <x v="1"/>
    <n v="3"/>
    <n v="80"/>
    <x v="1"/>
    <n v="32"/>
    <x v="1"/>
    <n v="3"/>
    <n v="9"/>
    <n v="8"/>
    <n v="1"/>
    <n v="5"/>
  </r>
  <r>
    <n v="55"/>
    <x v="1"/>
    <x v="0"/>
    <n v="1136"/>
    <x v="1"/>
    <n v="1"/>
    <n v="4"/>
    <s v="Medical"/>
    <n v="1"/>
    <n v="1424"/>
    <n v="2"/>
    <x v="1"/>
    <n v="81"/>
    <x v="2"/>
    <n v="4"/>
    <x v="7"/>
    <n v="4"/>
    <x v="2"/>
    <n v="14732"/>
    <n v="12414"/>
    <n v="2"/>
    <s v="Y"/>
    <s v="No"/>
    <n v="13"/>
    <x v="0"/>
    <n v="4"/>
    <n v="80"/>
    <x v="3"/>
    <n v="31"/>
    <x v="5"/>
    <n v="4"/>
    <n v="7"/>
    <n v="7"/>
    <n v="0"/>
    <n v="0"/>
  </r>
  <r>
    <n v="36"/>
    <x v="1"/>
    <x v="0"/>
    <n v="1174"/>
    <x v="0"/>
    <n v="3"/>
    <n v="4"/>
    <s v="Marketing"/>
    <n v="1"/>
    <n v="1425"/>
    <n v="1"/>
    <x v="0"/>
    <n v="99"/>
    <x v="0"/>
    <n v="2"/>
    <x v="0"/>
    <n v="2"/>
    <x v="0"/>
    <n v="9278"/>
    <n v="20763"/>
    <n v="3"/>
    <s v="Y"/>
    <s v="Yes"/>
    <n v="16"/>
    <x v="0"/>
    <n v="4"/>
    <n v="80"/>
    <x v="0"/>
    <n v="15"/>
    <x v="1"/>
    <n v="3"/>
    <n v="5"/>
    <n v="4"/>
    <n v="0"/>
    <n v="1"/>
  </r>
  <r>
    <n v="31"/>
    <x v="0"/>
    <x v="1"/>
    <n v="667"/>
    <x v="0"/>
    <n v="1"/>
    <n v="4"/>
    <s v="Life Sciences"/>
    <n v="1"/>
    <n v="1427"/>
    <n v="2"/>
    <x v="0"/>
    <n v="50"/>
    <x v="3"/>
    <n v="1"/>
    <x v="6"/>
    <n v="3"/>
    <x v="0"/>
    <n v="1359"/>
    <n v="16154"/>
    <n v="1"/>
    <s v="Y"/>
    <s v="No"/>
    <n v="12"/>
    <x v="0"/>
    <n v="2"/>
    <n v="80"/>
    <x v="0"/>
    <n v="1"/>
    <x v="1"/>
    <n v="3"/>
    <n v="1"/>
    <n v="0"/>
    <n v="0"/>
    <n v="0"/>
  </r>
  <r>
    <n v="30"/>
    <x v="1"/>
    <x v="0"/>
    <n v="855"/>
    <x v="0"/>
    <n v="7"/>
    <n v="4"/>
    <s v="Marketing"/>
    <n v="1"/>
    <n v="1428"/>
    <n v="4"/>
    <x v="0"/>
    <n v="73"/>
    <x v="0"/>
    <n v="2"/>
    <x v="0"/>
    <n v="1"/>
    <x v="2"/>
    <n v="4779"/>
    <n v="12761"/>
    <n v="7"/>
    <s v="Y"/>
    <s v="No"/>
    <n v="14"/>
    <x v="0"/>
    <n v="2"/>
    <n v="80"/>
    <x v="3"/>
    <n v="8"/>
    <x v="1"/>
    <n v="3"/>
    <n v="3"/>
    <n v="2"/>
    <n v="0"/>
    <n v="2"/>
  </r>
  <r>
    <n v="31"/>
    <x v="1"/>
    <x v="0"/>
    <n v="182"/>
    <x v="1"/>
    <n v="8"/>
    <n v="5"/>
    <s v="Life Sciences"/>
    <n v="1"/>
    <n v="1430"/>
    <n v="1"/>
    <x v="0"/>
    <n v="93"/>
    <x v="0"/>
    <n v="4"/>
    <x v="7"/>
    <n v="2"/>
    <x v="0"/>
    <n v="16422"/>
    <n v="8847"/>
    <n v="3"/>
    <s v="Y"/>
    <s v="No"/>
    <n v="11"/>
    <x v="0"/>
    <n v="3"/>
    <n v="80"/>
    <x v="0"/>
    <n v="9"/>
    <x v="1"/>
    <n v="4"/>
    <n v="3"/>
    <n v="2"/>
    <n v="1"/>
    <n v="0"/>
  </r>
  <r>
    <n v="34"/>
    <x v="1"/>
    <x v="1"/>
    <n v="560"/>
    <x v="1"/>
    <n v="1"/>
    <n v="4"/>
    <s v="Other"/>
    <n v="1"/>
    <n v="1431"/>
    <n v="4"/>
    <x v="1"/>
    <n v="91"/>
    <x v="0"/>
    <n v="1"/>
    <x v="1"/>
    <n v="1"/>
    <x v="2"/>
    <n v="2996"/>
    <n v="20284"/>
    <n v="5"/>
    <s v="Y"/>
    <s v="No"/>
    <n v="14"/>
    <x v="0"/>
    <n v="3"/>
    <n v="80"/>
    <x v="3"/>
    <n v="10"/>
    <x v="2"/>
    <n v="3"/>
    <n v="4"/>
    <n v="3"/>
    <n v="1"/>
    <n v="3"/>
  </r>
  <r>
    <n v="31"/>
    <x v="0"/>
    <x v="0"/>
    <n v="202"/>
    <x v="1"/>
    <n v="8"/>
    <n v="3"/>
    <s v="Life Sciences"/>
    <n v="1"/>
    <n v="1433"/>
    <n v="1"/>
    <x v="0"/>
    <n v="34"/>
    <x v="1"/>
    <n v="1"/>
    <x v="1"/>
    <n v="2"/>
    <x v="0"/>
    <n v="1261"/>
    <n v="22262"/>
    <n v="1"/>
    <s v="Y"/>
    <s v="No"/>
    <n v="12"/>
    <x v="0"/>
    <n v="3"/>
    <n v="80"/>
    <x v="0"/>
    <n v="1"/>
    <x v="1"/>
    <n v="4"/>
    <n v="1"/>
    <n v="0"/>
    <n v="0"/>
    <n v="0"/>
  </r>
  <r>
    <n v="27"/>
    <x v="1"/>
    <x v="0"/>
    <n v="1377"/>
    <x v="1"/>
    <n v="11"/>
    <n v="1"/>
    <s v="Life Sciences"/>
    <n v="1"/>
    <n v="1434"/>
    <n v="2"/>
    <x v="1"/>
    <n v="91"/>
    <x v="0"/>
    <n v="1"/>
    <x v="2"/>
    <n v="1"/>
    <x v="1"/>
    <n v="2099"/>
    <n v="7679"/>
    <n v="0"/>
    <s v="Y"/>
    <s v="No"/>
    <n v="14"/>
    <x v="0"/>
    <n v="2"/>
    <n v="80"/>
    <x v="0"/>
    <n v="6"/>
    <x v="1"/>
    <n v="4"/>
    <n v="5"/>
    <n v="0"/>
    <n v="1"/>
    <n v="4"/>
  </r>
  <r>
    <n v="36"/>
    <x v="1"/>
    <x v="0"/>
    <n v="172"/>
    <x v="1"/>
    <n v="4"/>
    <n v="4"/>
    <s v="Life Sciences"/>
    <n v="1"/>
    <n v="1435"/>
    <n v="1"/>
    <x v="1"/>
    <n v="37"/>
    <x v="1"/>
    <n v="2"/>
    <x v="2"/>
    <n v="4"/>
    <x v="0"/>
    <n v="5810"/>
    <n v="22604"/>
    <n v="1"/>
    <s v="Y"/>
    <s v="No"/>
    <n v="16"/>
    <x v="0"/>
    <n v="3"/>
    <n v="80"/>
    <x v="0"/>
    <n v="10"/>
    <x v="2"/>
    <n v="2"/>
    <n v="10"/>
    <n v="4"/>
    <n v="1"/>
    <n v="8"/>
  </r>
  <r>
    <n v="36"/>
    <x v="1"/>
    <x v="0"/>
    <n v="329"/>
    <x v="0"/>
    <n v="16"/>
    <n v="4"/>
    <s v="Marketing"/>
    <n v="1"/>
    <n v="1436"/>
    <n v="3"/>
    <x v="0"/>
    <n v="98"/>
    <x v="1"/>
    <n v="2"/>
    <x v="0"/>
    <n v="1"/>
    <x v="1"/>
    <n v="5647"/>
    <n v="13494"/>
    <n v="4"/>
    <s v="Y"/>
    <s v="No"/>
    <n v="13"/>
    <x v="0"/>
    <n v="1"/>
    <n v="80"/>
    <x v="3"/>
    <n v="11"/>
    <x v="1"/>
    <n v="2"/>
    <n v="3"/>
    <n v="2"/>
    <n v="0"/>
    <n v="2"/>
  </r>
  <r>
    <n v="47"/>
    <x v="1"/>
    <x v="0"/>
    <n v="465"/>
    <x v="1"/>
    <n v="1"/>
    <n v="3"/>
    <s v="Technical Degree"/>
    <n v="1"/>
    <n v="1438"/>
    <n v="1"/>
    <x v="1"/>
    <n v="74"/>
    <x v="0"/>
    <n v="1"/>
    <x v="1"/>
    <n v="4"/>
    <x v="1"/>
    <n v="3420"/>
    <n v="10205"/>
    <n v="7"/>
    <s v="Y"/>
    <s v="No"/>
    <n v="12"/>
    <x v="0"/>
    <n v="3"/>
    <n v="80"/>
    <x v="1"/>
    <n v="17"/>
    <x v="2"/>
    <n v="2"/>
    <n v="6"/>
    <n v="5"/>
    <n v="1"/>
    <n v="2"/>
  </r>
  <r>
    <n v="25"/>
    <x v="0"/>
    <x v="0"/>
    <n v="383"/>
    <x v="0"/>
    <n v="9"/>
    <n v="2"/>
    <s v="Life Sciences"/>
    <n v="1"/>
    <n v="1439"/>
    <n v="1"/>
    <x v="1"/>
    <n v="68"/>
    <x v="1"/>
    <n v="1"/>
    <x v="6"/>
    <n v="1"/>
    <x v="1"/>
    <n v="4400"/>
    <n v="15182"/>
    <n v="3"/>
    <s v="Y"/>
    <s v="No"/>
    <n v="12"/>
    <x v="0"/>
    <n v="1"/>
    <n v="80"/>
    <x v="0"/>
    <n v="6"/>
    <x v="2"/>
    <n v="3"/>
    <n v="3"/>
    <n v="2"/>
    <n v="2"/>
    <n v="2"/>
  </r>
  <r>
    <n v="37"/>
    <x v="1"/>
    <x v="2"/>
    <n v="1413"/>
    <x v="1"/>
    <n v="5"/>
    <n v="2"/>
    <s v="Technical Degree"/>
    <n v="1"/>
    <n v="1440"/>
    <n v="3"/>
    <x v="1"/>
    <n v="84"/>
    <x v="2"/>
    <n v="1"/>
    <x v="2"/>
    <n v="3"/>
    <x v="0"/>
    <n v="3500"/>
    <n v="25470"/>
    <n v="0"/>
    <s v="Y"/>
    <s v="No"/>
    <n v="14"/>
    <x v="0"/>
    <n v="1"/>
    <n v="80"/>
    <x v="0"/>
    <n v="7"/>
    <x v="2"/>
    <n v="1"/>
    <n v="6"/>
    <n v="5"/>
    <n v="1"/>
    <n v="3"/>
  </r>
  <r>
    <n v="56"/>
    <x v="1"/>
    <x v="0"/>
    <n v="1255"/>
    <x v="1"/>
    <n v="1"/>
    <n v="2"/>
    <s v="Life Sciences"/>
    <n v="1"/>
    <n v="1441"/>
    <n v="1"/>
    <x v="0"/>
    <n v="90"/>
    <x v="0"/>
    <n v="1"/>
    <x v="1"/>
    <n v="1"/>
    <x v="1"/>
    <n v="2066"/>
    <n v="10494"/>
    <n v="2"/>
    <s v="Y"/>
    <s v="No"/>
    <n v="22"/>
    <x v="1"/>
    <n v="4"/>
    <n v="80"/>
    <x v="1"/>
    <n v="5"/>
    <x v="1"/>
    <n v="4"/>
    <n v="3"/>
    <n v="2"/>
    <n v="1"/>
    <n v="0"/>
  </r>
  <r>
    <n v="47"/>
    <x v="1"/>
    <x v="0"/>
    <n v="359"/>
    <x v="1"/>
    <n v="2"/>
    <n v="4"/>
    <s v="Medical"/>
    <n v="1"/>
    <n v="1443"/>
    <n v="1"/>
    <x v="0"/>
    <n v="82"/>
    <x v="0"/>
    <n v="4"/>
    <x v="7"/>
    <n v="3"/>
    <x v="1"/>
    <n v="17169"/>
    <n v="26703"/>
    <n v="3"/>
    <s v="Y"/>
    <s v="No"/>
    <n v="19"/>
    <x v="0"/>
    <n v="2"/>
    <n v="80"/>
    <x v="3"/>
    <n v="26"/>
    <x v="2"/>
    <n v="4"/>
    <n v="20"/>
    <n v="17"/>
    <n v="5"/>
    <n v="6"/>
  </r>
  <r>
    <n v="24"/>
    <x v="1"/>
    <x v="0"/>
    <n v="1476"/>
    <x v="0"/>
    <n v="4"/>
    <n v="1"/>
    <s v="Medical"/>
    <n v="1"/>
    <n v="1445"/>
    <n v="4"/>
    <x v="0"/>
    <n v="42"/>
    <x v="0"/>
    <n v="2"/>
    <x v="0"/>
    <n v="3"/>
    <x v="1"/>
    <n v="4162"/>
    <n v="15211"/>
    <n v="1"/>
    <s v="Y"/>
    <s v="Yes"/>
    <n v="12"/>
    <x v="0"/>
    <n v="3"/>
    <n v="80"/>
    <x v="3"/>
    <n v="5"/>
    <x v="1"/>
    <n v="3"/>
    <n v="5"/>
    <n v="4"/>
    <n v="0"/>
    <n v="3"/>
  </r>
  <r>
    <n v="32"/>
    <x v="1"/>
    <x v="0"/>
    <n v="601"/>
    <x v="0"/>
    <n v="7"/>
    <n v="5"/>
    <s v="Marketing"/>
    <n v="1"/>
    <n v="1446"/>
    <n v="4"/>
    <x v="1"/>
    <n v="97"/>
    <x v="0"/>
    <n v="2"/>
    <x v="0"/>
    <n v="4"/>
    <x v="1"/>
    <n v="9204"/>
    <n v="23343"/>
    <n v="4"/>
    <s v="Y"/>
    <s v="No"/>
    <n v="12"/>
    <x v="0"/>
    <n v="3"/>
    <n v="80"/>
    <x v="1"/>
    <n v="7"/>
    <x v="1"/>
    <n v="2"/>
    <n v="4"/>
    <n v="3"/>
    <n v="0"/>
    <n v="3"/>
  </r>
  <r>
    <n v="34"/>
    <x v="1"/>
    <x v="0"/>
    <n v="401"/>
    <x v="1"/>
    <n v="1"/>
    <n v="3"/>
    <s v="Life Sciences"/>
    <n v="1"/>
    <n v="1447"/>
    <n v="4"/>
    <x v="0"/>
    <n v="86"/>
    <x v="1"/>
    <n v="1"/>
    <x v="2"/>
    <n v="2"/>
    <x v="1"/>
    <n v="3294"/>
    <n v="3708"/>
    <n v="5"/>
    <s v="Y"/>
    <s v="No"/>
    <n v="17"/>
    <x v="0"/>
    <n v="1"/>
    <n v="80"/>
    <x v="1"/>
    <n v="7"/>
    <x v="2"/>
    <n v="2"/>
    <n v="5"/>
    <n v="4"/>
    <n v="0"/>
    <n v="2"/>
  </r>
  <r>
    <n v="41"/>
    <x v="1"/>
    <x v="0"/>
    <n v="1283"/>
    <x v="1"/>
    <n v="5"/>
    <n v="5"/>
    <s v="Medical"/>
    <n v="1"/>
    <n v="1448"/>
    <n v="2"/>
    <x v="1"/>
    <n v="90"/>
    <x v="2"/>
    <n v="1"/>
    <x v="1"/>
    <n v="3"/>
    <x v="1"/>
    <n v="2127"/>
    <n v="5561"/>
    <n v="2"/>
    <s v="Y"/>
    <s v="Yes"/>
    <n v="12"/>
    <x v="0"/>
    <n v="1"/>
    <n v="80"/>
    <x v="0"/>
    <n v="7"/>
    <x v="3"/>
    <n v="2"/>
    <n v="4"/>
    <n v="2"/>
    <n v="0"/>
    <n v="3"/>
  </r>
  <r>
    <n v="40"/>
    <x v="1"/>
    <x v="2"/>
    <n v="663"/>
    <x v="1"/>
    <n v="9"/>
    <n v="4"/>
    <s v="Other"/>
    <n v="1"/>
    <n v="1449"/>
    <n v="3"/>
    <x v="1"/>
    <n v="81"/>
    <x v="0"/>
    <n v="2"/>
    <x v="2"/>
    <n v="3"/>
    <x v="2"/>
    <n v="3975"/>
    <n v="23099"/>
    <n v="3"/>
    <s v="Y"/>
    <s v="No"/>
    <n v="11"/>
    <x v="0"/>
    <n v="3"/>
    <n v="80"/>
    <x v="3"/>
    <n v="11"/>
    <x v="2"/>
    <n v="4"/>
    <n v="8"/>
    <n v="7"/>
    <n v="0"/>
    <n v="7"/>
  </r>
  <r>
    <n v="31"/>
    <x v="1"/>
    <x v="0"/>
    <n v="326"/>
    <x v="0"/>
    <n v="8"/>
    <n v="2"/>
    <s v="Life Sciences"/>
    <n v="1"/>
    <n v="1453"/>
    <n v="1"/>
    <x v="1"/>
    <n v="31"/>
    <x v="0"/>
    <n v="3"/>
    <x v="0"/>
    <n v="4"/>
    <x v="2"/>
    <n v="10793"/>
    <n v="8386"/>
    <n v="1"/>
    <s v="Y"/>
    <s v="No"/>
    <n v="18"/>
    <x v="0"/>
    <n v="1"/>
    <n v="80"/>
    <x v="1"/>
    <n v="13"/>
    <x v="3"/>
    <n v="3"/>
    <n v="13"/>
    <n v="7"/>
    <n v="9"/>
    <n v="9"/>
  </r>
  <r>
    <n v="46"/>
    <x v="0"/>
    <x v="0"/>
    <n v="377"/>
    <x v="0"/>
    <n v="9"/>
    <n v="3"/>
    <s v="Marketing"/>
    <n v="1"/>
    <n v="1457"/>
    <n v="1"/>
    <x v="1"/>
    <n v="52"/>
    <x v="0"/>
    <n v="3"/>
    <x v="0"/>
    <n v="4"/>
    <x v="2"/>
    <n v="10096"/>
    <n v="15986"/>
    <n v="4"/>
    <s v="Y"/>
    <s v="No"/>
    <n v="11"/>
    <x v="0"/>
    <n v="1"/>
    <n v="80"/>
    <x v="1"/>
    <n v="28"/>
    <x v="4"/>
    <n v="4"/>
    <n v="7"/>
    <n v="7"/>
    <n v="4"/>
    <n v="3"/>
  </r>
  <r>
    <n v="39"/>
    <x v="0"/>
    <x v="2"/>
    <n v="592"/>
    <x v="1"/>
    <n v="2"/>
    <n v="3"/>
    <s v="Life Sciences"/>
    <n v="1"/>
    <n v="1458"/>
    <n v="1"/>
    <x v="0"/>
    <n v="54"/>
    <x v="1"/>
    <n v="1"/>
    <x v="2"/>
    <n v="1"/>
    <x v="0"/>
    <n v="3646"/>
    <n v="17181"/>
    <n v="2"/>
    <s v="Y"/>
    <s v="Yes"/>
    <n v="23"/>
    <x v="1"/>
    <n v="2"/>
    <n v="80"/>
    <x v="0"/>
    <n v="11"/>
    <x v="2"/>
    <n v="4"/>
    <n v="1"/>
    <n v="0"/>
    <n v="0"/>
    <n v="0"/>
  </r>
  <r>
    <n v="31"/>
    <x v="0"/>
    <x v="1"/>
    <n v="1445"/>
    <x v="1"/>
    <n v="1"/>
    <n v="5"/>
    <s v="Life Sciences"/>
    <n v="1"/>
    <n v="1459"/>
    <n v="3"/>
    <x v="0"/>
    <n v="100"/>
    <x v="2"/>
    <n v="3"/>
    <x v="3"/>
    <n v="2"/>
    <x v="0"/>
    <n v="7446"/>
    <n v="8931"/>
    <n v="1"/>
    <s v="Y"/>
    <s v="No"/>
    <n v="11"/>
    <x v="0"/>
    <n v="1"/>
    <n v="80"/>
    <x v="0"/>
    <n v="10"/>
    <x v="2"/>
    <n v="3"/>
    <n v="10"/>
    <n v="8"/>
    <n v="4"/>
    <n v="7"/>
  </r>
  <r>
    <n v="45"/>
    <x v="1"/>
    <x v="0"/>
    <n v="1038"/>
    <x v="1"/>
    <n v="20"/>
    <n v="3"/>
    <s v="Medical"/>
    <n v="1"/>
    <n v="1460"/>
    <n v="2"/>
    <x v="1"/>
    <n v="95"/>
    <x v="3"/>
    <n v="3"/>
    <x v="4"/>
    <n v="1"/>
    <x v="2"/>
    <n v="10851"/>
    <n v="19863"/>
    <n v="2"/>
    <s v="Y"/>
    <s v="Yes"/>
    <n v="18"/>
    <x v="0"/>
    <n v="2"/>
    <n v="80"/>
    <x v="1"/>
    <n v="24"/>
    <x v="2"/>
    <n v="3"/>
    <n v="7"/>
    <n v="7"/>
    <n v="0"/>
    <n v="7"/>
  </r>
  <r>
    <n v="31"/>
    <x v="1"/>
    <x v="0"/>
    <n v="1398"/>
    <x v="2"/>
    <n v="8"/>
    <n v="2"/>
    <s v="Medical"/>
    <n v="1"/>
    <n v="1461"/>
    <n v="4"/>
    <x v="0"/>
    <n v="96"/>
    <x v="2"/>
    <n v="1"/>
    <x v="8"/>
    <n v="2"/>
    <x v="0"/>
    <n v="2109"/>
    <n v="24609"/>
    <n v="9"/>
    <s v="Y"/>
    <s v="No"/>
    <n v="18"/>
    <x v="0"/>
    <n v="4"/>
    <n v="80"/>
    <x v="0"/>
    <n v="8"/>
    <x v="1"/>
    <n v="3"/>
    <n v="3"/>
    <n v="2"/>
    <n v="0"/>
    <n v="2"/>
  </r>
  <r>
    <n v="31"/>
    <x v="0"/>
    <x v="1"/>
    <n v="523"/>
    <x v="1"/>
    <n v="2"/>
    <n v="3"/>
    <s v="Life Sciences"/>
    <n v="1"/>
    <n v="1464"/>
    <n v="2"/>
    <x v="1"/>
    <n v="94"/>
    <x v="0"/>
    <n v="1"/>
    <x v="2"/>
    <n v="4"/>
    <x v="1"/>
    <n v="3722"/>
    <n v="21081"/>
    <n v="6"/>
    <s v="Y"/>
    <s v="Yes"/>
    <n v="13"/>
    <x v="0"/>
    <n v="3"/>
    <n v="80"/>
    <x v="1"/>
    <n v="7"/>
    <x v="2"/>
    <n v="1"/>
    <n v="2"/>
    <n v="2"/>
    <n v="2"/>
    <n v="2"/>
  </r>
  <r>
    <n v="45"/>
    <x v="1"/>
    <x v="0"/>
    <n v="1448"/>
    <x v="1"/>
    <n v="29"/>
    <n v="3"/>
    <s v="Technical Degree"/>
    <n v="1"/>
    <n v="1465"/>
    <n v="2"/>
    <x v="1"/>
    <n v="55"/>
    <x v="0"/>
    <n v="3"/>
    <x v="3"/>
    <n v="4"/>
    <x v="1"/>
    <n v="9380"/>
    <n v="14720"/>
    <n v="4"/>
    <s v="Y"/>
    <s v="Yes"/>
    <n v="18"/>
    <x v="0"/>
    <n v="4"/>
    <n v="80"/>
    <x v="3"/>
    <n v="10"/>
    <x v="5"/>
    <n v="4"/>
    <n v="3"/>
    <n v="1"/>
    <n v="1"/>
    <n v="2"/>
  </r>
  <r>
    <n v="48"/>
    <x v="1"/>
    <x v="0"/>
    <n v="1221"/>
    <x v="0"/>
    <n v="7"/>
    <n v="3"/>
    <s v="Marketing"/>
    <n v="1"/>
    <n v="1466"/>
    <n v="3"/>
    <x v="1"/>
    <n v="96"/>
    <x v="0"/>
    <n v="2"/>
    <x v="0"/>
    <n v="1"/>
    <x v="2"/>
    <n v="5486"/>
    <n v="24795"/>
    <n v="4"/>
    <s v="Y"/>
    <s v="No"/>
    <n v="11"/>
    <x v="0"/>
    <n v="1"/>
    <n v="80"/>
    <x v="2"/>
    <n v="15"/>
    <x v="1"/>
    <n v="3"/>
    <n v="2"/>
    <n v="2"/>
    <n v="2"/>
    <n v="2"/>
  </r>
  <r>
    <n v="34"/>
    <x v="0"/>
    <x v="0"/>
    <n v="1107"/>
    <x v="2"/>
    <n v="9"/>
    <n v="4"/>
    <s v="Technical Degree"/>
    <n v="1"/>
    <n v="1467"/>
    <n v="1"/>
    <x v="0"/>
    <n v="52"/>
    <x v="0"/>
    <n v="1"/>
    <x v="8"/>
    <n v="3"/>
    <x v="1"/>
    <n v="2742"/>
    <n v="3072"/>
    <n v="1"/>
    <s v="Y"/>
    <s v="No"/>
    <n v="15"/>
    <x v="0"/>
    <n v="4"/>
    <n v="80"/>
    <x v="0"/>
    <n v="2"/>
    <x v="0"/>
    <n v="3"/>
    <n v="2"/>
    <n v="2"/>
    <n v="2"/>
    <n v="2"/>
  </r>
  <r>
    <n v="40"/>
    <x v="1"/>
    <x v="2"/>
    <n v="218"/>
    <x v="1"/>
    <n v="8"/>
    <n v="1"/>
    <s v="Medical"/>
    <n v="1"/>
    <n v="1468"/>
    <n v="4"/>
    <x v="1"/>
    <n v="55"/>
    <x v="1"/>
    <n v="3"/>
    <x v="7"/>
    <n v="2"/>
    <x v="2"/>
    <n v="13757"/>
    <n v="25178"/>
    <n v="2"/>
    <s v="Y"/>
    <s v="No"/>
    <n v="11"/>
    <x v="0"/>
    <n v="3"/>
    <n v="80"/>
    <x v="1"/>
    <n v="16"/>
    <x v="3"/>
    <n v="3"/>
    <n v="9"/>
    <n v="8"/>
    <n v="4"/>
    <n v="8"/>
  </r>
  <r>
    <n v="28"/>
    <x v="1"/>
    <x v="0"/>
    <n v="866"/>
    <x v="0"/>
    <n v="5"/>
    <n v="3"/>
    <s v="Medical"/>
    <n v="1"/>
    <n v="1469"/>
    <n v="4"/>
    <x v="1"/>
    <n v="84"/>
    <x v="0"/>
    <n v="2"/>
    <x v="0"/>
    <n v="1"/>
    <x v="0"/>
    <n v="8463"/>
    <n v="23490"/>
    <n v="0"/>
    <s v="Y"/>
    <s v="No"/>
    <n v="18"/>
    <x v="0"/>
    <n v="4"/>
    <n v="80"/>
    <x v="0"/>
    <n v="6"/>
    <x v="5"/>
    <n v="3"/>
    <n v="5"/>
    <n v="4"/>
    <n v="1"/>
    <n v="3"/>
  </r>
  <r>
    <n v="44"/>
    <x v="1"/>
    <x v="2"/>
    <n v="981"/>
    <x v="1"/>
    <n v="5"/>
    <n v="3"/>
    <s v="Life Sciences"/>
    <n v="1"/>
    <n v="1471"/>
    <n v="3"/>
    <x v="1"/>
    <n v="90"/>
    <x v="1"/>
    <n v="1"/>
    <x v="2"/>
    <n v="3"/>
    <x v="0"/>
    <n v="3162"/>
    <n v="7973"/>
    <n v="3"/>
    <s v="Y"/>
    <s v="No"/>
    <n v="14"/>
    <x v="0"/>
    <n v="4"/>
    <n v="80"/>
    <x v="0"/>
    <n v="7"/>
    <x v="3"/>
    <n v="3"/>
    <n v="5"/>
    <n v="2"/>
    <n v="0"/>
    <n v="3"/>
  </r>
  <r>
    <n v="53"/>
    <x v="1"/>
    <x v="0"/>
    <n v="447"/>
    <x v="1"/>
    <n v="2"/>
    <n v="3"/>
    <s v="Medical"/>
    <n v="1"/>
    <n v="1472"/>
    <n v="4"/>
    <x v="1"/>
    <n v="39"/>
    <x v="2"/>
    <n v="4"/>
    <x v="7"/>
    <n v="2"/>
    <x v="0"/>
    <n v="16598"/>
    <n v="19764"/>
    <n v="4"/>
    <s v="Y"/>
    <s v="No"/>
    <n v="12"/>
    <x v="0"/>
    <n v="2"/>
    <n v="80"/>
    <x v="0"/>
    <n v="35"/>
    <x v="2"/>
    <n v="2"/>
    <n v="9"/>
    <n v="8"/>
    <n v="8"/>
    <n v="8"/>
  </r>
  <r>
    <n v="49"/>
    <x v="1"/>
    <x v="0"/>
    <n v="1495"/>
    <x v="1"/>
    <n v="5"/>
    <n v="4"/>
    <s v="Technical Degree"/>
    <n v="1"/>
    <n v="1473"/>
    <n v="1"/>
    <x v="1"/>
    <n v="96"/>
    <x v="0"/>
    <n v="2"/>
    <x v="4"/>
    <n v="3"/>
    <x v="1"/>
    <n v="6651"/>
    <n v="21534"/>
    <n v="2"/>
    <s v="Y"/>
    <s v="No"/>
    <n v="14"/>
    <x v="0"/>
    <n v="2"/>
    <n v="80"/>
    <x v="1"/>
    <n v="20"/>
    <x v="0"/>
    <n v="2"/>
    <n v="3"/>
    <n v="2"/>
    <n v="1"/>
    <n v="2"/>
  </r>
  <r>
    <n v="40"/>
    <x v="1"/>
    <x v="0"/>
    <n v="896"/>
    <x v="1"/>
    <n v="2"/>
    <n v="3"/>
    <s v="Medical"/>
    <n v="1"/>
    <n v="1474"/>
    <n v="3"/>
    <x v="1"/>
    <n v="68"/>
    <x v="0"/>
    <n v="1"/>
    <x v="1"/>
    <n v="3"/>
    <x v="2"/>
    <n v="2345"/>
    <n v="8045"/>
    <n v="2"/>
    <s v="Y"/>
    <s v="No"/>
    <n v="14"/>
    <x v="0"/>
    <n v="3"/>
    <n v="80"/>
    <x v="1"/>
    <n v="8"/>
    <x v="1"/>
    <n v="4"/>
    <n v="3"/>
    <n v="1"/>
    <n v="1"/>
    <n v="2"/>
  </r>
  <r>
    <n v="44"/>
    <x v="1"/>
    <x v="0"/>
    <n v="1467"/>
    <x v="1"/>
    <n v="20"/>
    <n v="3"/>
    <s v="Life Sciences"/>
    <n v="1"/>
    <n v="1475"/>
    <n v="4"/>
    <x v="1"/>
    <n v="49"/>
    <x v="0"/>
    <n v="1"/>
    <x v="1"/>
    <n v="2"/>
    <x v="0"/>
    <n v="3420"/>
    <n v="21158"/>
    <n v="1"/>
    <s v="Y"/>
    <s v="No"/>
    <n v="13"/>
    <x v="0"/>
    <n v="3"/>
    <n v="80"/>
    <x v="0"/>
    <n v="6"/>
    <x v="1"/>
    <n v="2"/>
    <n v="5"/>
    <n v="2"/>
    <n v="1"/>
    <n v="3"/>
  </r>
  <r>
    <n v="33"/>
    <x v="1"/>
    <x v="1"/>
    <n v="430"/>
    <x v="0"/>
    <n v="7"/>
    <n v="3"/>
    <s v="Medical"/>
    <n v="1"/>
    <n v="1477"/>
    <n v="4"/>
    <x v="1"/>
    <n v="54"/>
    <x v="0"/>
    <n v="2"/>
    <x v="0"/>
    <n v="1"/>
    <x v="1"/>
    <n v="4373"/>
    <n v="17456"/>
    <n v="0"/>
    <s v="Y"/>
    <s v="No"/>
    <n v="14"/>
    <x v="0"/>
    <n v="1"/>
    <n v="80"/>
    <x v="3"/>
    <n v="5"/>
    <x v="2"/>
    <n v="3"/>
    <n v="4"/>
    <n v="3"/>
    <n v="0"/>
    <n v="3"/>
  </r>
  <r>
    <n v="34"/>
    <x v="1"/>
    <x v="0"/>
    <n v="1326"/>
    <x v="0"/>
    <n v="3"/>
    <n v="3"/>
    <s v="Other"/>
    <n v="1"/>
    <n v="1478"/>
    <n v="4"/>
    <x v="1"/>
    <n v="81"/>
    <x v="3"/>
    <n v="2"/>
    <x v="0"/>
    <n v="1"/>
    <x v="0"/>
    <n v="4759"/>
    <n v="15891"/>
    <n v="3"/>
    <s v="Y"/>
    <s v="No"/>
    <n v="18"/>
    <x v="0"/>
    <n v="4"/>
    <n v="80"/>
    <x v="0"/>
    <n v="15"/>
    <x v="2"/>
    <n v="3"/>
    <n v="13"/>
    <n v="9"/>
    <n v="3"/>
    <n v="12"/>
  </r>
  <r>
    <n v="30"/>
    <x v="1"/>
    <x v="0"/>
    <n v="1358"/>
    <x v="0"/>
    <n v="16"/>
    <n v="1"/>
    <s v="Life Sciences"/>
    <n v="1"/>
    <n v="1479"/>
    <n v="4"/>
    <x v="1"/>
    <n v="96"/>
    <x v="0"/>
    <n v="2"/>
    <x v="0"/>
    <n v="3"/>
    <x v="1"/>
    <n v="5301"/>
    <n v="2939"/>
    <n v="8"/>
    <s v="Y"/>
    <s v="No"/>
    <n v="15"/>
    <x v="0"/>
    <n v="3"/>
    <n v="80"/>
    <x v="3"/>
    <n v="4"/>
    <x v="2"/>
    <n v="2"/>
    <n v="2"/>
    <n v="1"/>
    <n v="2"/>
    <n v="2"/>
  </r>
  <r>
    <n v="42"/>
    <x v="1"/>
    <x v="1"/>
    <n v="748"/>
    <x v="1"/>
    <n v="9"/>
    <n v="2"/>
    <s v="Medical"/>
    <n v="1"/>
    <n v="1480"/>
    <n v="1"/>
    <x v="0"/>
    <n v="74"/>
    <x v="0"/>
    <n v="1"/>
    <x v="2"/>
    <n v="4"/>
    <x v="0"/>
    <n v="3673"/>
    <n v="16458"/>
    <n v="1"/>
    <s v="Y"/>
    <s v="No"/>
    <n v="13"/>
    <x v="0"/>
    <n v="3"/>
    <n v="80"/>
    <x v="0"/>
    <n v="12"/>
    <x v="1"/>
    <n v="3"/>
    <n v="12"/>
    <n v="9"/>
    <n v="5"/>
    <n v="8"/>
  </r>
  <r>
    <n v="44"/>
    <x v="1"/>
    <x v="1"/>
    <n v="383"/>
    <x v="0"/>
    <n v="1"/>
    <n v="5"/>
    <s v="Marketing"/>
    <n v="1"/>
    <n v="1481"/>
    <n v="1"/>
    <x v="0"/>
    <n v="79"/>
    <x v="0"/>
    <n v="2"/>
    <x v="0"/>
    <n v="3"/>
    <x v="1"/>
    <n v="4768"/>
    <n v="9282"/>
    <n v="7"/>
    <s v="Y"/>
    <s v="No"/>
    <n v="12"/>
    <x v="0"/>
    <n v="3"/>
    <n v="80"/>
    <x v="1"/>
    <n v="11"/>
    <x v="5"/>
    <n v="2"/>
    <n v="1"/>
    <n v="0"/>
    <n v="0"/>
    <n v="0"/>
  </r>
  <r>
    <n v="30"/>
    <x v="1"/>
    <x v="2"/>
    <n v="990"/>
    <x v="1"/>
    <n v="7"/>
    <n v="3"/>
    <s v="Technical Degree"/>
    <n v="1"/>
    <n v="1482"/>
    <n v="3"/>
    <x v="1"/>
    <n v="64"/>
    <x v="0"/>
    <n v="1"/>
    <x v="1"/>
    <n v="3"/>
    <x v="2"/>
    <n v="1274"/>
    <n v="7152"/>
    <n v="1"/>
    <s v="Y"/>
    <s v="No"/>
    <n v="13"/>
    <x v="0"/>
    <n v="2"/>
    <n v="80"/>
    <x v="3"/>
    <n v="1"/>
    <x v="2"/>
    <n v="2"/>
    <n v="1"/>
    <n v="0"/>
    <n v="0"/>
    <n v="0"/>
  </r>
  <r>
    <n v="57"/>
    <x v="1"/>
    <x v="0"/>
    <n v="405"/>
    <x v="1"/>
    <n v="1"/>
    <n v="2"/>
    <s v="Life Sciences"/>
    <n v="1"/>
    <n v="1483"/>
    <n v="2"/>
    <x v="1"/>
    <n v="93"/>
    <x v="2"/>
    <n v="2"/>
    <x v="1"/>
    <n v="3"/>
    <x v="1"/>
    <n v="4900"/>
    <n v="2721"/>
    <n v="0"/>
    <s v="Y"/>
    <s v="No"/>
    <n v="24"/>
    <x v="1"/>
    <n v="1"/>
    <n v="80"/>
    <x v="1"/>
    <n v="13"/>
    <x v="2"/>
    <n v="2"/>
    <n v="12"/>
    <n v="9"/>
    <n v="2"/>
    <n v="8"/>
  </r>
  <r>
    <n v="49"/>
    <x v="1"/>
    <x v="0"/>
    <n v="1490"/>
    <x v="1"/>
    <n v="7"/>
    <n v="4"/>
    <s v="Life Sciences"/>
    <n v="1"/>
    <n v="1484"/>
    <n v="3"/>
    <x v="1"/>
    <n v="35"/>
    <x v="0"/>
    <n v="3"/>
    <x v="4"/>
    <n v="2"/>
    <x v="2"/>
    <n v="10466"/>
    <n v="20948"/>
    <n v="3"/>
    <s v="Y"/>
    <s v="No"/>
    <n v="14"/>
    <x v="0"/>
    <n v="2"/>
    <n v="80"/>
    <x v="3"/>
    <n v="29"/>
    <x v="1"/>
    <n v="3"/>
    <n v="8"/>
    <n v="7"/>
    <n v="0"/>
    <n v="7"/>
  </r>
  <r>
    <n v="34"/>
    <x v="1"/>
    <x v="1"/>
    <n v="829"/>
    <x v="1"/>
    <n v="15"/>
    <n v="3"/>
    <s v="Medical"/>
    <n v="1"/>
    <n v="1485"/>
    <n v="2"/>
    <x v="1"/>
    <n v="71"/>
    <x v="0"/>
    <n v="4"/>
    <x v="7"/>
    <n v="1"/>
    <x v="2"/>
    <n v="17007"/>
    <n v="11929"/>
    <n v="7"/>
    <s v="Y"/>
    <s v="No"/>
    <n v="14"/>
    <x v="0"/>
    <n v="4"/>
    <n v="80"/>
    <x v="3"/>
    <n v="16"/>
    <x v="1"/>
    <n v="2"/>
    <n v="14"/>
    <n v="8"/>
    <n v="6"/>
    <n v="9"/>
  </r>
  <r>
    <n v="28"/>
    <x v="0"/>
    <x v="1"/>
    <n v="1496"/>
    <x v="0"/>
    <n v="1"/>
    <n v="3"/>
    <s v="Technical Degree"/>
    <n v="1"/>
    <n v="1486"/>
    <n v="1"/>
    <x v="1"/>
    <n v="92"/>
    <x v="0"/>
    <n v="1"/>
    <x v="6"/>
    <n v="3"/>
    <x v="1"/>
    <n v="2909"/>
    <n v="15747"/>
    <n v="3"/>
    <s v="Y"/>
    <s v="No"/>
    <n v="15"/>
    <x v="0"/>
    <n v="4"/>
    <n v="80"/>
    <x v="1"/>
    <n v="5"/>
    <x v="1"/>
    <n v="4"/>
    <n v="3"/>
    <n v="2"/>
    <n v="1"/>
    <n v="2"/>
  </r>
  <r>
    <n v="29"/>
    <x v="0"/>
    <x v="1"/>
    <n v="115"/>
    <x v="0"/>
    <n v="13"/>
    <n v="3"/>
    <s v="Technical Degree"/>
    <n v="1"/>
    <n v="1487"/>
    <n v="1"/>
    <x v="0"/>
    <n v="51"/>
    <x v="0"/>
    <n v="2"/>
    <x v="0"/>
    <n v="2"/>
    <x v="0"/>
    <n v="5765"/>
    <n v="17485"/>
    <n v="5"/>
    <s v="Y"/>
    <s v="No"/>
    <n v="11"/>
    <x v="0"/>
    <n v="1"/>
    <n v="80"/>
    <x v="0"/>
    <n v="7"/>
    <x v="5"/>
    <n v="1"/>
    <n v="5"/>
    <n v="3"/>
    <n v="0"/>
    <n v="0"/>
  </r>
  <r>
    <n v="34"/>
    <x v="0"/>
    <x v="0"/>
    <n v="790"/>
    <x v="0"/>
    <n v="24"/>
    <n v="4"/>
    <s v="Medical"/>
    <n v="1"/>
    <n v="1489"/>
    <n v="1"/>
    <x v="0"/>
    <n v="40"/>
    <x v="1"/>
    <n v="2"/>
    <x v="0"/>
    <n v="2"/>
    <x v="0"/>
    <n v="4599"/>
    <n v="7815"/>
    <n v="0"/>
    <s v="Y"/>
    <s v="Yes"/>
    <n v="23"/>
    <x v="1"/>
    <n v="3"/>
    <n v="80"/>
    <x v="0"/>
    <n v="16"/>
    <x v="2"/>
    <n v="4"/>
    <n v="15"/>
    <n v="9"/>
    <n v="10"/>
    <n v="10"/>
  </r>
  <r>
    <n v="35"/>
    <x v="1"/>
    <x v="0"/>
    <n v="660"/>
    <x v="0"/>
    <n v="7"/>
    <n v="1"/>
    <s v="Life Sciences"/>
    <n v="1"/>
    <n v="1492"/>
    <n v="4"/>
    <x v="1"/>
    <n v="76"/>
    <x v="0"/>
    <n v="1"/>
    <x v="6"/>
    <n v="3"/>
    <x v="1"/>
    <n v="2404"/>
    <n v="16192"/>
    <n v="1"/>
    <s v="Y"/>
    <s v="No"/>
    <n v="13"/>
    <x v="0"/>
    <n v="1"/>
    <n v="80"/>
    <x v="1"/>
    <n v="1"/>
    <x v="1"/>
    <n v="3"/>
    <n v="1"/>
    <n v="0"/>
    <n v="0"/>
    <n v="0"/>
  </r>
  <r>
    <n v="24"/>
    <x v="0"/>
    <x v="1"/>
    <n v="381"/>
    <x v="1"/>
    <n v="9"/>
    <n v="3"/>
    <s v="Medical"/>
    <n v="1"/>
    <n v="1494"/>
    <n v="2"/>
    <x v="1"/>
    <n v="89"/>
    <x v="0"/>
    <n v="1"/>
    <x v="2"/>
    <n v="1"/>
    <x v="0"/>
    <n v="3172"/>
    <n v="16998"/>
    <n v="2"/>
    <s v="Y"/>
    <s v="Yes"/>
    <n v="11"/>
    <x v="0"/>
    <n v="3"/>
    <n v="80"/>
    <x v="0"/>
    <n v="4"/>
    <x v="2"/>
    <n v="2"/>
    <n v="0"/>
    <n v="0"/>
    <n v="0"/>
    <n v="0"/>
  </r>
  <r>
    <n v="24"/>
    <x v="1"/>
    <x v="2"/>
    <n v="830"/>
    <x v="0"/>
    <n v="13"/>
    <n v="2"/>
    <s v="Life Sciences"/>
    <n v="1"/>
    <n v="1495"/>
    <n v="4"/>
    <x v="0"/>
    <n v="78"/>
    <x v="0"/>
    <n v="1"/>
    <x v="6"/>
    <n v="2"/>
    <x v="1"/>
    <n v="2033"/>
    <n v="7103"/>
    <n v="1"/>
    <s v="Y"/>
    <s v="No"/>
    <n v="13"/>
    <x v="0"/>
    <n v="3"/>
    <n v="80"/>
    <x v="1"/>
    <n v="1"/>
    <x v="2"/>
    <n v="3"/>
    <n v="1"/>
    <n v="0"/>
    <n v="0"/>
    <n v="0"/>
  </r>
  <r>
    <n v="44"/>
    <x v="1"/>
    <x v="1"/>
    <n v="1193"/>
    <x v="1"/>
    <n v="2"/>
    <n v="1"/>
    <s v="Medical"/>
    <n v="1"/>
    <n v="1496"/>
    <n v="2"/>
    <x v="1"/>
    <n v="86"/>
    <x v="0"/>
    <n v="3"/>
    <x v="3"/>
    <n v="3"/>
    <x v="0"/>
    <n v="10209"/>
    <n v="19719"/>
    <n v="5"/>
    <s v="Y"/>
    <s v="Yes"/>
    <n v="18"/>
    <x v="0"/>
    <n v="2"/>
    <n v="80"/>
    <x v="0"/>
    <n v="16"/>
    <x v="2"/>
    <n v="2"/>
    <n v="2"/>
    <n v="2"/>
    <n v="2"/>
    <n v="2"/>
  </r>
  <r>
    <n v="29"/>
    <x v="1"/>
    <x v="0"/>
    <n v="1246"/>
    <x v="0"/>
    <n v="19"/>
    <n v="3"/>
    <s v="Life Sciences"/>
    <n v="1"/>
    <n v="1497"/>
    <n v="3"/>
    <x v="1"/>
    <n v="77"/>
    <x v="1"/>
    <n v="2"/>
    <x v="0"/>
    <n v="3"/>
    <x v="2"/>
    <n v="8620"/>
    <n v="23757"/>
    <n v="1"/>
    <s v="Y"/>
    <s v="No"/>
    <n v="14"/>
    <x v="0"/>
    <n v="3"/>
    <n v="80"/>
    <x v="3"/>
    <n v="10"/>
    <x v="1"/>
    <n v="3"/>
    <n v="10"/>
    <n v="7"/>
    <n v="0"/>
    <n v="4"/>
  </r>
  <r>
    <n v="30"/>
    <x v="1"/>
    <x v="0"/>
    <n v="330"/>
    <x v="2"/>
    <n v="1"/>
    <n v="3"/>
    <s v="Life Sciences"/>
    <n v="1"/>
    <n v="1499"/>
    <n v="3"/>
    <x v="1"/>
    <n v="46"/>
    <x v="0"/>
    <n v="1"/>
    <x v="8"/>
    <n v="3"/>
    <x v="2"/>
    <n v="2064"/>
    <n v="15428"/>
    <n v="0"/>
    <s v="Y"/>
    <s v="No"/>
    <n v="21"/>
    <x v="1"/>
    <n v="1"/>
    <n v="80"/>
    <x v="1"/>
    <n v="6"/>
    <x v="1"/>
    <n v="4"/>
    <n v="5"/>
    <n v="3"/>
    <n v="1"/>
    <n v="3"/>
  </r>
  <r>
    <n v="55"/>
    <x v="1"/>
    <x v="0"/>
    <n v="1229"/>
    <x v="1"/>
    <n v="4"/>
    <n v="4"/>
    <s v="Life Sciences"/>
    <n v="1"/>
    <n v="1501"/>
    <n v="4"/>
    <x v="1"/>
    <n v="30"/>
    <x v="0"/>
    <n v="2"/>
    <x v="4"/>
    <n v="3"/>
    <x v="1"/>
    <n v="4035"/>
    <n v="16143"/>
    <n v="0"/>
    <s v="Y"/>
    <s v="Yes"/>
    <n v="16"/>
    <x v="0"/>
    <n v="2"/>
    <n v="80"/>
    <x v="0"/>
    <n v="4"/>
    <x v="2"/>
    <n v="3"/>
    <n v="3"/>
    <n v="2"/>
    <n v="1"/>
    <n v="2"/>
  </r>
  <r>
    <n v="33"/>
    <x v="1"/>
    <x v="0"/>
    <n v="1099"/>
    <x v="1"/>
    <n v="4"/>
    <n v="4"/>
    <s v="Medical"/>
    <n v="1"/>
    <n v="1502"/>
    <n v="1"/>
    <x v="0"/>
    <n v="82"/>
    <x v="1"/>
    <n v="1"/>
    <x v="2"/>
    <n v="2"/>
    <x v="1"/>
    <n v="3838"/>
    <n v="8192"/>
    <n v="8"/>
    <s v="Y"/>
    <s v="No"/>
    <n v="11"/>
    <x v="0"/>
    <n v="4"/>
    <n v="80"/>
    <x v="0"/>
    <n v="8"/>
    <x v="3"/>
    <n v="3"/>
    <n v="5"/>
    <n v="4"/>
    <n v="0"/>
    <n v="2"/>
  </r>
  <r>
    <n v="47"/>
    <x v="1"/>
    <x v="0"/>
    <n v="571"/>
    <x v="0"/>
    <n v="14"/>
    <n v="3"/>
    <s v="Medical"/>
    <n v="1"/>
    <n v="1503"/>
    <n v="3"/>
    <x v="0"/>
    <n v="78"/>
    <x v="0"/>
    <n v="2"/>
    <x v="0"/>
    <n v="3"/>
    <x v="1"/>
    <n v="4591"/>
    <n v="24200"/>
    <n v="3"/>
    <s v="Y"/>
    <s v="Yes"/>
    <n v="17"/>
    <x v="0"/>
    <n v="3"/>
    <n v="80"/>
    <x v="1"/>
    <n v="11"/>
    <x v="5"/>
    <n v="2"/>
    <n v="5"/>
    <n v="4"/>
    <n v="1"/>
    <n v="2"/>
  </r>
  <r>
    <n v="28"/>
    <x v="0"/>
    <x v="1"/>
    <n v="289"/>
    <x v="1"/>
    <n v="2"/>
    <n v="2"/>
    <s v="Medical"/>
    <n v="1"/>
    <n v="1504"/>
    <n v="3"/>
    <x v="1"/>
    <n v="38"/>
    <x v="1"/>
    <n v="1"/>
    <x v="2"/>
    <n v="1"/>
    <x v="0"/>
    <n v="2561"/>
    <n v="5355"/>
    <n v="7"/>
    <s v="Y"/>
    <s v="No"/>
    <n v="11"/>
    <x v="0"/>
    <n v="3"/>
    <n v="80"/>
    <x v="0"/>
    <n v="8"/>
    <x v="2"/>
    <n v="2"/>
    <n v="0"/>
    <n v="0"/>
    <n v="0"/>
    <n v="0"/>
  </r>
  <r>
    <n v="28"/>
    <x v="1"/>
    <x v="0"/>
    <n v="1423"/>
    <x v="1"/>
    <n v="1"/>
    <n v="3"/>
    <s v="Life Sciences"/>
    <n v="1"/>
    <n v="1506"/>
    <n v="1"/>
    <x v="1"/>
    <n v="72"/>
    <x v="1"/>
    <n v="1"/>
    <x v="1"/>
    <n v="3"/>
    <x v="2"/>
    <n v="1563"/>
    <n v="12530"/>
    <n v="1"/>
    <s v="Y"/>
    <s v="No"/>
    <n v="14"/>
    <x v="0"/>
    <n v="4"/>
    <n v="80"/>
    <x v="1"/>
    <n v="1"/>
    <x v="2"/>
    <n v="1"/>
    <n v="1"/>
    <n v="0"/>
    <n v="0"/>
    <n v="0"/>
  </r>
  <r>
    <n v="28"/>
    <x v="1"/>
    <x v="1"/>
    <n v="467"/>
    <x v="0"/>
    <n v="7"/>
    <n v="3"/>
    <s v="Life Sciences"/>
    <n v="1"/>
    <n v="1507"/>
    <n v="3"/>
    <x v="1"/>
    <n v="55"/>
    <x v="0"/>
    <n v="2"/>
    <x v="0"/>
    <n v="1"/>
    <x v="0"/>
    <n v="4898"/>
    <n v="11827"/>
    <n v="0"/>
    <s v="Y"/>
    <s v="No"/>
    <n v="14"/>
    <x v="0"/>
    <n v="4"/>
    <n v="80"/>
    <x v="0"/>
    <n v="5"/>
    <x v="3"/>
    <n v="3"/>
    <n v="4"/>
    <n v="2"/>
    <n v="1"/>
    <n v="3"/>
  </r>
  <r>
    <n v="49"/>
    <x v="1"/>
    <x v="0"/>
    <n v="271"/>
    <x v="1"/>
    <n v="3"/>
    <n v="2"/>
    <s v="Medical"/>
    <n v="1"/>
    <n v="1509"/>
    <n v="3"/>
    <x v="0"/>
    <n v="43"/>
    <x v="1"/>
    <n v="2"/>
    <x v="2"/>
    <n v="1"/>
    <x v="1"/>
    <n v="4789"/>
    <n v="23070"/>
    <n v="4"/>
    <s v="Y"/>
    <s v="No"/>
    <n v="25"/>
    <x v="1"/>
    <n v="1"/>
    <n v="80"/>
    <x v="1"/>
    <n v="10"/>
    <x v="1"/>
    <n v="3"/>
    <n v="3"/>
    <n v="2"/>
    <n v="1"/>
    <n v="2"/>
  </r>
  <r>
    <n v="29"/>
    <x v="1"/>
    <x v="1"/>
    <n v="410"/>
    <x v="1"/>
    <n v="2"/>
    <n v="1"/>
    <s v="Life Sciences"/>
    <n v="1"/>
    <n v="1513"/>
    <n v="4"/>
    <x v="0"/>
    <n v="97"/>
    <x v="0"/>
    <n v="1"/>
    <x v="2"/>
    <n v="2"/>
    <x v="1"/>
    <n v="3180"/>
    <n v="4668"/>
    <n v="0"/>
    <s v="Y"/>
    <s v="No"/>
    <n v="13"/>
    <x v="0"/>
    <n v="3"/>
    <n v="80"/>
    <x v="2"/>
    <n v="4"/>
    <x v="1"/>
    <n v="3"/>
    <n v="3"/>
    <n v="2"/>
    <n v="0"/>
    <n v="2"/>
  </r>
  <r>
    <n v="28"/>
    <x v="1"/>
    <x v="0"/>
    <n v="1083"/>
    <x v="1"/>
    <n v="29"/>
    <n v="1"/>
    <s v="Life Sciences"/>
    <n v="1"/>
    <n v="1514"/>
    <n v="3"/>
    <x v="1"/>
    <n v="96"/>
    <x v="3"/>
    <n v="2"/>
    <x v="3"/>
    <n v="2"/>
    <x v="1"/>
    <n v="6549"/>
    <n v="3173"/>
    <n v="1"/>
    <s v="Y"/>
    <s v="No"/>
    <n v="14"/>
    <x v="0"/>
    <n v="2"/>
    <n v="80"/>
    <x v="3"/>
    <n v="8"/>
    <x v="2"/>
    <n v="2"/>
    <n v="8"/>
    <n v="6"/>
    <n v="1"/>
    <n v="7"/>
  </r>
  <r>
    <n v="33"/>
    <x v="1"/>
    <x v="0"/>
    <n v="516"/>
    <x v="1"/>
    <n v="8"/>
    <n v="5"/>
    <s v="Life Sciences"/>
    <n v="1"/>
    <n v="1515"/>
    <n v="4"/>
    <x v="1"/>
    <n v="69"/>
    <x v="0"/>
    <n v="2"/>
    <x v="4"/>
    <n v="3"/>
    <x v="0"/>
    <n v="6388"/>
    <n v="22049"/>
    <n v="2"/>
    <s v="Y"/>
    <s v="Yes"/>
    <n v="17"/>
    <x v="0"/>
    <n v="1"/>
    <n v="80"/>
    <x v="0"/>
    <n v="14"/>
    <x v="6"/>
    <n v="3"/>
    <n v="0"/>
    <n v="0"/>
    <n v="0"/>
    <n v="0"/>
  </r>
  <r>
    <n v="32"/>
    <x v="1"/>
    <x v="0"/>
    <n v="495"/>
    <x v="1"/>
    <n v="10"/>
    <n v="3"/>
    <s v="Medical"/>
    <n v="1"/>
    <n v="1516"/>
    <n v="3"/>
    <x v="1"/>
    <n v="64"/>
    <x v="0"/>
    <n v="3"/>
    <x v="5"/>
    <n v="4"/>
    <x v="0"/>
    <n v="11244"/>
    <n v="21072"/>
    <n v="2"/>
    <s v="Y"/>
    <s v="No"/>
    <n v="25"/>
    <x v="1"/>
    <n v="2"/>
    <n v="80"/>
    <x v="0"/>
    <n v="10"/>
    <x v="3"/>
    <n v="4"/>
    <n v="5"/>
    <n v="2"/>
    <n v="0"/>
    <n v="0"/>
  </r>
  <r>
    <n v="54"/>
    <x v="1"/>
    <x v="1"/>
    <n v="1050"/>
    <x v="1"/>
    <n v="11"/>
    <n v="4"/>
    <s v="Medical"/>
    <n v="1"/>
    <n v="1520"/>
    <n v="2"/>
    <x v="0"/>
    <n v="87"/>
    <x v="0"/>
    <n v="4"/>
    <x v="5"/>
    <n v="4"/>
    <x v="2"/>
    <n v="16032"/>
    <n v="24456"/>
    <n v="3"/>
    <s v="Y"/>
    <s v="No"/>
    <n v="20"/>
    <x v="1"/>
    <n v="1"/>
    <n v="80"/>
    <x v="1"/>
    <n v="26"/>
    <x v="2"/>
    <n v="3"/>
    <n v="14"/>
    <n v="9"/>
    <n v="1"/>
    <n v="12"/>
  </r>
  <r>
    <n v="29"/>
    <x v="0"/>
    <x v="0"/>
    <n v="224"/>
    <x v="1"/>
    <n v="1"/>
    <n v="4"/>
    <s v="Technical Degree"/>
    <n v="1"/>
    <n v="1522"/>
    <n v="1"/>
    <x v="1"/>
    <n v="100"/>
    <x v="1"/>
    <n v="1"/>
    <x v="1"/>
    <n v="1"/>
    <x v="0"/>
    <n v="2362"/>
    <n v="7568"/>
    <n v="6"/>
    <s v="Y"/>
    <s v="No"/>
    <n v="13"/>
    <x v="0"/>
    <n v="3"/>
    <n v="80"/>
    <x v="0"/>
    <n v="11"/>
    <x v="2"/>
    <n v="1"/>
    <n v="9"/>
    <n v="7"/>
    <n v="0"/>
    <n v="7"/>
  </r>
  <r>
    <n v="44"/>
    <x v="1"/>
    <x v="0"/>
    <n v="136"/>
    <x v="1"/>
    <n v="28"/>
    <n v="3"/>
    <s v="Life Sciences"/>
    <n v="1"/>
    <n v="1523"/>
    <n v="4"/>
    <x v="1"/>
    <n v="32"/>
    <x v="0"/>
    <n v="4"/>
    <x v="7"/>
    <n v="1"/>
    <x v="1"/>
    <n v="16328"/>
    <n v="22074"/>
    <n v="3"/>
    <s v="Y"/>
    <s v="No"/>
    <n v="13"/>
    <x v="0"/>
    <n v="3"/>
    <n v="80"/>
    <x v="1"/>
    <n v="24"/>
    <x v="4"/>
    <n v="4"/>
    <n v="20"/>
    <n v="6"/>
    <n v="14"/>
    <n v="17"/>
  </r>
  <r>
    <n v="39"/>
    <x v="1"/>
    <x v="0"/>
    <n v="1089"/>
    <x v="1"/>
    <n v="6"/>
    <n v="3"/>
    <s v="Life Sciences"/>
    <n v="1"/>
    <n v="1525"/>
    <n v="2"/>
    <x v="0"/>
    <n v="32"/>
    <x v="0"/>
    <n v="3"/>
    <x v="3"/>
    <n v="2"/>
    <x v="0"/>
    <n v="8376"/>
    <n v="9150"/>
    <n v="4"/>
    <s v="Y"/>
    <s v="No"/>
    <n v="18"/>
    <x v="0"/>
    <n v="4"/>
    <n v="80"/>
    <x v="0"/>
    <n v="9"/>
    <x v="1"/>
    <n v="3"/>
    <n v="2"/>
    <n v="0"/>
    <n v="2"/>
    <n v="2"/>
  </r>
  <r>
    <n v="46"/>
    <x v="1"/>
    <x v="0"/>
    <n v="228"/>
    <x v="0"/>
    <n v="3"/>
    <n v="3"/>
    <s v="Life Sciences"/>
    <n v="1"/>
    <n v="1527"/>
    <n v="3"/>
    <x v="0"/>
    <n v="51"/>
    <x v="0"/>
    <n v="4"/>
    <x v="5"/>
    <n v="2"/>
    <x v="1"/>
    <n v="16606"/>
    <n v="11380"/>
    <n v="8"/>
    <s v="Y"/>
    <s v="No"/>
    <n v="12"/>
    <x v="0"/>
    <n v="4"/>
    <n v="80"/>
    <x v="1"/>
    <n v="23"/>
    <x v="2"/>
    <n v="4"/>
    <n v="13"/>
    <n v="12"/>
    <n v="5"/>
    <n v="1"/>
  </r>
  <r>
    <n v="35"/>
    <x v="1"/>
    <x v="0"/>
    <n v="1029"/>
    <x v="1"/>
    <n v="16"/>
    <n v="3"/>
    <s v="Life Sciences"/>
    <n v="1"/>
    <n v="1529"/>
    <n v="4"/>
    <x v="0"/>
    <n v="91"/>
    <x v="1"/>
    <n v="3"/>
    <x v="4"/>
    <n v="2"/>
    <x v="0"/>
    <n v="8606"/>
    <n v="21195"/>
    <n v="1"/>
    <s v="Y"/>
    <s v="No"/>
    <n v="19"/>
    <x v="0"/>
    <n v="4"/>
    <n v="80"/>
    <x v="0"/>
    <n v="11"/>
    <x v="1"/>
    <n v="1"/>
    <n v="11"/>
    <n v="8"/>
    <n v="3"/>
    <n v="3"/>
  </r>
  <r>
    <n v="23"/>
    <x v="1"/>
    <x v="0"/>
    <n v="507"/>
    <x v="1"/>
    <n v="20"/>
    <n v="1"/>
    <s v="Life Sciences"/>
    <n v="1"/>
    <n v="1533"/>
    <n v="1"/>
    <x v="1"/>
    <n v="97"/>
    <x v="0"/>
    <n v="2"/>
    <x v="2"/>
    <n v="3"/>
    <x v="0"/>
    <n v="2272"/>
    <n v="24812"/>
    <n v="0"/>
    <s v="Y"/>
    <s v="No"/>
    <n v="14"/>
    <x v="0"/>
    <n v="2"/>
    <n v="80"/>
    <x v="0"/>
    <n v="5"/>
    <x v="2"/>
    <n v="3"/>
    <n v="4"/>
    <n v="3"/>
    <n v="1"/>
    <n v="2"/>
  </r>
  <r>
    <n v="40"/>
    <x v="0"/>
    <x v="0"/>
    <n v="676"/>
    <x v="1"/>
    <n v="9"/>
    <n v="4"/>
    <s v="Life Sciences"/>
    <n v="1"/>
    <n v="1534"/>
    <n v="4"/>
    <x v="1"/>
    <n v="86"/>
    <x v="0"/>
    <n v="1"/>
    <x v="2"/>
    <n v="1"/>
    <x v="0"/>
    <n v="2018"/>
    <n v="21831"/>
    <n v="3"/>
    <s v="Y"/>
    <s v="No"/>
    <n v="14"/>
    <x v="0"/>
    <n v="2"/>
    <n v="80"/>
    <x v="0"/>
    <n v="15"/>
    <x v="1"/>
    <n v="1"/>
    <n v="5"/>
    <n v="4"/>
    <n v="1"/>
    <n v="0"/>
  </r>
  <r>
    <n v="34"/>
    <x v="1"/>
    <x v="0"/>
    <n v="971"/>
    <x v="0"/>
    <n v="1"/>
    <n v="3"/>
    <s v="Technical Degree"/>
    <n v="1"/>
    <n v="1535"/>
    <n v="4"/>
    <x v="1"/>
    <n v="64"/>
    <x v="1"/>
    <n v="3"/>
    <x v="0"/>
    <n v="3"/>
    <x v="1"/>
    <n v="7083"/>
    <n v="12288"/>
    <n v="1"/>
    <s v="Y"/>
    <s v="Yes"/>
    <n v="14"/>
    <x v="0"/>
    <n v="4"/>
    <n v="80"/>
    <x v="0"/>
    <n v="10"/>
    <x v="1"/>
    <n v="3"/>
    <n v="10"/>
    <n v="9"/>
    <n v="8"/>
    <n v="6"/>
  </r>
  <r>
    <n v="31"/>
    <x v="0"/>
    <x v="1"/>
    <n v="561"/>
    <x v="1"/>
    <n v="3"/>
    <n v="3"/>
    <s v="Life Sciences"/>
    <n v="1"/>
    <n v="1537"/>
    <n v="4"/>
    <x v="0"/>
    <n v="33"/>
    <x v="0"/>
    <n v="1"/>
    <x v="1"/>
    <n v="3"/>
    <x v="0"/>
    <n v="4084"/>
    <n v="4156"/>
    <n v="1"/>
    <s v="Y"/>
    <s v="No"/>
    <n v="12"/>
    <x v="0"/>
    <n v="1"/>
    <n v="80"/>
    <x v="0"/>
    <n v="7"/>
    <x v="2"/>
    <n v="1"/>
    <n v="7"/>
    <n v="2"/>
    <n v="7"/>
    <n v="7"/>
  </r>
  <r>
    <n v="50"/>
    <x v="1"/>
    <x v="1"/>
    <n v="333"/>
    <x v="1"/>
    <n v="22"/>
    <n v="5"/>
    <s v="Medical"/>
    <n v="1"/>
    <n v="1539"/>
    <n v="3"/>
    <x v="1"/>
    <n v="88"/>
    <x v="3"/>
    <n v="4"/>
    <x v="7"/>
    <n v="4"/>
    <x v="0"/>
    <n v="14411"/>
    <n v="24450"/>
    <n v="1"/>
    <s v="Y"/>
    <s v="Yes"/>
    <n v="13"/>
    <x v="0"/>
    <n v="4"/>
    <n v="80"/>
    <x v="0"/>
    <n v="32"/>
    <x v="2"/>
    <n v="3"/>
    <n v="32"/>
    <n v="6"/>
    <n v="13"/>
    <n v="9"/>
  </r>
  <r>
    <n v="34"/>
    <x v="1"/>
    <x v="0"/>
    <n v="1440"/>
    <x v="0"/>
    <n v="7"/>
    <n v="2"/>
    <s v="Technical Degree"/>
    <n v="1"/>
    <n v="1541"/>
    <n v="2"/>
    <x v="1"/>
    <n v="55"/>
    <x v="0"/>
    <n v="1"/>
    <x v="6"/>
    <n v="3"/>
    <x v="1"/>
    <n v="2308"/>
    <n v="4944"/>
    <n v="0"/>
    <s v="Y"/>
    <s v="Yes"/>
    <n v="25"/>
    <x v="1"/>
    <n v="2"/>
    <n v="80"/>
    <x v="1"/>
    <n v="12"/>
    <x v="5"/>
    <n v="3"/>
    <n v="11"/>
    <n v="10"/>
    <n v="5"/>
    <n v="7"/>
  </r>
  <r>
    <n v="42"/>
    <x v="1"/>
    <x v="0"/>
    <n v="1210"/>
    <x v="1"/>
    <n v="2"/>
    <n v="3"/>
    <s v="Medical"/>
    <n v="1"/>
    <n v="1542"/>
    <n v="3"/>
    <x v="1"/>
    <n v="68"/>
    <x v="1"/>
    <n v="1"/>
    <x v="2"/>
    <n v="2"/>
    <x v="1"/>
    <n v="4841"/>
    <n v="24052"/>
    <n v="4"/>
    <s v="Y"/>
    <s v="No"/>
    <n v="14"/>
    <x v="0"/>
    <n v="2"/>
    <n v="80"/>
    <x v="1"/>
    <n v="4"/>
    <x v="1"/>
    <n v="3"/>
    <n v="1"/>
    <n v="0"/>
    <n v="0"/>
    <n v="0"/>
  </r>
  <r>
    <n v="37"/>
    <x v="1"/>
    <x v="0"/>
    <n v="674"/>
    <x v="1"/>
    <n v="13"/>
    <n v="3"/>
    <s v="Medical"/>
    <n v="1"/>
    <n v="1543"/>
    <n v="1"/>
    <x v="1"/>
    <n v="47"/>
    <x v="0"/>
    <n v="2"/>
    <x v="1"/>
    <n v="4"/>
    <x v="1"/>
    <n v="4285"/>
    <n v="3031"/>
    <n v="1"/>
    <s v="Y"/>
    <s v="No"/>
    <n v="17"/>
    <x v="0"/>
    <n v="1"/>
    <n v="80"/>
    <x v="0"/>
    <n v="10"/>
    <x v="2"/>
    <n v="3"/>
    <n v="10"/>
    <n v="8"/>
    <n v="3"/>
    <n v="7"/>
  </r>
  <r>
    <n v="29"/>
    <x v="1"/>
    <x v="0"/>
    <n v="441"/>
    <x v="1"/>
    <n v="8"/>
    <n v="1"/>
    <s v="Other"/>
    <n v="1"/>
    <n v="1544"/>
    <n v="3"/>
    <x v="0"/>
    <n v="39"/>
    <x v="3"/>
    <n v="2"/>
    <x v="4"/>
    <n v="1"/>
    <x v="1"/>
    <n v="9715"/>
    <n v="7288"/>
    <n v="3"/>
    <s v="Y"/>
    <s v="No"/>
    <n v="13"/>
    <x v="0"/>
    <n v="3"/>
    <n v="80"/>
    <x v="1"/>
    <n v="9"/>
    <x v="1"/>
    <n v="3"/>
    <n v="7"/>
    <n v="7"/>
    <n v="0"/>
    <n v="7"/>
  </r>
  <r>
    <n v="33"/>
    <x v="1"/>
    <x v="0"/>
    <n v="575"/>
    <x v="1"/>
    <n v="25"/>
    <n v="3"/>
    <s v="Life Sciences"/>
    <n v="1"/>
    <n v="1545"/>
    <n v="4"/>
    <x v="1"/>
    <n v="44"/>
    <x v="1"/>
    <n v="2"/>
    <x v="3"/>
    <n v="2"/>
    <x v="0"/>
    <n v="4320"/>
    <n v="24152"/>
    <n v="1"/>
    <s v="Y"/>
    <s v="No"/>
    <n v="13"/>
    <x v="0"/>
    <n v="4"/>
    <n v="80"/>
    <x v="0"/>
    <n v="5"/>
    <x v="2"/>
    <n v="3"/>
    <n v="5"/>
    <n v="3"/>
    <n v="0"/>
    <n v="2"/>
  </r>
  <r>
    <n v="45"/>
    <x v="1"/>
    <x v="0"/>
    <n v="950"/>
    <x v="1"/>
    <n v="28"/>
    <n v="3"/>
    <s v="Technical Degree"/>
    <n v="1"/>
    <n v="1546"/>
    <n v="4"/>
    <x v="1"/>
    <n v="97"/>
    <x v="0"/>
    <n v="1"/>
    <x v="1"/>
    <n v="4"/>
    <x v="1"/>
    <n v="2132"/>
    <n v="4585"/>
    <n v="4"/>
    <s v="Y"/>
    <s v="No"/>
    <n v="20"/>
    <x v="1"/>
    <n v="4"/>
    <n v="80"/>
    <x v="1"/>
    <n v="8"/>
    <x v="1"/>
    <n v="3"/>
    <n v="5"/>
    <n v="4"/>
    <n v="0"/>
    <n v="3"/>
  </r>
  <r>
    <n v="42"/>
    <x v="1"/>
    <x v="1"/>
    <n v="288"/>
    <x v="1"/>
    <n v="2"/>
    <n v="3"/>
    <s v="Life Sciences"/>
    <n v="1"/>
    <n v="1547"/>
    <n v="4"/>
    <x v="1"/>
    <n v="40"/>
    <x v="0"/>
    <n v="3"/>
    <x v="4"/>
    <n v="4"/>
    <x v="1"/>
    <n v="10124"/>
    <n v="18611"/>
    <n v="2"/>
    <s v="Y"/>
    <s v="Yes"/>
    <n v="14"/>
    <x v="0"/>
    <n v="3"/>
    <n v="80"/>
    <x v="1"/>
    <n v="24"/>
    <x v="1"/>
    <n v="1"/>
    <n v="20"/>
    <n v="8"/>
    <n v="13"/>
    <n v="9"/>
  </r>
  <r>
    <n v="40"/>
    <x v="1"/>
    <x v="0"/>
    <n v="1342"/>
    <x v="0"/>
    <n v="9"/>
    <n v="2"/>
    <s v="Medical"/>
    <n v="1"/>
    <n v="1548"/>
    <n v="1"/>
    <x v="1"/>
    <n v="47"/>
    <x v="0"/>
    <n v="2"/>
    <x v="0"/>
    <n v="1"/>
    <x v="1"/>
    <n v="5473"/>
    <n v="19345"/>
    <n v="0"/>
    <s v="Y"/>
    <s v="No"/>
    <n v="12"/>
    <x v="0"/>
    <n v="4"/>
    <n v="80"/>
    <x v="0"/>
    <n v="9"/>
    <x v="3"/>
    <n v="4"/>
    <n v="8"/>
    <n v="4"/>
    <n v="7"/>
    <n v="1"/>
  </r>
  <r>
    <n v="33"/>
    <x v="1"/>
    <x v="0"/>
    <n v="589"/>
    <x v="1"/>
    <n v="28"/>
    <n v="4"/>
    <s v="Life Sciences"/>
    <n v="1"/>
    <n v="1549"/>
    <n v="2"/>
    <x v="1"/>
    <n v="79"/>
    <x v="0"/>
    <n v="2"/>
    <x v="2"/>
    <n v="3"/>
    <x v="1"/>
    <n v="5207"/>
    <n v="22949"/>
    <n v="1"/>
    <s v="Y"/>
    <s v="Yes"/>
    <n v="12"/>
    <x v="0"/>
    <n v="2"/>
    <n v="80"/>
    <x v="1"/>
    <n v="15"/>
    <x v="1"/>
    <n v="3"/>
    <n v="15"/>
    <n v="14"/>
    <n v="5"/>
    <n v="7"/>
  </r>
  <r>
    <n v="40"/>
    <x v="1"/>
    <x v="0"/>
    <n v="898"/>
    <x v="2"/>
    <n v="6"/>
    <n v="2"/>
    <s v="Medical"/>
    <n v="1"/>
    <n v="1550"/>
    <n v="3"/>
    <x v="1"/>
    <n v="38"/>
    <x v="0"/>
    <n v="4"/>
    <x v="5"/>
    <n v="4"/>
    <x v="0"/>
    <n v="16437"/>
    <n v="17381"/>
    <n v="1"/>
    <s v="Y"/>
    <s v="Yes"/>
    <n v="21"/>
    <x v="1"/>
    <n v="4"/>
    <n v="80"/>
    <x v="0"/>
    <n v="21"/>
    <x v="2"/>
    <n v="3"/>
    <n v="21"/>
    <n v="7"/>
    <n v="7"/>
    <n v="7"/>
  </r>
  <r>
    <n v="24"/>
    <x v="1"/>
    <x v="0"/>
    <n v="350"/>
    <x v="1"/>
    <n v="21"/>
    <n v="2"/>
    <s v="Technical Degree"/>
    <n v="1"/>
    <n v="1551"/>
    <n v="3"/>
    <x v="1"/>
    <n v="57"/>
    <x v="1"/>
    <n v="1"/>
    <x v="2"/>
    <n v="1"/>
    <x v="2"/>
    <n v="2296"/>
    <n v="10036"/>
    <n v="0"/>
    <s v="Y"/>
    <s v="No"/>
    <n v="14"/>
    <x v="0"/>
    <n v="2"/>
    <n v="80"/>
    <x v="2"/>
    <n v="2"/>
    <x v="1"/>
    <n v="3"/>
    <n v="1"/>
    <n v="1"/>
    <n v="0"/>
    <n v="0"/>
  </r>
  <r>
    <n v="40"/>
    <x v="1"/>
    <x v="2"/>
    <n v="1142"/>
    <x v="1"/>
    <n v="8"/>
    <n v="2"/>
    <s v="Life Sciences"/>
    <n v="1"/>
    <n v="1552"/>
    <n v="4"/>
    <x v="1"/>
    <n v="72"/>
    <x v="0"/>
    <n v="2"/>
    <x v="4"/>
    <n v="4"/>
    <x v="2"/>
    <n v="4069"/>
    <n v="8841"/>
    <n v="3"/>
    <s v="Y"/>
    <s v="Yes"/>
    <n v="18"/>
    <x v="0"/>
    <n v="3"/>
    <n v="80"/>
    <x v="0"/>
    <n v="8"/>
    <x v="2"/>
    <n v="3"/>
    <n v="2"/>
    <n v="2"/>
    <n v="2"/>
    <n v="2"/>
  </r>
  <r>
    <n v="45"/>
    <x v="1"/>
    <x v="0"/>
    <n v="538"/>
    <x v="1"/>
    <n v="1"/>
    <n v="4"/>
    <s v="Technical Degree"/>
    <n v="1"/>
    <n v="1553"/>
    <n v="1"/>
    <x v="1"/>
    <n v="66"/>
    <x v="0"/>
    <n v="3"/>
    <x v="4"/>
    <n v="2"/>
    <x v="2"/>
    <n v="7441"/>
    <n v="20933"/>
    <n v="1"/>
    <s v="Y"/>
    <s v="No"/>
    <n v="12"/>
    <x v="0"/>
    <n v="1"/>
    <n v="80"/>
    <x v="2"/>
    <n v="10"/>
    <x v="5"/>
    <n v="3"/>
    <n v="10"/>
    <n v="8"/>
    <n v="7"/>
    <n v="7"/>
  </r>
  <r>
    <n v="35"/>
    <x v="1"/>
    <x v="0"/>
    <n v="1402"/>
    <x v="0"/>
    <n v="28"/>
    <n v="4"/>
    <s v="Life Sciences"/>
    <n v="1"/>
    <n v="1554"/>
    <n v="2"/>
    <x v="0"/>
    <n v="98"/>
    <x v="1"/>
    <n v="1"/>
    <x v="6"/>
    <n v="3"/>
    <x v="1"/>
    <n v="2430"/>
    <n v="26204"/>
    <n v="0"/>
    <s v="Y"/>
    <s v="No"/>
    <n v="23"/>
    <x v="1"/>
    <n v="1"/>
    <n v="80"/>
    <x v="3"/>
    <n v="6"/>
    <x v="3"/>
    <n v="3"/>
    <n v="5"/>
    <n v="3"/>
    <n v="4"/>
    <n v="2"/>
  </r>
  <r>
    <n v="32"/>
    <x v="1"/>
    <x v="0"/>
    <n v="824"/>
    <x v="1"/>
    <n v="5"/>
    <n v="2"/>
    <s v="Life Sciences"/>
    <n v="1"/>
    <n v="1555"/>
    <n v="4"/>
    <x v="0"/>
    <n v="67"/>
    <x v="1"/>
    <n v="2"/>
    <x v="1"/>
    <n v="2"/>
    <x v="1"/>
    <n v="5878"/>
    <n v="15624"/>
    <n v="3"/>
    <s v="Y"/>
    <s v="No"/>
    <n v="12"/>
    <x v="0"/>
    <n v="1"/>
    <n v="80"/>
    <x v="1"/>
    <n v="12"/>
    <x v="2"/>
    <n v="3"/>
    <n v="7"/>
    <n v="1"/>
    <n v="2"/>
    <n v="5"/>
  </r>
  <r>
    <n v="36"/>
    <x v="1"/>
    <x v="0"/>
    <n v="1157"/>
    <x v="0"/>
    <n v="2"/>
    <n v="4"/>
    <s v="Life Sciences"/>
    <n v="1"/>
    <n v="1556"/>
    <n v="3"/>
    <x v="1"/>
    <n v="70"/>
    <x v="0"/>
    <n v="1"/>
    <x v="6"/>
    <n v="4"/>
    <x v="0"/>
    <n v="2644"/>
    <n v="17001"/>
    <n v="3"/>
    <s v="Y"/>
    <s v="Yes"/>
    <n v="21"/>
    <x v="1"/>
    <n v="4"/>
    <n v="80"/>
    <x v="0"/>
    <n v="7"/>
    <x v="1"/>
    <n v="2"/>
    <n v="3"/>
    <n v="2"/>
    <n v="1"/>
    <n v="2"/>
  </r>
  <r>
    <n v="48"/>
    <x v="1"/>
    <x v="0"/>
    <n v="492"/>
    <x v="0"/>
    <n v="16"/>
    <n v="4"/>
    <s v="Life Sciences"/>
    <n v="1"/>
    <n v="1557"/>
    <n v="3"/>
    <x v="0"/>
    <n v="96"/>
    <x v="0"/>
    <n v="2"/>
    <x v="0"/>
    <n v="3"/>
    <x v="2"/>
    <n v="6439"/>
    <n v="13693"/>
    <n v="8"/>
    <s v="Y"/>
    <s v="No"/>
    <n v="14"/>
    <x v="0"/>
    <n v="3"/>
    <n v="80"/>
    <x v="1"/>
    <n v="18"/>
    <x v="2"/>
    <n v="3"/>
    <n v="8"/>
    <n v="7"/>
    <n v="7"/>
    <n v="7"/>
  </r>
  <r>
    <n v="29"/>
    <x v="1"/>
    <x v="0"/>
    <n v="598"/>
    <x v="1"/>
    <n v="9"/>
    <n v="3"/>
    <s v="Life Sciences"/>
    <n v="1"/>
    <n v="1558"/>
    <n v="3"/>
    <x v="1"/>
    <n v="91"/>
    <x v="2"/>
    <n v="1"/>
    <x v="1"/>
    <n v="3"/>
    <x v="1"/>
    <n v="2451"/>
    <n v="22376"/>
    <n v="6"/>
    <s v="Y"/>
    <s v="No"/>
    <n v="18"/>
    <x v="0"/>
    <n v="1"/>
    <n v="80"/>
    <x v="3"/>
    <n v="5"/>
    <x v="2"/>
    <n v="2"/>
    <n v="1"/>
    <n v="0"/>
    <n v="0"/>
    <n v="0"/>
  </r>
  <r>
    <n v="33"/>
    <x v="1"/>
    <x v="0"/>
    <n v="1242"/>
    <x v="0"/>
    <n v="8"/>
    <n v="4"/>
    <s v="Life Sciences"/>
    <n v="1"/>
    <n v="1560"/>
    <n v="1"/>
    <x v="1"/>
    <n v="46"/>
    <x v="0"/>
    <n v="2"/>
    <x v="0"/>
    <n v="1"/>
    <x v="1"/>
    <n v="6392"/>
    <n v="10589"/>
    <n v="2"/>
    <s v="Y"/>
    <s v="No"/>
    <n v="13"/>
    <x v="0"/>
    <n v="4"/>
    <n v="80"/>
    <x v="1"/>
    <n v="8"/>
    <x v="6"/>
    <n v="1"/>
    <n v="2"/>
    <n v="2"/>
    <n v="2"/>
    <n v="2"/>
  </r>
  <r>
    <n v="30"/>
    <x v="0"/>
    <x v="0"/>
    <n v="740"/>
    <x v="0"/>
    <n v="1"/>
    <n v="3"/>
    <s v="Life Sciences"/>
    <n v="1"/>
    <n v="1562"/>
    <n v="2"/>
    <x v="1"/>
    <n v="64"/>
    <x v="1"/>
    <n v="2"/>
    <x v="0"/>
    <n v="1"/>
    <x v="1"/>
    <n v="9714"/>
    <n v="5323"/>
    <n v="1"/>
    <s v="Y"/>
    <s v="No"/>
    <n v="11"/>
    <x v="0"/>
    <n v="4"/>
    <n v="80"/>
    <x v="1"/>
    <n v="10"/>
    <x v="5"/>
    <n v="3"/>
    <n v="10"/>
    <n v="8"/>
    <n v="6"/>
    <n v="7"/>
  </r>
  <r>
    <n v="38"/>
    <x v="1"/>
    <x v="1"/>
    <n v="888"/>
    <x v="2"/>
    <n v="10"/>
    <n v="4"/>
    <s v="Human Resources"/>
    <n v="1"/>
    <n v="1563"/>
    <n v="3"/>
    <x v="1"/>
    <n v="71"/>
    <x v="0"/>
    <n v="2"/>
    <x v="8"/>
    <n v="3"/>
    <x v="1"/>
    <n v="6077"/>
    <n v="14814"/>
    <n v="3"/>
    <s v="Y"/>
    <s v="No"/>
    <n v="11"/>
    <x v="0"/>
    <n v="3"/>
    <n v="80"/>
    <x v="0"/>
    <n v="10"/>
    <x v="2"/>
    <n v="3"/>
    <n v="6"/>
    <n v="3"/>
    <n v="1"/>
    <n v="2"/>
  </r>
  <r>
    <n v="35"/>
    <x v="1"/>
    <x v="0"/>
    <n v="992"/>
    <x v="1"/>
    <n v="1"/>
    <n v="3"/>
    <s v="Medical"/>
    <n v="1"/>
    <n v="1564"/>
    <n v="4"/>
    <x v="1"/>
    <n v="68"/>
    <x v="1"/>
    <n v="1"/>
    <x v="2"/>
    <n v="1"/>
    <x v="0"/>
    <n v="2450"/>
    <n v="21731"/>
    <n v="1"/>
    <s v="Y"/>
    <s v="No"/>
    <n v="19"/>
    <x v="0"/>
    <n v="2"/>
    <n v="80"/>
    <x v="0"/>
    <n v="3"/>
    <x v="1"/>
    <n v="3"/>
    <n v="3"/>
    <n v="0"/>
    <n v="1"/>
    <n v="2"/>
  </r>
  <r>
    <n v="30"/>
    <x v="1"/>
    <x v="0"/>
    <n v="1288"/>
    <x v="0"/>
    <n v="29"/>
    <n v="4"/>
    <s v="Technical Degree"/>
    <n v="1"/>
    <n v="1568"/>
    <n v="3"/>
    <x v="1"/>
    <n v="33"/>
    <x v="0"/>
    <n v="3"/>
    <x v="0"/>
    <n v="2"/>
    <x v="1"/>
    <n v="9250"/>
    <n v="17799"/>
    <n v="3"/>
    <s v="Y"/>
    <s v="No"/>
    <n v="12"/>
    <x v="0"/>
    <n v="2"/>
    <n v="80"/>
    <x v="1"/>
    <n v="9"/>
    <x v="1"/>
    <n v="3"/>
    <n v="4"/>
    <n v="2"/>
    <n v="1"/>
    <n v="3"/>
  </r>
  <r>
    <n v="35"/>
    <x v="0"/>
    <x v="0"/>
    <n v="104"/>
    <x v="1"/>
    <n v="2"/>
    <n v="3"/>
    <s v="Life Sciences"/>
    <n v="1"/>
    <n v="1569"/>
    <n v="1"/>
    <x v="0"/>
    <n v="69"/>
    <x v="0"/>
    <n v="1"/>
    <x v="2"/>
    <n v="1"/>
    <x v="2"/>
    <n v="2074"/>
    <n v="26619"/>
    <n v="1"/>
    <s v="Y"/>
    <s v="Yes"/>
    <n v="12"/>
    <x v="0"/>
    <n v="4"/>
    <n v="80"/>
    <x v="1"/>
    <n v="1"/>
    <x v="2"/>
    <n v="3"/>
    <n v="1"/>
    <n v="0"/>
    <n v="0"/>
    <n v="0"/>
  </r>
  <r>
    <n v="53"/>
    <x v="0"/>
    <x v="0"/>
    <n v="607"/>
    <x v="1"/>
    <n v="2"/>
    <n v="5"/>
    <s v="Technical Degree"/>
    <n v="1"/>
    <n v="1572"/>
    <n v="3"/>
    <x v="0"/>
    <n v="78"/>
    <x v="1"/>
    <n v="3"/>
    <x v="3"/>
    <n v="4"/>
    <x v="1"/>
    <n v="10169"/>
    <n v="14618"/>
    <n v="0"/>
    <s v="Y"/>
    <s v="No"/>
    <n v="16"/>
    <x v="0"/>
    <n v="2"/>
    <n v="80"/>
    <x v="1"/>
    <n v="34"/>
    <x v="5"/>
    <n v="3"/>
    <n v="33"/>
    <n v="7"/>
    <n v="1"/>
    <n v="9"/>
  </r>
  <r>
    <n v="38"/>
    <x v="0"/>
    <x v="0"/>
    <n v="903"/>
    <x v="1"/>
    <n v="2"/>
    <n v="3"/>
    <s v="Medical"/>
    <n v="1"/>
    <n v="1573"/>
    <n v="3"/>
    <x v="1"/>
    <n v="81"/>
    <x v="0"/>
    <n v="2"/>
    <x v="3"/>
    <n v="2"/>
    <x v="1"/>
    <n v="4855"/>
    <n v="7653"/>
    <n v="4"/>
    <s v="Y"/>
    <s v="No"/>
    <n v="11"/>
    <x v="0"/>
    <n v="1"/>
    <n v="80"/>
    <x v="3"/>
    <n v="7"/>
    <x v="2"/>
    <n v="3"/>
    <n v="5"/>
    <n v="2"/>
    <n v="1"/>
    <n v="4"/>
  </r>
  <r>
    <n v="32"/>
    <x v="1"/>
    <x v="2"/>
    <n v="1200"/>
    <x v="1"/>
    <n v="1"/>
    <n v="4"/>
    <s v="Technical Degree"/>
    <n v="1"/>
    <n v="1574"/>
    <n v="4"/>
    <x v="1"/>
    <n v="62"/>
    <x v="0"/>
    <n v="2"/>
    <x v="1"/>
    <n v="1"/>
    <x v="1"/>
    <n v="4087"/>
    <n v="25174"/>
    <n v="4"/>
    <s v="Y"/>
    <s v="No"/>
    <n v="14"/>
    <x v="0"/>
    <n v="2"/>
    <n v="80"/>
    <x v="1"/>
    <n v="9"/>
    <x v="1"/>
    <n v="2"/>
    <n v="6"/>
    <n v="5"/>
    <n v="1"/>
    <n v="2"/>
  </r>
  <r>
    <n v="48"/>
    <x v="1"/>
    <x v="0"/>
    <n v="1108"/>
    <x v="1"/>
    <n v="15"/>
    <n v="4"/>
    <s v="Other"/>
    <n v="1"/>
    <n v="1576"/>
    <n v="3"/>
    <x v="0"/>
    <n v="65"/>
    <x v="0"/>
    <n v="1"/>
    <x v="1"/>
    <n v="1"/>
    <x v="1"/>
    <n v="2367"/>
    <n v="16530"/>
    <n v="8"/>
    <s v="Y"/>
    <s v="No"/>
    <n v="12"/>
    <x v="0"/>
    <n v="4"/>
    <n v="80"/>
    <x v="1"/>
    <n v="10"/>
    <x v="1"/>
    <n v="2"/>
    <n v="8"/>
    <n v="2"/>
    <n v="7"/>
    <n v="6"/>
  </r>
  <r>
    <n v="34"/>
    <x v="1"/>
    <x v="0"/>
    <n v="479"/>
    <x v="1"/>
    <n v="7"/>
    <n v="4"/>
    <s v="Medical"/>
    <n v="1"/>
    <n v="1577"/>
    <n v="1"/>
    <x v="1"/>
    <n v="35"/>
    <x v="0"/>
    <n v="1"/>
    <x v="1"/>
    <n v="4"/>
    <x v="0"/>
    <n v="2972"/>
    <n v="22061"/>
    <n v="1"/>
    <s v="Y"/>
    <s v="No"/>
    <n v="13"/>
    <x v="0"/>
    <n v="3"/>
    <n v="80"/>
    <x v="0"/>
    <n v="1"/>
    <x v="5"/>
    <n v="1"/>
    <n v="1"/>
    <n v="0"/>
    <n v="0"/>
    <n v="0"/>
  </r>
  <r>
    <n v="55"/>
    <x v="1"/>
    <x v="0"/>
    <n v="685"/>
    <x v="0"/>
    <n v="26"/>
    <n v="5"/>
    <s v="Marketing"/>
    <n v="1"/>
    <n v="1578"/>
    <n v="3"/>
    <x v="1"/>
    <n v="60"/>
    <x v="1"/>
    <n v="5"/>
    <x v="5"/>
    <n v="4"/>
    <x v="1"/>
    <n v="19586"/>
    <n v="23037"/>
    <n v="1"/>
    <s v="Y"/>
    <s v="No"/>
    <n v="21"/>
    <x v="1"/>
    <n v="3"/>
    <n v="80"/>
    <x v="1"/>
    <n v="36"/>
    <x v="1"/>
    <n v="3"/>
    <n v="36"/>
    <n v="6"/>
    <n v="2"/>
    <n v="13"/>
  </r>
  <r>
    <n v="34"/>
    <x v="1"/>
    <x v="0"/>
    <n v="1351"/>
    <x v="1"/>
    <n v="1"/>
    <n v="4"/>
    <s v="Life Sciences"/>
    <n v="1"/>
    <n v="1580"/>
    <n v="2"/>
    <x v="1"/>
    <n v="45"/>
    <x v="0"/>
    <n v="2"/>
    <x v="1"/>
    <n v="4"/>
    <x v="1"/>
    <n v="5484"/>
    <n v="13008"/>
    <n v="9"/>
    <s v="Y"/>
    <s v="No"/>
    <n v="17"/>
    <x v="0"/>
    <n v="2"/>
    <n v="80"/>
    <x v="1"/>
    <n v="9"/>
    <x v="1"/>
    <n v="2"/>
    <n v="2"/>
    <n v="2"/>
    <n v="2"/>
    <n v="1"/>
  </r>
  <r>
    <n v="26"/>
    <x v="1"/>
    <x v="0"/>
    <n v="474"/>
    <x v="1"/>
    <n v="3"/>
    <n v="3"/>
    <s v="Life Sciences"/>
    <n v="1"/>
    <n v="1581"/>
    <n v="1"/>
    <x v="0"/>
    <n v="89"/>
    <x v="0"/>
    <n v="1"/>
    <x v="1"/>
    <n v="4"/>
    <x v="1"/>
    <n v="2061"/>
    <n v="11133"/>
    <n v="1"/>
    <s v="Y"/>
    <s v="No"/>
    <n v="21"/>
    <x v="1"/>
    <n v="1"/>
    <n v="80"/>
    <x v="0"/>
    <n v="1"/>
    <x v="3"/>
    <n v="3"/>
    <n v="1"/>
    <n v="0"/>
    <n v="0"/>
    <n v="0"/>
  </r>
  <r>
    <n v="38"/>
    <x v="1"/>
    <x v="0"/>
    <n v="1245"/>
    <x v="0"/>
    <n v="14"/>
    <n v="3"/>
    <s v="Life Sciences"/>
    <n v="1"/>
    <n v="1582"/>
    <n v="3"/>
    <x v="1"/>
    <n v="80"/>
    <x v="0"/>
    <n v="2"/>
    <x v="0"/>
    <n v="2"/>
    <x v="1"/>
    <n v="9924"/>
    <n v="12355"/>
    <n v="0"/>
    <s v="Y"/>
    <s v="No"/>
    <n v="11"/>
    <x v="0"/>
    <n v="4"/>
    <n v="80"/>
    <x v="1"/>
    <n v="10"/>
    <x v="1"/>
    <n v="3"/>
    <n v="9"/>
    <n v="8"/>
    <n v="7"/>
    <n v="7"/>
  </r>
  <r>
    <n v="38"/>
    <x v="1"/>
    <x v="0"/>
    <n v="437"/>
    <x v="0"/>
    <n v="16"/>
    <n v="3"/>
    <s v="Life Sciences"/>
    <n v="1"/>
    <n v="1583"/>
    <n v="2"/>
    <x v="0"/>
    <n v="90"/>
    <x v="0"/>
    <n v="2"/>
    <x v="0"/>
    <n v="2"/>
    <x v="0"/>
    <n v="4198"/>
    <n v="16379"/>
    <n v="2"/>
    <s v="Y"/>
    <s v="No"/>
    <n v="12"/>
    <x v="0"/>
    <n v="2"/>
    <n v="80"/>
    <x v="0"/>
    <n v="8"/>
    <x v="3"/>
    <n v="4"/>
    <n v="3"/>
    <n v="2"/>
    <n v="1"/>
    <n v="2"/>
  </r>
  <r>
    <n v="36"/>
    <x v="1"/>
    <x v="0"/>
    <n v="884"/>
    <x v="0"/>
    <n v="1"/>
    <n v="4"/>
    <s v="Life Sciences"/>
    <n v="1"/>
    <n v="1585"/>
    <n v="2"/>
    <x v="0"/>
    <n v="73"/>
    <x v="0"/>
    <n v="2"/>
    <x v="0"/>
    <n v="3"/>
    <x v="0"/>
    <n v="6815"/>
    <n v="21447"/>
    <n v="6"/>
    <s v="Y"/>
    <s v="No"/>
    <n v="13"/>
    <x v="0"/>
    <n v="1"/>
    <n v="80"/>
    <x v="0"/>
    <n v="15"/>
    <x v="3"/>
    <n v="3"/>
    <n v="1"/>
    <n v="0"/>
    <n v="0"/>
    <n v="0"/>
  </r>
  <r>
    <n v="29"/>
    <x v="1"/>
    <x v="0"/>
    <n v="1370"/>
    <x v="1"/>
    <n v="3"/>
    <n v="1"/>
    <s v="Medical"/>
    <n v="1"/>
    <n v="1586"/>
    <n v="2"/>
    <x v="1"/>
    <n v="87"/>
    <x v="0"/>
    <n v="1"/>
    <x v="2"/>
    <n v="1"/>
    <x v="0"/>
    <n v="4723"/>
    <n v="16213"/>
    <n v="1"/>
    <s v="Y"/>
    <s v="Yes"/>
    <n v="18"/>
    <x v="0"/>
    <n v="4"/>
    <n v="80"/>
    <x v="0"/>
    <n v="10"/>
    <x v="1"/>
    <n v="3"/>
    <n v="10"/>
    <n v="9"/>
    <n v="1"/>
    <n v="5"/>
  </r>
  <r>
    <n v="35"/>
    <x v="1"/>
    <x v="0"/>
    <n v="670"/>
    <x v="1"/>
    <n v="10"/>
    <n v="4"/>
    <s v="Medical"/>
    <n v="1"/>
    <n v="1587"/>
    <n v="1"/>
    <x v="0"/>
    <n v="51"/>
    <x v="0"/>
    <n v="2"/>
    <x v="4"/>
    <n v="3"/>
    <x v="0"/>
    <n v="6142"/>
    <n v="4223"/>
    <n v="3"/>
    <s v="Y"/>
    <s v="Yes"/>
    <n v="16"/>
    <x v="0"/>
    <n v="3"/>
    <n v="80"/>
    <x v="0"/>
    <n v="10"/>
    <x v="5"/>
    <n v="3"/>
    <n v="5"/>
    <n v="2"/>
    <n v="0"/>
    <n v="4"/>
  </r>
  <r>
    <n v="39"/>
    <x v="1"/>
    <x v="0"/>
    <n v="1462"/>
    <x v="0"/>
    <n v="6"/>
    <n v="3"/>
    <s v="Medical"/>
    <n v="1"/>
    <n v="1588"/>
    <n v="4"/>
    <x v="1"/>
    <n v="38"/>
    <x v="2"/>
    <n v="3"/>
    <x v="0"/>
    <n v="3"/>
    <x v="1"/>
    <n v="8237"/>
    <n v="4658"/>
    <n v="2"/>
    <s v="Y"/>
    <s v="No"/>
    <n v="11"/>
    <x v="0"/>
    <n v="1"/>
    <n v="80"/>
    <x v="1"/>
    <n v="11"/>
    <x v="1"/>
    <n v="3"/>
    <n v="7"/>
    <n v="6"/>
    <n v="7"/>
    <n v="6"/>
  </r>
  <r>
    <n v="29"/>
    <x v="1"/>
    <x v="1"/>
    <n v="995"/>
    <x v="1"/>
    <n v="2"/>
    <n v="1"/>
    <s v="Life Sciences"/>
    <n v="1"/>
    <n v="1590"/>
    <n v="1"/>
    <x v="1"/>
    <n v="87"/>
    <x v="0"/>
    <n v="2"/>
    <x v="4"/>
    <n v="4"/>
    <x v="2"/>
    <n v="8853"/>
    <n v="24483"/>
    <n v="1"/>
    <s v="Y"/>
    <s v="No"/>
    <n v="19"/>
    <x v="0"/>
    <n v="4"/>
    <n v="80"/>
    <x v="1"/>
    <n v="6"/>
    <x v="0"/>
    <n v="4"/>
    <n v="6"/>
    <n v="4"/>
    <n v="1"/>
    <n v="3"/>
  </r>
  <r>
    <n v="50"/>
    <x v="1"/>
    <x v="0"/>
    <n v="264"/>
    <x v="0"/>
    <n v="9"/>
    <n v="3"/>
    <s v="Marketing"/>
    <n v="1"/>
    <n v="1591"/>
    <n v="3"/>
    <x v="1"/>
    <n v="59"/>
    <x v="0"/>
    <n v="5"/>
    <x v="5"/>
    <n v="3"/>
    <x v="1"/>
    <n v="19331"/>
    <n v="19519"/>
    <n v="4"/>
    <s v="Y"/>
    <s v="Yes"/>
    <n v="16"/>
    <x v="0"/>
    <n v="3"/>
    <n v="80"/>
    <x v="1"/>
    <n v="27"/>
    <x v="2"/>
    <n v="3"/>
    <n v="1"/>
    <n v="0"/>
    <n v="0"/>
    <n v="0"/>
  </r>
  <r>
    <n v="23"/>
    <x v="1"/>
    <x v="0"/>
    <n v="977"/>
    <x v="1"/>
    <n v="10"/>
    <n v="3"/>
    <s v="Technical Degree"/>
    <n v="1"/>
    <n v="1592"/>
    <n v="4"/>
    <x v="1"/>
    <n v="45"/>
    <x v="2"/>
    <n v="1"/>
    <x v="1"/>
    <n v="3"/>
    <x v="1"/>
    <n v="2073"/>
    <n v="12826"/>
    <n v="2"/>
    <s v="Y"/>
    <s v="No"/>
    <n v="16"/>
    <x v="0"/>
    <n v="4"/>
    <n v="80"/>
    <x v="1"/>
    <n v="4"/>
    <x v="2"/>
    <n v="3"/>
    <n v="2"/>
    <n v="2"/>
    <n v="2"/>
    <n v="2"/>
  </r>
  <r>
    <n v="36"/>
    <x v="1"/>
    <x v="1"/>
    <n v="1302"/>
    <x v="1"/>
    <n v="6"/>
    <n v="4"/>
    <s v="Life Sciences"/>
    <n v="1"/>
    <n v="1594"/>
    <n v="1"/>
    <x v="1"/>
    <n v="80"/>
    <x v="2"/>
    <n v="2"/>
    <x v="2"/>
    <n v="1"/>
    <x v="1"/>
    <n v="5562"/>
    <n v="19711"/>
    <n v="3"/>
    <s v="Y"/>
    <s v="Yes"/>
    <n v="13"/>
    <x v="0"/>
    <n v="4"/>
    <n v="80"/>
    <x v="1"/>
    <n v="9"/>
    <x v="1"/>
    <n v="3"/>
    <n v="3"/>
    <n v="2"/>
    <n v="0"/>
    <n v="2"/>
  </r>
  <r>
    <n v="42"/>
    <x v="1"/>
    <x v="0"/>
    <n v="1059"/>
    <x v="1"/>
    <n v="9"/>
    <n v="2"/>
    <s v="Other"/>
    <n v="1"/>
    <n v="1595"/>
    <n v="4"/>
    <x v="1"/>
    <n v="93"/>
    <x v="1"/>
    <n v="5"/>
    <x v="5"/>
    <n v="4"/>
    <x v="0"/>
    <n v="19613"/>
    <n v="26362"/>
    <n v="8"/>
    <s v="Y"/>
    <s v="No"/>
    <n v="22"/>
    <x v="1"/>
    <n v="4"/>
    <n v="80"/>
    <x v="0"/>
    <n v="24"/>
    <x v="2"/>
    <n v="3"/>
    <n v="1"/>
    <n v="0"/>
    <n v="0"/>
    <n v="1"/>
  </r>
  <r>
    <n v="35"/>
    <x v="1"/>
    <x v="0"/>
    <n v="750"/>
    <x v="1"/>
    <n v="28"/>
    <n v="3"/>
    <s v="Life Sciences"/>
    <n v="1"/>
    <n v="1596"/>
    <n v="2"/>
    <x v="1"/>
    <n v="46"/>
    <x v="2"/>
    <n v="2"/>
    <x v="2"/>
    <n v="3"/>
    <x v="1"/>
    <n v="3407"/>
    <n v="25348"/>
    <n v="1"/>
    <s v="Y"/>
    <s v="No"/>
    <n v="17"/>
    <x v="0"/>
    <n v="4"/>
    <n v="80"/>
    <x v="3"/>
    <n v="10"/>
    <x v="1"/>
    <n v="2"/>
    <n v="10"/>
    <n v="9"/>
    <n v="6"/>
    <n v="8"/>
  </r>
  <r>
    <n v="34"/>
    <x v="1"/>
    <x v="1"/>
    <n v="653"/>
    <x v="1"/>
    <n v="10"/>
    <n v="4"/>
    <s v="Technical Degree"/>
    <n v="1"/>
    <n v="1597"/>
    <n v="4"/>
    <x v="1"/>
    <n v="92"/>
    <x v="1"/>
    <n v="2"/>
    <x v="4"/>
    <n v="3"/>
    <x v="1"/>
    <n v="5063"/>
    <n v="15332"/>
    <n v="1"/>
    <s v="Y"/>
    <s v="No"/>
    <n v="14"/>
    <x v="0"/>
    <n v="2"/>
    <n v="80"/>
    <x v="1"/>
    <n v="8"/>
    <x v="1"/>
    <n v="2"/>
    <n v="8"/>
    <n v="2"/>
    <n v="7"/>
    <n v="7"/>
  </r>
  <r>
    <n v="40"/>
    <x v="1"/>
    <x v="0"/>
    <n v="118"/>
    <x v="0"/>
    <n v="14"/>
    <n v="2"/>
    <s v="Life Sciences"/>
    <n v="1"/>
    <n v="1598"/>
    <n v="4"/>
    <x v="0"/>
    <n v="84"/>
    <x v="0"/>
    <n v="2"/>
    <x v="0"/>
    <n v="1"/>
    <x v="1"/>
    <n v="4639"/>
    <n v="11262"/>
    <n v="1"/>
    <s v="Y"/>
    <s v="No"/>
    <n v="15"/>
    <x v="0"/>
    <n v="3"/>
    <n v="80"/>
    <x v="1"/>
    <n v="5"/>
    <x v="2"/>
    <n v="3"/>
    <n v="5"/>
    <n v="4"/>
    <n v="1"/>
    <n v="2"/>
  </r>
  <r>
    <n v="43"/>
    <x v="1"/>
    <x v="0"/>
    <n v="990"/>
    <x v="1"/>
    <n v="27"/>
    <n v="3"/>
    <s v="Technical Degree"/>
    <n v="1"/>
    <n v="1599"/>
    <n v="4"/>
    <x v="1"/>
    <n v="87"/>
    <x v="2"/>
    <n v="1"/>
    <x v="2"/>
    <n v="2"/>
    <x v="2"/>
    <n v="4876"/>
    <n v="5855"/>
    <n v="5"/>
    <s v="Y"/>
    <s v="No"/>
    <n v="12"/>
    <x v="0"/>
    <n v="3"/>
    <n v="80"/>
    <x v="1"/>
    <n v="8"/>
    <x v="0"/>
    <n v="3"/>
    <n v="6"/>
    <n v="4"/>
    <n v="0"/>
    <n v="2"/>
  </r>
  <r>
    <n v="35"/>
    <x v="1"/>
    <x v="0"/>
    <n v="1349"/>
    <x v="1"/>
    <n v="7"/>
    <n v="2"/>
    <s v="Life Sciences"/>
    <n v="1"/>
    <n v="1601"/>
    <n v="3"/>
    <x v="1"/>
    <n v="63"/>
    <x v="1"/>
    <n v="1"/>
    <x v="2"/>
    <n v="4"/>
    <x v="1"/>
    <n v="2690"/>
    <n v="7713"/>
    <n v="1"/>
    <s v="Y"/>
    <s v="No"/>
    <n v="18"/>
    <x v="0"/>
    <n v="4"/>
    <n v="80"/>
    <x v="1"/>
    <n v="1"/>
    <x v="3"/>
    <n v="2"/>
    <n v="1"/>
    <n v="0"/>
    <n v="0"/>
    <n v="1"/>
  </r>
  <r>
    <n v="46"/>
    <x v="1"/>
    <x v="0"/>
    <n v="563"/>
    <x v="0"/>
    <n v="1"/>
    <n v="4"/>
    <s v="Life Sciences"/>
    <n v="1"/>
    <n v="1602"/>
    <n v="4"/>
    <x v="1"/>
    <n v="56"/>
    <x v="2"/>
    <n v="4"/>
    <x v="5"/>
    <n v="1"/>
    <x v="0"/>
    <n v="17567"/>
    <n v="3156"/>
    <n v="1"/>
    <s v="Y"/>
    <s v="No"/>
    <n v="15"/>
    <x v="0"/>
    <n v="2"/>
    <n v="80"/>
    <x v="0"/>
    <n v="27"/>
    <x v="3"/>
    <n v="1"/>
    <n v="26"/>
    <n v="0"/>
    <n v="0"/>
    <n v="12"/>
  </r>
  <r>
    <n v="28"/>
    <x v="0"/>
    <x v="0"/>
    <n v="329"/>
    <x v="1"/>
    <n v="24"/>
    <n v="3"/>
    <s v="Medical"/>
    <n v="1"/>
    <n v="1604"/>
    <n v="3"/>
    <x v="1"/>
    <n v="51"/>
    <x v="0"/>
    <n v="1"/>
    <x v="2"/>
    <n v="2"/>
    <x v="1"/>
    <n v="2408"/>
    <n v="7324"/>
    <n v="1"/>
    <s v="Y"/>
    <s v="Yes"/>
    <n v="17"/>
    <x v="0"/>
    <n v="3"/>
    <n v="80"/>
    <x v="2"/>
    <n v="1"/>
    <x v="1"/>
    <n v="3"/>
    <n v="1"/>
    <n v="1"/>
    <n v="0"/>
    <n v="0"/>
  </r>
  <r>
    <n v="22"/>
    <x v="1"/>
    <x v="2"/>
    <n v="457"/>
    <x v="1"/>
    <n v="26"/>
    <n v="2"/>
    <s v="Other"/>
    <n v="1"/>
    <n v="1605"/>
    <n v="2"/>
    <x v="0"/>
    <n v="85"/>
    <x v="1"/>
    <n v="1"/>
    <x v="1"/>
    <n v="3"/>
    <x v="1"/>
    <n v="2814"/>
    <n v="10293"/>
    <n v="1"/>
    <s v="Y"/>
    <s v="Yes"/>
    <n v="14"/>
    <x v="0"/>
    <n v="2"/>
    <n v="80"/>
    <x v="0"/>
    <n v="4"/>
    <x v="2"/>
    <n v="2"/>
    <n v="4"/>
    <n v="2"/>
    <n v="1"/>
    <n v="3"/>
  </r>
  <r>
    <n v="50"/>
    <x v="1"/>
    <x v="1"/>
    <n v="1234"/>
    <x v="1"/>
    <n v="20"/>
    <n v="5"/>
    <s v="Medical"/>
    <n v="1"/>
    <n v="1606"/>
    <n v="2"/>
    <x v="1"/>
    <n v="41"/>
    <x v="0"/>
    <n v="4"/>
    <x v="4"/>
    <n v="3"/>
    <x v="1"/>
    <n v="11245"/>
    <n v="20689"/>
    <n v="2"/>
    <s v="Y"/>
    <s v="Yes"/>
    <n v="15"/>
    <x v="0"/>
    <n v="3"/>
    <n v="80"/>
    <x v="1"/>
    <n v="32"/>
    <x v="1"/>
    <n v="3"/>
    <n v="30"/>
    <n v="8"/>
    <n v="12"/>
    <n v="13"/>
  </r>
  <r>
    <n v="32"/>
    <x v="1"/>
    <x v="0"/>
    <n v="634"/>
    <x v="1"/>
    <n v="5"/>
    <n v="4"/>
    <s v="Other"/>
    <n v="1"/>
    <n v="1607"/>
    <n v="2"/>
    <x v="0"/>
    <n v="35"/>
    <x v="2"/>
    <n v="1"/>
    <x v="1"/>
    <n v="4"/>
    <x v="1"/>
    <n v="3312"/>
    <n v="18783"/>
    <n v="3"/>
    <s v="Y"/>
    <s v="No"/>
    <n v="17"/>
    <x v="0"/>
    <n v="4"/>
    <n v="80"/>
    <x v="3"/>
    <n v="6"/>
    <x v="1"/>
    <n v="3"/>
    <n v="3"/>
    <n v="2"/>
    <n v="0"/>
    <n v="2"/>
  </r>
  <r>
    <n v="44"/>
    <x v="1"/>
    <x v="0"/>
    <n v="1313"/>
    <x v="1"/>
    <n v="7"/>
    <n v="3"/>
    <s v="Medical"/>
    <n v="1"/>
    <n v="1608"/>
    <n v="2"/>
    <x v="0"/>
    <n v="31"/>
    <x v="0"/>
    <n v="5"/>
    <x v="7"/>
    <n v="4"/>
    <x v="2"/>
    <n v="19049"/>
    <n v="3549"/>
    <n v="0"/>
    <s v="Y"/>
    <s v="Yes"/>
    <n v="14"/>
    <x v="0"/>
    <n v="4"/>
    <n v="80"/>
    <x v="1"/>
    <n v="23"/>
    <x v="5"/>
    <n v="2"/>
    <n v="22"/>
    <n v="7"/>
    <n v="1"/>
    <n v="10"/>
  </r>
  <r>
    <n v="30"/>
    <x v="1"/>
    <x v="0"/>
    <n v="241"/>
    <x v="1"/>
    <n v="7"/>
    <n v="3"/>
    <s v="Medical"/>
    <n v="1"/>
    <n v="1609"/>
    <n v="2"/>
    <x v="1"/>
    <n v="48"/>
    <x v="1"/>
    <n v="1"/>
    <x v="1"/>
    <n v="2"/>
    <x v="1"/>
    <n v="2141"/>
    <n v="5348"/>
    <n v="1"/>
    <s v="Y"/>
    <s v="No"/>
    <n v="12"/>
    <x v="0"/>
    <n v="2"/>
    <n v="80"/>
    <x v="1"/>
    <n v="6"/>
    <x v="1"/>
    <n v="2"/>
    <n v="6"/>
    <n v="4"/>
    <n v="1"/>
    <n v="1"/>
  </r>
  <r>
    <n v="45"/>
    <x v="1"/>
    <x v="0"/>
    <n v="1015"/>
    <x v="1"/>
    <n v="5"/>
    <n v="5"/>
    <s v="Medical"/>
    <n v="1"/>
    <n v="1611"/>
    <n v="3"/>
    <x v="0"/>
    <n v="50"/>
    <x v="3"/>
    <n v="2"/>
    <x v="2"/>
    <n v="1"/>
    <x v="0"/>
    <n v="5769"/>
    <n v="23447"/>
    <n v="1"/>
    <s v="Y"/>
    <s v="Yes"/>
    <n v="14"/>
    <x v="0"/>
    <n v="1"/>
    <n v="80"/>
    <x v="0"/>
    <n v="10"/>
    <x v="1"/>
    <n v="3"/>
    <n v="10"/>
    <n v="7"/>
    <n v="1"/>
    <n v="4"/>
  </r>
  <r>
    <n v="45"/>
    <x v="1"/>
    <x v="2"/>
    <n v="336"/>
    <x v="0"/>
    <n v="26"/>
    <n v="3"/>
    <s v="Marketing"/>
    <n v="1"/>
    <n v="1612"/>
    <n v="1"/>
    <x v="1"/>
    <n v="52"/>
    <x v="1"/>
    <n v="2"/>
    <x v="0"/>
    <n v="1"/>
    <x v="1"/>
    <n v="4385"/>
    <n v="24162"/>
    <n v="1"/>
    <s v="Y"/>
    <s v="No"/>
    <n v="15"/>
    <x v="0"/>
    <n v="1"/>
    <n v="80"/>
    <x v="1"/>
    <n v="10"/>
    <x v="2"/>
    <n v="3"/>
    <n v="10"/>
    <n v="7"/>
    <n v="4"/>
    <n v="5"/>
  </r>
  <r>
    <n v="31"/>
    <x v="1"/>
    <x v="1"/>
    <n v="715"/>
    <x v="0"/>
    <n v="2"/>
    <n v="4"/>
    <s v="Other"/>
    <n v="1"/>
    <n v="1613"/>
    <n v="4"/>
    <x v="1"/>
    <n v="54"/>
    <x v="0"/>
    <n v="2"/>
    <x v="0"/>
    <n v="1"/>
    <x v="0"/>
    <n v="5332"/>
    <n v="21602"/>
    <n v="7"/>
    <s v="Y"/>
    <s v="No"/>
    <n v="13"/>
    <x v="0"/>
    <n v="4"/>
    <n v="80"/>
    <x v="0"/>
    <n v="10"/>
    <x v="1"/>
    <n v="3"/>
    <n v="5"/>
    <n v="2"/>
    <n v="0"/>
    <n v="3"/>
  </r>
  <r>
    <n v="36"/>
    <x v="1"/>
    <x v="0"/>
    <n v="559"/>
    <x v="1"/>
    <n v="12"/>
    <n v="4"/>
    <s v="Life Sciences"/>
    <n v="1"/>
    <n v="1614"/>
    <n v="3"/>
    <x v="0"/>
    <n v="76"/>
    <x v="0"/>
    <n v="2"/>
    <x v="3"/>
    <n v="3"/>
    <x v="1"/>
    <n v="4663"/>
    <n v="12421"/>
    <n v="9"/>
    <s v="Y"/>
    <s v="Yes"/>
    <n v="12"/>
    <x v="0"/>
    <n v="2"/>
    <n v="80"/>
    <x v="3"/>
    <n v="7"/>
    <x v="2"/>
    <n v="3"/>
    <n v="3"/>
    <n v="2"/>
    <n v="1"/>
    <n v="1"/>
  </r>
  <r>
    <n v="34"/>
    <x v="1"/>
    <x v="1"/>
    <n v="426"/>
    <x v="1"/>
    <n v="10"/>
    <n v="4"/>
    <s v="Life Sciences"/>
    <n v="1"/>
    <n v="1615"/>
    <n v="3"/>
    <x v="1"/>
    <n v="42"/>
    <x v="2"/>
    <n v="2"/>
    <x v="3"/>
    <n v="4"/>
    <x v="2"/>
    <n v="4724"/>
    <n v="17000"/>
    <n v="1"/>
    <s v="Y"/>
    <s v="No"/>
    <n v="13"/>
    <x v="0"/>
    <n v="1"/>
    <n v="80"/>
    <x v="1"/>
    <n v="9"/>
    <x v="1"/>
    <n v="3"/>
    <n v="9"/>
    <n v="7"/>
    <n v="7"/>
    <n v="2"/>
  </r>
  <r>
    <n v="49"/>
    <x v="1"/>
    <x v="0"/>
    <n v="722"/>
    <x v="1"/>
    <n v="25"/>
    <n v="4"/>
    <s v="Life Sciences"/>
    <n v="1"/>
    <n v="1617"/>
    <n v="3"/>
    <x v="0"/>
    <n v="84"/>
    <x v="0"/>
    <n v="1"/>
    <x v="2"/>
    <n v="1"/>
    <x v="1"/>
    <n v="3211"/>
    <n v="22102"/>
    <n v="1"/>
    <s v="Y"/>
    <s v="No"/>
    <n v="14"/>
    <x v="0"/>
    <n v="4"/>
    <n v="80"/>
    <x v="1"/>
    <n v="10"/>
    <x v="1"/>
    <n v="2"/>
    <n v="9"/>
    <n v="6"/>
    <n v="1"/>
    <n v="4"/>
  </r>
  <r>
    <n v="39"/>
    <x v="1"/>
    <x v="0"/>
    <n v="1387"/>
    <x v="1"/>
    <n v="10"/>
    <n v="5"/>
    <s v="Medical"/>
    <n v="1"/>
    <n v="1618"/>
    <n v="2"/>
    <x v="1"/>
    <n v="76"/>
    <x v="0"/>
    <n v="2"/>
    <x v="3"/>
    <n v="1"/>
    <x v="1"/>
    <n v="5377"/>
    <n v="3835"/>
    <n v="2"/>
    <s v="Y"/>
    <s v="No"/>
    <n v="13"/>
    <x v="0"/>
    <n v="4"/>
    <n v="80"/>
    <x v="2"/>
    <n v="10"/>
    <x v="1"/>
    <n v="3"/>
    <n v="7"/>
    <n v="7"/>
    <n v="7"/>
    <n v="7"/>
  </r>
  <r>
    <n v="27"/>
    <x v="1"/>
    <x v="0"/>
    <n v="1302"/>
    <x v="1"/>
    <n v="19"/>
    <n v="3"/>
    <s v="Other"/>
    <n v="1"/>
    <n v="1619"/>
    <n v="4"/>
    <x v="1"/>
    <n v="67"/>
    <x v="1"/>
    <n v="1"/>
    <x v="2"/>
    <n v="1"/>
    <x v="2"/>
    <n v="4066"/>
    <n v="16290"/>
    <n v="1"/>
    <s v="Y"/>
    <s v="No"/>
    <n v="11"/>
    <x v="0"/>
    <n v="1"/>
    <n v="80"/>
    <x v="3"/>
    <n v="7"/>
    <x v="1"/>
    <n v="3"/>
    <n v="7"/>
    <n v="7"/>
    <n v="0"/>
    <n v="7"/>
  </r>
  <r>
    <n v="35"/>
    <x v="1"/>
    <x v="0"/>
    <n v="819"/>
    <x v="1"/>
    <n v="18"/>
    <n v="5"/>
    <s v="Life Sciences"/>
    <n v="1"/>
    <n v="1621"/>
    <n v="2"/>
    <x v="1"/>
    <n v="48"/>
    <x v="2"/>
    <n v="2"/>
    <x v="1"/>
    <n v="1"/>
    <x v="1"/>
    <n v="5208"/>
    <n v="26312"/>
    <n v="1"/>
    <s v="Y"/>
    <s v="No"/>
    <n v="11"/>
    <x v="0"/>
    <n v="4"/>
    <n v="80"/>
    <x v="0"/>
    <n v="16"/>
    <x v="2"/>
    <n v="3"/>
    <n v="16"/>
    <n v="15"/>
    <n v="1"/>
    <n v="10"/>
  </r>
  <r>
    <n v="28"/>
    <x v="1"/>
    <x v="0"/>
    <n v="580"/>
    <x v="1"/>
    <n v="27"/>
    <n v="3"/>
    <s v="Medical"/>
    <n v="1"/>
    <n v="1622"/>
    <n v="2"/>
    <x v="0"/>
    <n v="39"/>
    <x v="3"/>
    <n v="2"/>
    <x v="3"/>
    <n v="1"/>
    <x v="2"/>
    <n v="4877"/>
    <n v="20460"/>
    <n v="0"/>
    <s v="Y"/>
    <s v="No"/>
    <n v="21"/>
    <x v="1"/>
    <n v="2"/>
    <n v="80"/>
    <x v="1"/>
    <n v="6"/>
    <x v="3"/>
    <n v="2"/>
    <n v="5"/>
    <n v="3"/>
    <n v="0"/>
    <n v="0"/>
  </r>
  <r>
    <n v="21"/>
    <x v="1"/>
    <x v="0"/>
    <n v="546"/>
    <x v="1"/>
    <n v="5"/>
    <n v="1"/>
    <s v="Medical"/>
    <n v="1"/>
    <n v="1623"/>
    <n v="3"/>
    <x v="1"/>
    <n v="97"/>
    <x v="0"/>
    <n v="1"/>
    <x v="1"/>
    <n v="4"/>
    <x v="0"/>
    <n v="3117"/>
    <n v="26009"/>
    <n v="1"/>
    <s v="Y"/>
    <s v="No"/>
    <n v="18"/>
    <x v="0"/>
    <n v="3"/>
    <n v="80"/>
    <x v="0"/>
    <n v="3"/>
    <x v="2"/>
    <n v="3"/>
    <n v="2"/>
    <n v="2"/>
    <n v="2"/>
    <n v="2"/>
  </r>
  <r>
    <n v="18"/>
    <x v="0"/>
    <x v="1"/>
    <n v="544"/>
    <x v="0"/>
    <n v="3"/>
    <n v="2"/>
    <s v="Medical"/>
    <n v="1"/>
    <n v="1624"/>
    <n v="2"/>
    <x v="0"/>
    <n v="70"/>
    <x v="0"/>
    <n v="1"/>
    <x v="6"/>
    <n v="4"/>
    <x v="0"/>
    <n v="1569"/>
    <n v="18420"/>
    <n v="1"/>
    <s v="Y"/>
    <s v="Yes"/>
    <n v="12"/>
    <x v="0"/>
    <n v="3"/>
    <n v="80"/>
    <x v="0"/>
    <n v="0"/>
    <x v="2"/>
    <n v="4"/>
    <n v="0"/>
    <n v="0"/>
    <n v="0"/>
    <n v="0"/>
  </r>
  <r>
    <n v="47"/>
    <x v="1"/>
    <x v="0"/>
    <n v="1176"/>
    <x v="2"/>
    <n v="26"/>
    <n v="4"/>
    <s v="Life Sciences"/>
    <n v="1"/>
    <n v="1625"/>
    <n v="4"/>
    <x v="0"/>
    <n v="98"/>
    <x v="0"/>
    <n v="5"/>
    <x v="5"/>
    <n v="3"/>
    <x v="1"/>
    <n v="19658"/>
    <n v="5220"/>
    <n v="3"/>
    <s v="Y"/>
    <s v="No"/>
    <n v="11"/>
    <x v="0"/>
    <n v="3"/>
    <n v="80"/>
    <x v="1"/>
    <n v="27"/>
    <x v="2"/>
    <n v="3"/>
    <n v="5"/>
    <n v="2"/>
    <n v="1"/>
    <n v="0"/>
  </r>
  <r>
    <n v="39"/>
    <x v="1"/>
    <x v="0"/>
    <n v="170"/>
    <x v="1"/>
    <n v="3"/>
    <n v="2"/>
    <s v="Medical"/>
    <n v="1"/>
    <n v="1627"/>
    <n v="3"/>
    <x v="1"/>
    <n v="76"/>
    <x v="1"/>
    <n v="2"/>
    <x v="2"/>
    <n v="3"/>
    <x v="2"/>
    <n v="3069"/>
    <n v="10302"/>
    <n v="0"/>
    <s v="Y"/>
    <s v="No"/>
    <n v="15"/>
    <x v="0"/>
    <n v="4"/>
    <n v="80"/>
    <x v="1"/>
    <n v="11"/>
    <x v="1"/>
    <n v="3"/>
    <n v="10"/>
    <n v="8"/>
    <n v="0"/>
    <n v="7"/>
  </r>
  <r>
    <n v="40"/>
    <x v="1"/>
    <x v="0"/>
    <n v="884"/>
    <x v="1"/>
    <n v="15"/>
    <n v="3"/>
    <s v="Life Sciences"/>
    <n v="1"/>
    <n v="1628"/>
    <n v="1"/>
    <x v="0"/>
    <n v="80"/>
    <x v="1"/>
    <n v="3"/>
    <x v="3"/>
    <n v="3"/>
    <x v="1"/>
    <n v="10435"/>
    <n v="25800"/>
    <n v="1"/>
    <s v="Y"/>
    <s v="No"/>
    <n v="13"/>
    <x v="0"/>
    <n v="4"/>
    <n v="80"/>
    <x v="3"/>
    <n v="18"/>
    <x v="2"/>
    <n v="3"/>
    <n v="18"/>
    <n v="15"/>
    <n v="14"/>
    <n v="12"/>
  </r>
  <r>
    <n v="35"/>
    <x v="1"/>
    <x v="2"/>
    <n v="208"/>
    <x v="1"/>
    <n v="8"/>
    <n v="4"/>
    <s v="Life Sciences"/>
    <n v="1"/>
    <n v="1630"/>
    <n v="3"/>
    <x v="0"/>
    <n v="52"/>
    <x v="0"/>
    <n v="2"/>
    <x v="4"/>
    <n v="3"/>
    <x v="1"/>
    <n v="4148"/>
    <n v="12250"/>
    <n v="1"/>
    <s v="Y"/>
    <s v="No"/>
    <n v="12"/>
    <x v="0"/>
    <n v="4"/>
    <n v="80"/>
    <x v="1"/>
    <n v="15"/>
    <x v="3"/>
    <n v="3"/>
    <n v="14"/>
    <n v="11"/>
    <n v="2"/>
    <n v="9"/>
  </r>
  <r>
    <n v="37"/>
    <x v="1"/>
    <x v="0"/>
    <n v="671"/>
    <x v="1"/>
    <n v="19"/>
    <n v="3"/>
    <s v="Life Sciences"/>
    <n v="1"/>
    <n v="1631"/>
    <n v="3"/>
    <x v="1"/>
    <n v="85"/>
    <x v="0"/>
    <n v="2"/>
    <x v="3"/>
    <n v="3"/>
    <x v="1"/>
    <n v="5768"/>
    <n v="26493"/>
    <n v="3"/>
    <s v="Y"/>
    <s v="No"/>
    <n v="17"/>
    <x v="0"/>
    <n v="1"/>
    <n v="80"/>
    <x v="2"/>
    <n v="9"/>
    <x v="2"/>
    <n v="2"/>
    <n v="4"/>
    <n v="3"/>
    <n v="0"/>
    <n v="2"/>
  </r>
  <r>
    <n v="39"/>
    <x v="1"/>
    <x v="1"/>
    <n v="711"/>
    <x v="1"/>
    <n v="4"/>
    <n v="3"/>
    <s v="Medical"/>
    <n v="1"/>
    <n v="1633"/>
    <n v="1"/>
    <x v="0"/>
    <n v="81"/>
    <x v="0"/>
    <n v="2"/>
    <x v="3"/>
    <n v="3"/>
    <x v="0"/>
    <n v="5042"/>
    <n v="3140"/>
    <n v="0"/>
    <s v="Y"/>
    <s v="No"/>
    <n v="13"/>
    <x v="0"/>
    <n v="4"/>
    <n v="80"/>
    <x v="0"/>
    <n v="10"/>
    <x v="2"/>
    <n v="1"/>
    <n v="9"/>
    <n v="2"/>
    <n v="3"/>
    <n v="8"/>
  </r>
  <r>
    <n v="45"/>
    <x v="1"/>
    <x v="0"/>
    <n v="1329"/>
    <x v="1"/>
    <n v="2"/>
    <n v="2"/>
    <s v="Other"/>
    <n v="1"/>
    <n v="1635"/>
    <n v="4"/>
    <x v="0"/>
    <n v="59"/>
    <x v="1"/>
    <n v="2"/>
    <x v="3"/>
    <n v="4"/>
    <x v="2"/>
    <n v="5770"/>
    <n v="5388"/>
    <n v="1"/>
    <s v="Y"/>
    <s v="No"/>
    <n v="19"/>
    <x v="0"/>
    <n v="1"/>
    <n v="80"/>
    <x v="3"/>
    <n v="10"/>
    <x v="1"/>
    <n v="3"/>
    <n v="10"/>
    <n v="7"/>
    <n v="3"/>
    <n v="9"/>
  </r>
  <r>
    <n v="38"/>
    <x v="1"/>
    <x v="0"/>
    <n v="397"/>
    <x v="1"/>
    <n v="2"/>
    <n v="2"/>
    <s v="Medical"/>
    <n v="1"/>
    <n v="1638"/>
    <n v="4"/>
    <x v="0"/>
    <n v="54"/>
    <x v="1"/>
    <n v="3"/>
    <x v="3"/>
    <n v="3"/>
    <x v="1"/>
    <n v="7756"/>
    <n v="14199"/>
    <n v="3"/>
    <s v="Y"/>
    <s v="Yes"/>
    <n v="19"/>
    <x v="0"/>
    <n v="4"/>
    <n v="80"/>
    <x v="1"/>
    <n v="10"/>
    <x v="6"/>
    <n v="4"/>
    <n v="5"/>
    <n v="4"/>
    <n v="0"/>
    <n v="2"/>
  </r>
  <r>
    <n v="35"/>
    <x v="0"/>
    <x v="0"/>
    <n v="737"/>
    <x v="0"/>
    <n v="10"/>
    <n v="3"/>
    <s v="Medical"/>
    <n v="1"/>
    <n v="1639"/>
    <n v="4"/>
    <x v="1"/>
    <n v="55"/>
    <x v="1"/>
    <n v="3"/>
    <x v="0"/>
    <n v="1"/>
    <x v="1"/>
    <n v="10306"/>
    <n v="21530"/>
    <n v="9"/>
    <s v="Y"/>
    <s v="No"/>
    <n v="17"/>
    <x v="0"/>
    <n v="3"/>
    <n v="80"/>
    <x v="0"/>
    <n v="15"/>
    <x v="1"/>
    <n v="3"/>
    <n v="13"/>
    <n v="12"/>
    <n v="6"/>
    <n v="0"/>
  </r>
  <r>
    <n v="37"/>
    <x v="1"/>
    <x v="0"/>
    <n v="1470"/>
    <x v="1"/>
    <n v="10"/>
    <n v="3"/>
    <s v="Medical"/>
    <n v="1"/>
    <n v="1640"/>
    <n v="2"/>
    <x v="0"/>
    <n v="71"/>
    <x v="0"/>
    <n v="1"/>
    <x v="1"/>
    <n v="2"/>
    <x v="1"/>
    <n v="3936"/>
    <n v="9953"/>
    <n v="1"/>
    <s v="Y"/>
    <s v="No"/>
    <n v="11"/>
    <x v="0"/>
    <n v="1"/>
    <n v="80"/>
    <x v="1"/>
    <n v="8"/>
    <x v="2"/>
    <n v="1"/>
    <n v="8"/>
    <n v="4"/>
    <n v="7"/>
    <n v="7"/>
  </r>
  <r>
    <n v="40"/>
    <x v="1"/>
    <x v="0"/>
    <n v="448"/>
    <x v="1"/>
    <n v="16"/>
    <n v="3"/>
    <s v="Life Sciences"/>
    <n v="1"/>
    <n v="1641"/>
    <n v="3"/>
    <x v="0"/>
    <n v="84"/>
    <x v="0"/>
    <n v="3"/>
    <x v="3"/>
    <n v="4"/>
    <x v="0"/>
    <n v="7945"/>
    <n v="19948"/>
    <n v="6"/>
    <s v="Y"/>
    <s v="Yes"/>
    <n v="15"/>
    <x v="0"/>
    <n v="4"/>
    <n v="80"/>
    <x v="0"/>
    <n v="18"/>
    <x v="2"/>
    <n v="2"/>
    <n v="4"/>
    <n v="2"/>
    <n v="3"/>
    <n v="3"/>
  </r>
  <r>
    <n v="44"/>
    <x v="1"/>
    <x v="1"/>
    <n v="602"/>
    <x v="2"/>
    <n v="1"/>
    <n v="5"/>
    <s v="Human Resources"/>
    <n v="1"/>
    <n v="1642"/>
    <n v="1"/>
    <x v="1"/>
    <n v="37"/>
    <x v="0"/>
    <n v="2"/>
    <x v="8"/>
    <n v="4"/>
    <x v="1"/>
    <n v="5743"/>
    <n v="10503"/>
    <n v="4"/>
    <s v="Y"/>
    <s v="Yes"/>
    <n v="11"/>
    <x v="0"/>
    <n v="3"/>
    <n v="80"/>
    <x v="0"/>
    <n v="14"/>
    <x v="1"/>
    <n v="3"/>
    <n v="10"/>
    <n v="7"/>
    <n v="0"/>
    <n v="2"/>
  </r>
  <r>
    <n v="48"/>
    <x v="1"/>
    <x v="1"/>
    <n v="365"/>
    <x v="1"/>
    <n v="4"/>
    <n v="5"/>
    <s v="Medical"/>
    <n v="1"/>
    <n v="1644"/>
    <n v="3"/>
    <x v="1"/>
    <n v="89"/>
    <x v="1"/>
    <n v="4"/>
    <x v="5"/>
    <n v="4"/>
    <x v="1"/>
    <n v="15202"/>
    <n v="5602"/>
    <n v="2"/>
    <s v="Y"/>
    <s v="No"/>
    <n v="25"/>
    <x v="1"/>
    <n v="2"/>
    <n v="80"/>
    <x v="1"/>
    <n v="23"/>
    <x v="1"/>
    <n v="3"/>
    <n v="2"/>
    <n v="2"/>
    <n v="2"/>
    <n v="2"/>
  </r>
  <r>
    <n v="35"/>
    <x v="0"/>
    <x v="0"/>
    <n v="763"/>
    <x v="0"/>
    <n v="15"/>
    <n v="2"/>
    <s v="Medical"/>
    <n v="1"/>
    <n v="1645"/>
    <n v="1"/>
    <x v="1"/>
    <n v="59"/>
    <x v="3"/>
    <n v="2"/>
    <x v="0"/>
    <n v="4"/>
    <x v="2"/>
    <n v="5440"/>
    <n v="22098"/>
    <n v="6"/>
    <s v="Y"/>
    <s v="Yes"/>
    <n v="14"/>
    <x v="0"/>
    <n v="4"/>
    <n v="80"/>
    <x v="3"/>
    <n v="7"/>
    <x v="2"/>
    <n v="2"/>
    <n v="2"/>
    <n v="2"/>
    <n v="2"/>
    <n v="2"/>
  </r>
  <r>
    <n v="24"/>
    <x v="1"/>
    <x v="1"/>
    <n v="567"/>
    <x v="1"/>
    <n v="2"/>
    <n v="1"/>
    <s v="Technical Degree"/>
    <n v="1"/>
    <n v="1646"/>
    <n v="1"/>
    <x v="0"/>
    <n v="32"/>
    <x v="0"/>
    <n v="1"/>
    <x v="1"/>
    <n v="4"/>
    <x v="0"/>
    <n v="3760"/>
    <n v="17218"/>
    <n v="1"/>
    <s v="Y"/>
    <s v="Yes"/>
    <n v="13"/>
    <x v="0"/>
    <n v="3"/>
    <n v="80"/>
    <x v="0"/>
    <n v="6"/>
    <x v="2"/>
    <n v="3"/>
    <n v="6"/>
    <n v="3"/>
    <n v="1"/>
    <n v="3"/>
  </r>
  <r>
    <n v="27"/>
    <x v="1"/>
    <x v="0"/>
    <n v="486"/>
    <x v="1"/>
    <n v="8"/>
    <n v="3"/>
    <s v="Medical"/>
    <n v="1"/>
    <n v="1647"/>
    <n v="2"/>
    <x v="0"/>
    <n v="86"/>
    <x v="2"/>
    <n v="1"/>
    <x v="1"/>
    <n v="3"/>
    <x v="1"/>
    <n v="3517"/>
    <n v="22490"/>
    <n v="7"/>
    <s v="Y"/>
    <s v="No"/>
    <n v="17"/>
    <x v="0"/>
    <n v="1"/>
    <n v="80"/>
    <x v="0"/>
    <n v="5"/>
    <x v="0"/>
    <n v="3"/>
    <n v="3"/>
    <n v="2"/>
    <n v="0"/>
    <n v="2"/>
  </r>
  <r>
    <n v="27"/>
    <x v="1"/>
    <x v="1"/>
    <n v="591"/>
    <x v="1"/>
    <n v="2"/>
    <n v="3"/>
    <s v="Medical"/>
    <n v="1"/>
    <n v="1648"/>
    <n v="4"/>
    <x v="1"/>
    <n v="87"/>
    <x v="0"/>
    <n v="1"/>
    <x v="1"/>
    <n v="4"/>
    <x v="0"/>
    <n v="2580"/>
    <n v="6297"/>
    <n v="2"/>
    <s v="Y"/>
    <s v="No"/>
    <n v="13"/>
    <x v="0"/>
    <n v="3"/>
    <n v="80"/>
    <x v="0"/>
    <n v="6"/>
    <x v="0"/>
    <n v="2"/>
    <n v="4"/>
    <n v="2"/>
    <n v="1"/>
    <n v="2"/>
  </r>
  <r>
    <n v="40"/>
    <x v="0"/>
    <x v="0"/>
    <n v="1329"/>
    <x v="1"/>
    <n v="7"/>
    <n v="3"/>
    <s v="Life Sciences"/>
    <n v="1"/>
    <n v="1649"/>
    <n v="1"/>
    <x v="1"/>
    <n v="73"/>
    <x v="0"/>
    <n v="1"/>
    <x v="2"/>
    <n v="1"/>
    <x v="0"/>
    <n v="2166"/>
    <n v="3339"/>
    <n v="3"/>
    <s v="Y"/>
    <s v="Yes"/>
    <n v="14"/>
    <x v="0"/>
    <n v="2"/>
    <n v="80"/>
    <x v="0"/>
    <n v="10"/>
    <x v="1"/>
    <n v="1"/>
    <n v="4"/>
    <n v="2"/>
    <n v="0"/>
    <n v="3"/>
  </r>
  <r>
    <n v="29"/>
    <x v="1"/>
    <x v="0"/>
    <n v="469"/>
    <x v="0"/>
    <n v="10"/>
    <n v="3"/>
    <s v="Medical"/>
    <n v="1"/>
    <n v="1650"/>
    <n v="3"/>
    <x v="1"/>
    <n v="42"/>
    <x v="1"/>
    <n v="2"/>
    <x v="0"/>
    <n v="3"/>
    <x v="0"/>
    <n v="5869"/>
    <n v="23413"/>
    <n v="9"/>
    <s v="Y"/>
    <s v="No"/>
    <n v="11"/>
    <x v="0"/>
    <n v="3"/>
    <n v="80"/>
    <x v="0"/>
    <n v="8"/>
    <x v="2"/>
    <n v="3"/>
    <n v="5"/>
    <n v="2"/>
    <n v="1"/>
    <n v="4"/>
  </r>
  <r>
    <n v="36"/>
    <x v="1"/>
    <x v="0"/>
    <n v="711"/>
    <x v="1"/>
    <n v="5"/>
    <n v="4"/>
    <s v="Life Sciences"/>
    <n v="1"/>
    <n v="1651"/>
    <n v="2"/>
    <x v="0"/>
    <n v="42"/>
    <x v="0"/>
    <n v="3"/>
    <x v="4"/>
    <n v="1"/>
    <x v="1"/>
    <n v="8008"/>
    <n v="22792"/>
    <n v="4"/>
    <s v="Y"/>
    <s v="No"/>
    <n v="12"/>
    <x v="0"/>
    <n v="3"/>
    <n v="80"/>
    <x v="3"/>
    <n v="9"/>
    <x v="6"/>
    <n v="3"/>
    <n v="3"/>
    <n v="2"/>
    <n v="0"/>
    <n v="2"/>
  </r>
  <r>
    <n v="25"/>
    <x v="1"/>
    <x v="1"/>
    <n v="772"/>
    <x v="1"/>
    <n v="2"/>
    <n v="1"/>
    <s v="Life Sciences"/>
    <n v="1"/>
    <n v="1653"/>
    <n v="4"/>
    <x v="1"/>
    <n v="77"/>
    <x v="2"/>
    <n v="2"/>
    <x v="3"/>
    <n v="3"/>
    <x v="2"/>
    <n v="5206"/>
    <n v="4973"/>
    <n v="1"/>
    <s v="Y"/>
    <s v="No"/>
    <n v="17"/>
    <x v="0"/>
    <n v="3"/>
    <n v="80"/>
    <x v="3"/>
    <n v="7"/>
    <x v="6"/>
    <n v="3"/>
    <n v="7"/>
    <n v="7"/>
    <n v="0"/>
    <n v="7"/>
  </r>
  <r>
    <n v="39"/>
    <x v="1"/>
    <x v="0"/>
    <n v="492"/>
    <x v="1"/>
    <n v="12"/>
    <n v="3"/>
    <s v="Medical"/>
    <n v="1"/>
    <n v="1654"/>
    <n v="4"/>
    <x v="1"/>
    <n v="66"/>
    <x v="0"/>
    <n v="2"/>
    <x v="3"/>
    <n v="2"/>
    <x v="1"/>
    <n v="5295"/>
    <n v="7693"/>
    <n v="4"/>
    <s v="Y"/>
    <s v="No"/>
    <n v="21"/>
    <x v="1"/>
    <n v="3"/>
    <n v="80"/>
    <x v="0"/>
    <n v="7"/>
    <x v="1"/>
    <n v="3"/>
    <n v="5"/>
    <n v="4"/>
    <n v="1"/>
    <n v="0"/>
  </r>
  <r>
    <n v="49"/>
    <x v="1"/>
    <x v="0"/>
    <n v="301"/>
    <x v="1"/>
    <n v="22"/>
    <n v="4"/>
    <s v="Other"/>
    <n v="1"/>
    <n v="1655"/>
    <n v="1"/>
    <x v="0"/>
    <n v="72"/>
    <x v="0"/>
    <n v="4"/>
    <x v="7"/>
    <n v="2"/>
    <x v="1"/>
    <n v="16413"/>
    <n v="3498"/>
    <n v="3"/>
    <s v="Y"/>
    <s v="No"/>
    <n v="16"/>
    <x v="0"/>
    <n v="2"/>
    <n v="80"/>
    <x v="3"/>
    <n v="27"/>
    <x v="2"/>
    <n v="3"/>
    <n v="4"/>
    <n v="2"/>
    <n v="1"/>
    <n v="2"/>
  </r>
  <r>
    <n v="50"/>
    <x v="1"/>
    <x v="0"/>
    <n v="813"/>
    <x v="1"/>
    <n v="17"/>
    <n v="5"/>
    <s v="Life Sciences"/>
    <n v="1"/>
    <n v="1656"/>
    <n v="4"/>
    <x v="0"/>
    <n v="50"/>
    <x v="1"/>
    <n v="3"/>
    <x v="7"/>
    <n v="1"/>
    <x v="2"/>
    <n v="13269"/>
    <n v="21981"/>
    <n v="5"/>
    <s v="Y"/>
    <s v="No"/>
    <n v="15"/>
    <x v="0"/>
    <n v="3"/>
    <n v="80"/>
    <x v="2"/>
    <n v="19"/>
    <x v="1"/>
    <n v="3"/>
    <n v="14"/>
    <n v="11"/>
    <n v="1"/>
    <n v="11"/>
  </r>
  <r>
    <n v="20"/>
    <x v="1"/>
    <x v="0"/>
    <n v="1141"/>
    <x v="0"/>
    <n v="2"/>
    <n v="3"/>
    <s v="Medical"/>
    <n v="1"/>
    <n v="1657"/>
    <n v="3"/>
    <x v="0"/>
    <n v="31"/>
    <x v="0"/>
    <n v="1"/>
    <x v="6"/>
    <n v="3"/>
    <x v="0"/>
    <n v="2783"/>
    <n v="13251"/>
    <n v="1"/>
    <s v="Y"/>
    <s v="No"/>
    <n v="19"/>
    <x v="0"/>
    <n v="1"/>
    <n v="80"/>
    <x v="0"/>
    <n v="2"/>
    <x v="1"/>
    <n v="3"/>
    <n v="2"/>
    <n v="2"/>
    <n v="2"/>
    <n v="2"/>
  </r>
  <r>
    <n v="34"/>
    <x v="1"/>
    <x v="0"/>
    <n v="1130"/>
    <x v="1"/>
    <n v="3"/>
    <n v="3"/>
    <s v="Life Sciences"/>
    <n v="1"/>
    <n v="1658"/>
    <n v="4"/>
    <x v="0"/>
    <n v="66"/>
    <x v="0"/>
    <n v="2"/>
    <x v="1"/>
    <n v="2"/>
    <x v="2"/>
    <n v="5433"/>
    <n v="19332"/>
    <n v="1"/>
    <s v="Y"/>
    <s v="No"/>
    <n v="12"/>
    <x v="0"/>
    <n v="3"/>
    <n v="80"/>
    <x v="1"/>
    <n v="11"/>
    <x v="2"/>
    <n v="3"/>
    <n v="11"/>
    <n v="8"/>
    <n v="7"/>
    <n v="9"/>
  </r>
  <r>
    <n v="36"/>
    <x v="1"/>
    <x v="0"/>
    <n v="311"/>
    <x v="1"/>
    <n v="7"/>
    <n v="3"/>
    <s v="Life Sciences"/>
    <n v="1"/>
    <n v="1659"/>
    <n v="1"/>
    <x v="1"/>
    <n v="77"/>
    <x v="0"/>
    <n v="1"/>
    <x v="2"/>
    <n v="2"/>
    <x v="0"/>
    <n v="2013"/>
    <n v="10950"/>
    <n v="2"/>
    <s v="Y"/>
    <s v="No"/>
    <n v="11"/>
    <x v="0"/>
    <n v="3"/>
    <n v="80"/>
    <x v="0"/>
    <n v="15"/>
    <x v="5"/>
    <n v="3"/>
    <n v="4"/>
    <n v="3"/>
    <n v="1"/>
    <n v="3"/>
  </r>
  <r>
    <n v="49"/>
    <x v="1"/>
    <x v="0"/>
    <n v="465"/>
    <x v="1"/>
    <n v="6"/>
    <n v="1"/>
    <s v="Life Sciences"/>
    <n v="1"/>
    <n v="1661"/>
    <n v="3"/>
    <x v="0"/>
    <n v="41"/>
    <x v="1"/>
    <n v="4"/>
    <x v="4"/>
    <n v="3"/>
    <x v="1"/>
    <n v="13966"/>
    <n v="11652"/>
    <n v="2"/>
    <s v="Y"/>
    <s v="Yes"/>
    <n v="19"/>
    <x v="0"/>
    <n v="2"/>
    <n v="80"/>
    <x v="1"/>
    <n v="30"/>
    <x v="1"/>
    <n v="3"/>
    <n v="15"/>
    <n v="11"/>
    <n v="2"/>
    <n v="12"/>
  </r>
  <r>
    <n v="36"/>
    <x v="1"/>
    <x v="2"/>
    <n v="894"/>
    <x v="1"/>
    <n v="1"/>
    <n v="4"/>
    <s v="Medical"/>
    <n v="1"/>
    <n v="1662"/>
    <n v="4"/>
    <x v="0"/>
    <n v="33"/>
    <x v="1"/>
    <n v="2"/>
    <x v="3"/>
    <n v="3"/>
    <x v="1"/>
    <n v="4374"/>
    <n v="15411"/>
    <n v="0"/>
    <s v="Y"/>
    <s v="No"/>
    <n v="15"/>
    <x v="0"/>
    <n v="3"/>
    <n v="80"/>
    <x v="0"/>
    <n v="4"/>
    <x v="6"/>
    <n v="3"/>
    <n v="3"/>
    <n v="2"/>
    <n v="1"/>
    <n v="2"/>
  </r>
  <r>
    <n v="36"/>
    <x v="1"/>
    <x v="0"/>
    <n v="1040"/>
    <x v="1"/>
    <n v="3"/>
    <n v="2"/>
    <s v="Life Sciences"/>
    <n v="1"/>
    <n v="1664"/>
    <n v="4"/>
    <x v="1"/>
    <n v="79"/>
    <x v="2"/>
    <n v="2"/>
    <x v="4"/>
    <n v="1"/>
    <x v="2"/>
    <n v="6842"/>
    <n v="26308"/>
    <n v="6"/>
    <s v="Y"/>
    <s v="No"/>
    <n v="20"/>
    <x v="1"/>
    <n v="1"/>
    <n v="80"/>
    <x v="1"/>
    <n v="13"/>
    <x v="1"/>
    <n v="3"/>
    <n v="5"/>
    <n v="4"/>
    <n v="0"/>
    <n v="4"/>
  </r>
  <r>
    <n v="54"/>
    <x v="1"/>
    <x v="0"/>
    <n v="584"/>
    <x v="1"/>
    <n v="22"/>
    <n v="5"/>
    <s v="Medical"/>
    <n v="1"/>
    <n v="1665"/>
    <n v="2"/>
    <x v="0"/>
    <n v="91"/>
    <x v="0"/>
    <n v="4"/>
    <x v="5"/>
    <n v="3"/>
    <x v="1"/>
    <n v="17426"/>
    <n v="18685"/>
    <n v="3"/>
    <s v="Y"/>
    <s v="No"/>
    <n v="25"/>
    <x v="1"/>
    <n v="3"/>
    <n v="80"/>
    <x v="1"/>
    <n v="36"/>
    <x v="6"/>
    <n v="3"/>
    <n v="10"/>
    <n v="8"/>
    <n v="4"/>
    <n v="7"/>
  </r>
  <r>
    <n v="43"/>
    <x v="1"/>
    <x v="0"/>
    <n v="1291"/>
    <x v="1"/>
    <n v="15"/>
    <n v="2"/>
    <s v="Life Sciences"/>
    <n v="1"/>
    <n v="1666"/>
    <n v="3"/>
    <x v="1"/>
    <n v="65"/>
    <x v="1"/>
    <n v="4"/>
    <x v="7"/>
    <n v="3"/>
    <x v="1"/>
    <n v="17603"/>
    <n v="3525"/>
    <n v="1"/>
    <s v="Y"/>
    <s v="No"/>
    <n v="24"/>
    <x v="1"/>
    <n v="1"/>
    <n v="80"/>
    <x v="1"/>
    <n v="14"/>
    <x v="1"/>
    <n v="3"/>
    <n v="14"/>
    <n v="10"/>
    <n v="6"/>
    <n v="11"/>
  </r>
  <r>
    <n v="35"/>
    <x v="0"/>
    <x v="1"/>
    <n v="880"/>
    <x v="0"/>
    <n v="12"/>
    <n v="4"/>
    <s v="Other"/>
    <n v="1"/>
    <n v="1667"/>
    <n v="4"/>
    <x v="1"/>
    <n v="36"/>
    <x v="0"/>
    <n v="2"/>
    <x v="0"/>
    <n v="4"/>
    <x v="0"/>
    <n v="4581"/>
    <n v="10414"/>
    <n v="3"/>
    <s v="Y"/>
    <s v="Yes"/>
    <n v="24"/>
    <x v="1"/>
    <n v="1"/>
    <n v="80"/>
    <x v="0"/>
    <n v="13"/>
    <x v="2"/>
    <n v="4"/>
    <n v="11"/>
    <n v="9"/>
    <n v="6"/>
    <n v="7"/>
  </r>
  <r>
    <n v="38"/>
    <x v="1"/>
    <x v="1"/>
    <n v="1189"/>
    <x v="1"/>
    <n v="1"/>
    <n v="3"/>
    <s v="Life Sciences"/>
    <n v="1"/>
    <n v="1668"/>
    <n v="4"/>
    <x v="1"/>
    <n v="90"/>
    <x v="0"/>
    <n v="2"/>
    <x v="1"/>
    <n v="4"/>
    <x v="1"/>
    <n v="4735"/>
    <n v="9867"/>
    <n v="7"/>
    <s v="Y"/>
    <s v="No"/>
    <n v="15"/>
    <x v="0"/>
    <n v="4"/>
    <n v="80"/>
    <x v="3"/>
    <n v="19"/>
    <x v="5"/>
    <n v="4"/>
    <n v="13"/>
    <n v="11"/>
    <n v="2"/>
    <n v="9"/>
  </r>
  <r>
    <n v="29"/>
    <x v="1"/>
    <x v="0"/>
    <n v="991"/>
    <x v="0"/>
    <n v="5"/>
    <n v="3"/>
    <s v="Medical"/>
    <n v="1"/>
    <n v="1669"/>
    <n v="1"/>
    <x v="1"/>
    <n v="43"/>
    <x v="1"/>
    <n v="2"/>
    <x v="0"/>
    <n v="2"/>
    <x v="2"/>
    <n v="4187"/>
    <n v="3356"/>
    <n v="1"/>
    <s v="Y"/>
    <s v="Yes"/>
    <n v="13"/>
    <x v="0"/>
    <n v="2"/>
    <n v="80"/>
    <x v="1"/>
    <n v="10"/>
    <x v="1"/>
    <n v="2"/>
    <n v="10"/>
    <n v="0"/>
    <n v="0"/>
    <n v="9"/>
  </r>
  <r>
    <n v="33"/>
    <x v="1"/>
    <x v="0"/>
    <n v="392"/>
    <x v="0"/>
    <n v="2"/>
    <n v="4"/>
    <s v="Medical"/>
    <n v="1"/>
    <n v="1670"/>
    <n v="4"/>
    <x v="1"/>
    <n v="93"/>
    <x v="0"/>
    <n v="2"/>
    <x v="0"/>
    <n v="4"/>
    <x v="2"/>
    <n v="5505"/>
    <n v="3921"/>
    <n v="1"/>
    <s v="Y"/>
    <s v="No"/>
    <n v="14"/>
    <x v="0"/>
    <n v="3"/>
    <n v="80"/>
    <x v="3"/>
    <n v="6"/>
    <x v="3"/>
    <n v="3"/>
    <n v="6"/>
    <n v="2"/>
    <n v="0"/>
    <n v="4"/>
  </r>
  <r>
    <n v="32"/>
    <x v="1"/>
    <x v="0"/>
    <n v="977"/>
    <x v="1"/>
    <n v="2"/>
    <n v="3"/>
    <s v="Medical"/>
    <n v="1"/>
    <n v="1671"/>
    <n v="4"/>
    <x v="1"/>
    <n v="45"/>
    <x v="0"/>
    <n v="2"/>
    <x v="1"/>
    <n v="2"/>
    <x v="2"/>
    <n v="5470"/>
    <n v="25518"/>
    <n v="0"/>
    <s v="Y"/>
    <s v="No"/>
    <n v="13"/>
    <x v="0"/>
    <n v="3"/>
    <n v="80"/>
    <x v="3"/>
    <n v="10"/>
    <x v="5"/>
    <n v="2"/>
    <n v="9"/>
    <n v="5"/>
    <n v="1"/>
    <n v="6"/>
  </r>
  <r>
    <n v="31"/>
    <x v="1"/>
    <x v="0"/>
    <n v="1112"/>
    <x v="0"/>
    <n v="5"/>
    <n v="4"/>
    <s v="Life Sciences"/>
    <n v="1"/>
    <n v="1673"/>
    <n v="1"/>
    <x v="0"/>
    <n v="67"/>
    <x v="0"/>
    <n v="2"/>
    <x v="0"/>
    <n v="4"/>
    <x v="1"/>
    <n v="5476"/>
    <n v="22589"/>
    <n v="1"/>
    <s v="Y"/>
    <s v="No"/>
    <n v="11"/>
    <x v="0"/>
    <n v="1"/>
    <n v="80"/>
    <x v="3"/>
    <n v="10"/>
    <x v="2"/>
    <n v="3"/>
    <n v="10"/>
    <n v="0"/>
    <n v="0"/>
    <n v="2"/>
  </r>
  <r>
    <n v="49"/>
    <x v="1"/>
    <x v="0"/>
    <n v="464"/>
    <x v="1"/>
    <n v="16"/>
    <n v="3"/>
    <s v="Medical"/>
    <n v="1"/>
    <n v="1674"/>
    <n v="4"/>
    <x v="0"/>
    <n v="74"/>
    <x v="0"/>
    <n v="1"/>
    <x v="2"/>
    <n v="1"/>
    <x v="2"/>
    <n v="2587"/>
    <n v="24941"/>
    <n v="4"/>
    <s v="Y"/>
    <s v="Yes"/>
    <n v="16"/>
    <x v="0"/>
    <n v="2"/>
    <n v="80"/>
    <x v="1"/>
    <n v="17"/>
    <x v="2"/>
    <n v="2"/>
    <n v="2"/>
    <n v="2"/>
    <n v="2"/>
    <n v="2"/>
  </r>
  <r>
    <n v="38"/>
    <x v="1"/>
    <x v="1"/>
    <n v="148"/>
    <x v="1"/>
    <n v="2"/>
    <n v="3"/>
    <s v="Medical"/>
    <n v="1"/>
    <n v="1675"/>
    <n v="4"/>
    <x v="0"/>
    <n v="42"/>
    <x v="1"/>
    <n v="1"/>
    <x v="2"/>
    <n v="2"/>
    <x v="0"/>
    <n v="2440"/>
    <n v="23826"/>
    <n v="1"/>
    <s v="Y"/>
    <s v="No"/>
    <n v="22"/>
    <x v="1"/>
    <n v="2"/>
    <n v="80"/>
    <x v="0"/>
    <n v="4"/>
    <x v="1"/>
    <n v="3"/>
    <n v="4"/>
    <n v="3"/>
    <n v="3"/>
    <n v="3"/>
  </r>
  <r>
    <n v="47"/>
    <x v="1"/>
    <x v="0"/>
    <n v="1225"/>
    <x v="0"/>
    <n v="2"/>
    <n v="4"/>
    <s v="Life Sciences"/>
    <n v="1"/>
    <n v="1676"/>
    <n v="2"/>
    <x v="0"/>
    <n v="47"/>
    <x v="2"/>
    <n v="4"/>
    <x v="5"/>
    <n v="2"/>
    <x v="2"/>
    <n v="15972"/>
    <n v="21086"/>
    <n v="6"/>
    <s v="Y"/>
    <s v="No"/>
    <n v="14"/>
    <x v="0"/>
    <n v="3"/>
    <n v="80"/>
    <x v="2"/>
    <n v="29"/>
    <x v="2"/>
    <n v="3"/>
    <n v="3"/>
    <n v="2"/>
    <n v="1"/>
    <n v="2"/>
  </r>
  <r>
    <n v="49"/>
    <x v="1"/>
    <x v="0"/>
    <n v="809"/>
    <x v="1"/>
    <n v="1"/>
    <n v="3"/>
    <s v="Life Sciences"/>
    <n v="1"/>
    <n v="1677"/>
    <n v="3"/>
    <x v="1"/>
    <n v="36"/>
    <x v="0"/>
    <n v="4"/>
    <x v="5"/>
    <n v="3"/>
    <x v="0"/>
    <n v="15379"/>
    <n v="22384"/>
    <n v="4"/>
    <s v="Y"/>
    <s v="No"/>
    <n v="14"/>
    <x v="0"/>
    <n v="1"/>
    <n v="80"/>
    <x v="0"/>
    <n v="23"/>
    <x v="2"/>
    <n v="3"/>
    <n v="8"/>
    <n v="7"/>
    <n v="0"/>
    <n v="0"/>
  </r>
  <r>
    <n v="41"/>
    <x v="1"/>
    <x v="0"/>
    <n v="1206"/>
    <x v="0"/>
    <n v="23"/>
    <n v="2"/>
    <s v="Life Sciences"/>
    <n v="1"/>
    <n v="1678"/>
    <n v="4"/>
    <x v="1"/>
    <n v="80"/>
    <x v="0"/>
    <n v="3"/>
    <x v="0"/>
    <n v="3"/>
    <x v="0"/>
    <n v="7082"/>
    <n v="11591"/>
    <n v="3"/>
    <s v="Y"/>
    <s v="Yes"/>
    <n v="16"/>
    <x v="0"/>
    <n v="4"/>
    <n v="80"/>
    <x v="0"/>
    <n v="21"/>
    <x v="2"/>
    <n v="3"/>
    <n v="2"/>
    <n v="0"/>
    <n v="0"/>
    <n v="2"/>
  </r>
  <r>
    <n v="20"/>
    <x v="1"/>
    <x v="0"/>
    <n v="727"/>
    <x v="0"/>
    <n v="9"/>
    <n v="1"/>
    <s v="Life Sciences"/>
    <n v="1"/>
    <n v="1680"/>
    <n v="4"/>
    <x v="1"/>
    <n v="54"/>
    <x v="0"/>
    <n v="1"/>
    <x v="6"/>
    <n v="1"/>
    <x v="0"/>
    <n v="2728"/>
    <n v="21082"/>
    <n v="1"/>
    <s v="Y"/>
    <s v="No"/>
    <n v="11"/>
    <x v="0"/>
    <n v="1"/>
    <n v="80"/>
    <x v="0"/>
    <n v="2"/>
    <x v="1"/>
    <n v="3"/>
    <n v="2"/>
    <n v="2"/>
    <n v="0"/>
    <n v="2"/>
  </r>
  <r>
    <n v="33"/>
    <x v="1"/>
    <x v="2"/>
    <n v="530"/>
    <x v="0"/>
    <n v="16"/>
    <n v="3"/>
    <s v="Life Sciences"/>
    <n v="1"/>
    <n v="1681"/>
    <n v="3"/>
    <x v="0"/>
    <n v="36"/>
    <x v="0"/>
    <n v="2"/>
    <x v="0"/>
    <n v="4"/>
    <x v="2"/>
    <n v="5368"/>
    <n v="16130"/>
    <n v="1"/>
    <s v="Y"/>
    <s v="Yes"/>
    <n v="25"/>
    <x v="1"/>
    <n v="3"/>
    <n v="80"/>
    <x v="1"/>
    <n v="7"/>
    <x v="2"/>
    <n v="3"/>
    <n v="6"/>
    <n v="5"/>
    <n v="1"/>
    <n v="2"/>
  </r>
  <r>
    <n v="36"/>
    <x v="1"/>
    <x v="0"/>
    <n v="1351"/>
    <x v="1"/>
    <n v="26"/>
    <n v="4"/>
    <s v="Life Sciences"/>
    <n v="1"/>
    <n v="1682"/>
    <n v="1"/>
    <x v="1"/>
    <n v="80"/>
    <x v="0"/>
    <n v="2"/>
    <x v="4"/>
    <n v="3"/>
    <x v="1"/>
    <n v="5347"/>
    <n v="7419"/>
    <n v="6"/>
    <s v="Y"/>
    <s v="No"/>
    <n v="14"/>
    <x v="0"/>
    <n v="2"/>
    <n v="80"/>
    <x v="3"/>
    <n v="10"/>
    <x v="2"/>
    <n v="2"/>
    <n v="3"/>
    <n v="2"/>
    <n v="0"/>
    <n v="2"/>
  </r>
  <r>
    <n v="44"/>
    <x v="1"/>
    <x v="0"/>
    <n v="528"/>
    <x v="2"/>
    <n v="1"/>
    <n v="3"/>
    <s v="Life Sciences"/>
    <n v="1"/>
    <n v="1683"/>
    <n v="3"/>
    <x v="0"/>
    <n v="44"/>
    <x v="0"/>
    <n v="1"/>
    <x v="8"/>
    <n v="4"/>
    <x v="2"/>
    <n v="3195"/>
    <n v="4167"/>
    <n v="4"/>
    <s v="Y"/>
    <s v="Yes"/>
    <n v="18"/>
    <x v="0"/>
    <n v="1"/>
    <n v="80"/>
    <x v="2"/>
    <n v="8"/>
    <x v="2"/>
    <n v="3"/>
    <n v="2"/>
    <n v="2"/>
    <n v="2"/>
    <n v="2"/>
  </r>
  <r>
    <n v="23"/>
    <x v="0"/>
    <x v="0"/>
    <n v="1320"/>
    <x v="1"/>
    <n v="8"/>
    <n v="1"/>
    <s v="Medical"/>
    <n v="1"/>
    <n v="1684"/>
    <n v="4"/>
    <x v="1"/>
    <n v="93"/>
    <x v="1"/>
    <n v="1"/>
    <x v="2"/>
    <n v="3"/>
    <x v="0"/>
    <n v="3989"/>
    <n v="20586"/>
    <n v="1"/>
    <s v="Y"/>
    <s v="Yes"/>
    <n v="11"/>
    <x v="0"/>
    <n v="1"/>
    <n v="80"/>
    <x v="0"/>
    <n v="5"/>
    <x v="2"/>
    <n v="3"/>
    <n v="5"/>
    <n v="4"/>
    <n v="1"/>
    <n v="2"/>
  </r>
  <r>
    <n v="38"/>
    <x v="1"/>
    <x v="0"/>
    <n v="1495"/>
    <x v="1"/>
    <n v="4"/>
    <n v="2"/>
    <s v="Medical"/>
    <n v="1"/>
    <n v="1687"/>
    <n v="4"/>
    <x v="0"/>
    <n v="87"/>
    <x v="0"/>
    <n v="1"/>
    <x v="2"/>
    <n v="3"/>
    <x v="1"/>
    <n v="3306"/>
    <n v="26176"/>
    <n v="7"/>
    <s v="Y"/>
    <s v="No"/>
    <n v="19"/>
    <x v="0"/>
    <n v="4"/>
    <n v="80"/>
    <x v="1"/>
    <n v="7"/>
    <x v="3"/>
    <n v="2"/>
    <n v="0"/>
    <n v="0"/>
    <n v="0"/>
    <n v="0"/>
  </r>
  <r>
    <n v="53"/>
    <x v="1"/>
    <x v="0"/>
    <n v="1395"/>
    <x v="1"/>
    <n v="24"/>
    <n v="4"/>
    <s v="Medical"/>
    <n v="1"/>
    <n v="1689"/>
    <n v="2"/>
    <x v="1"/>
    <n v="48"/>
    <x v="2"/>
    <n v="3"/>
    <x v="4"/>
    <n v="4"/>
    <x v="1"/>
    <n v="7005"/>
    <n v="3458"/>
    <n v="3"/>
    <s v="Y"/>
    <s v="No"/>
    <n v="15"/>
    <x v="0"/>
    <n v="3"/>
    <n v="80"/>
    <x v="0"/>
    <n v="11"/>
    <x v="2"/>
    <n v="3"/>
    <n v="4"/>
    <n v="3"/>
    <n v="1"/>
    <n v="2"/>
  </r>
  <r>
    <n v="48"/>
    <x v="0"/>
    <x v="1"/>
    <n v="708"/>
    <x v="0"/>
    <n v="7"/>
    <n v="2"/>
    <s v="Medical"/>
    <n v="1"/>
    <n v="1691"/>
    <n v="4"/>
    <x v="0"/>
    <n v="95"/>
    <x v="0"/>
    <n v="1"/>
    <x v="6"/>
    <n v="3"/>
    <x v="1"/>
    <n v="2655"/>
    <n v="11740"/>
    <n v="2"/>
    <s v="Y"/>
    <s v="Yes"/>
    <n v="11"/>
    <x v="0"/>
    <n v="3"/>
    <n v="80"/>
    <x v="3"/>
    <n v="19"/>
    <x v="1"/>
    <n v="3"/>
    <n v="9"/>
    <n v="7"/>
    <n v="7"/>
    <n v="7"/>
  </r>
  <r>
    <n v="32"/>
    <x v="0"/>
    <x v="0"/>
    <n v="1259"/>
    <x v="1"/>
    <n v="2"/>
    <n v="4"/>
    <s v="Life Sciences"/>
    <n v="1"/>
    <n v="1692"/>
    <n v="4"/>
    <x v="1"/>
    <n v="95"/>
    <x v="0"/>
    <n v="1"/>
    <x v="2"/>
    <n v="2"/>
    <x v="0"/>
    <n v="1393"/>
    <n v="24852"/>
    <n v="1"/>
    <s v="Y"/>
    <s v="No"/>
    <n v="12"/>
    <x v="0"/>
    <n v="1"/>
    <n v="80"/>
    <x v="0"/>
    <n v="1"/>
    <x v="2"/>
    <n v="3"/>
    <n v="1"/>
    <n v="0"/>
    <n v="0"/>
    <n v="0"/>
  </r>
  <r>
    <n v="26"/>
    <x v="1"/>
    <x v="2"/>
    <n v="786"/>
    <x v="1"/>
    <n v="7"/>
    <n v="3"/>
    <s v="Medical"/>
    <n v="1"/>
    <n v="1693"/>
    <n v="4"/>
    <x v="1"/>
    <n v="76"/>
    <x v="0"/>
    <n v="1"/>
    <x v="2"/>
    <n v="4"/>
    <x v="0"/>
    <n v="2570"/>
    <n v="11925"/>
    <n v="1"/>
    <s v="Y"/>
    <s v="No"/>
    <n v="20"/>
    <x v="1"/>
    <n v="3"/>
    <n v="80"/>
    <x v="0"/>
    <n v="7"/>
    <x v="3"/>
    <n v="3"/>
    <n v="7"/>
    <n v="7"/>
    <n v="5"/>
    <n v="7"/>
  </r>
  <r>
    <n v="55"/>
    <x v="1"/>
    <x v="0"/>
    <n v="1441"/>
    <x v="1"/>
    <n v="22"/>
    <n v="3"/>
    <s v="Technical Degree"/>
    <n v="1"/>
    <n v="1694"/>
    <n v="1"/>
    <x v="1"/>
    <n v="94"/>
    <x v="1"/>
    <n v="1"/>
    <x v="1"/>
    <n v="2"/>
    <x v="2"/>
    <n v="3537"/>
    <n v="23737"/>
    <n v="5"/>
    <s v="Y"/>
    <s v="No"/>
    <n v="12"/>
    <x v="0"/>
    <n v="4"/>
    <n v="80"/>
    <x v="1"/>
    <n v="8"/>
    <x v="4"/>
    <n v="3"/>
    <n v="4"/>
    <n v="2"/>
    <n v="1"/>
    <n v="2"/>
  </r>
  <r>
    <n v="34"/>
    <x v="1"/>
    <x v="0"/>
    <n v="1157"/>
    <x v="1"/>
    <n v="5"/>
    <n v="2"/>
    <s v="Medical"/>
    <n v="1"/>
    <n v="1696"/>
    <n v="2"/>
    <x v="1"/>
    <n v="57"/>
    <x v="1"/>
    <n v="2"/>
    <x v="2"/>
    <n v="4"/>
    <x v="1"/>
    <n v="3986"/>
    <n v="11912"/>
    <n v="1"/>
    <s v="Y"/>
    <s v="No"/>
    <n v="14"/>
    <x v="0"/>
    <n v="3"/>
    <n v="80"/>
    <x v="1"/>
    <n v="15"/>
    <x v="1"/>
    <n v="4"/>
    <n v="15"/>
    <n v="10"/>
    <n v="4"/>
    <n v="13"/>
  </r>
  <r>
    <n v="60"/>
    <x v="1"/>
    <x v="0"/>
    <n v="370"/>
    <x v="1"/>
    <n v="1"/>
    <n v="4"/>
    <s v="Medical"/>
    <n v="1"/>
    <n v="1697"/>
    <n v="3"/>
    <x v="1"/>
    <n v="92"/>
    <x v="3"/>
    <n v="3"/>
    <x v="4"/>
    <n v="4"/>
    <x v="2"/>
    <n v="10883"/>
    <n v="20467"/>
    <n v="3"/>
    <s v="Y"/>
    <s v="No"/>
    <n v="20"/>
    <x v="1"/>
    <n v="3"/>
    <n v="80"/>
    <x v="1"/>
    <n v="19"/>
    <x v="2"/>
    <n v="4"/>
    <n v="1"/>
    <n v="0"/>
    <n v="0"/>
    <n v="0"/>
  </r>
  <r>
    <n v="33"/>
    <x v="1"/>
    <x v="0"/>
    <n v="267"/>
    <x v="1"/>
    <n v="21"/>
    <n v="3"/>
    <s v="Medical"/>
    <n v="1"/>
    <n v="1698"/>
    <n v="2"/>
    <x v="1"/>
    <n v="79"/>
    <x v="2"/>
    <n v="1"/>
    <x v="2"/>
    <n v="2"/>
    <x v="1"/>
    <n v="2028"/>
    <n v="13637"/>
    <n v="1"/>
    <s v="Y"/>
    <s v="No"/>
    <n v="18"/>
    <x v="0"/>
    <n v="4"/>
    <n v="80"/>
    <x v="2"/>
    <n v="14"/>
    <x v="6"/>
    <n v="3"/>
    <n v="14"/>
    <n v="11"/>
    <n v="2"/>
    <n v="13"/>
  </r>
  <r>
    <n v="37"/>
    <x v="1"/>
    <x v="1"/>
    <n v="1278"/>
    <x v="0"/>
    <n v="1"/>
    <n v="4"/>
    <s v="Medical"/>
    <n v="1"/>
    <n v="1700"/>
    <n v="3"/>
    <x v="1"/>
    <n v="31"/>
    <x v="3"/>
    <n v="2"/>
    <x v="0"/>
    <n v="4"/>
    <x v="2"/>
    <n v="9525"/>
    <n v="7677"/>
    <n v="1"/>
    <s v="Y"/>
    <s v="No"/>
    <n v="14"/>
    <x v="0"/>
    <n v="3"/>
    <n v="80"/>
    <x v="3"/>
    <n v="6"/>
    <x v="2"/>
    <n v="2"/>
    <n v="6"/>
    <n v="3"/>
    <n v="1"/>
    <n v="3"/>
  </r>
  <r>
    <n v="34"/>
    <x v="1"/>
    <x v="0"/>
    <n v="678"/>
    <x v="1"/>
    <n v="19"/>
    <n v="3"/>
    <s v="Life Sciences"/>
    <n v="1"/>
    <n v="1701"/>
    <n v="2"/>
    <x v="0"/>
    <n v="35"/>
    <x v="1"/>
    <n v="1"/>
    <x v="1"/>
    <n v="4"/>
    <x v="1"/>
    <n v="2929"/>
    <n v="20338"/>
    <n v="1"/>
    <s v="Y"/>
    <s v="No"/>
    <n v="12"/>
    <x v="0"/>
    <n v="2"/>
    <n v="80"/>
    <x v="0"/>
    <n v="10"/>
    <x v="1"/>
    <n v="3"/>
    <n v="10"/>
    <n v="9"/>
    <n v="8"/>
    <n v="7"/>
  </r>
  <r>
    <n v="23"/>
    <x v="0"/>
    <x v="0"/>
    <n v="427"/>
    <x v="0"/>
    <n v="7"/>
    <n v="3"/>
    <s v="Life Sciences"/>
    <n v="1"/>
    <n v="1702"/>
    <n v="3"/>
    <x v="1"/>
    <n v="99"/>
    <x v="0"/>
    <n v="1"/>
    <x v="6"/>
    <n v="4"/>
    <x v="2"/>
    <n v="2275"/>
    <n v="25103"/>
    <n v="1"/>
    <s v="Y"/>
    <s v="Yes"/>
    <n v="21"/>
    <x v="1"/>
    <n v="2"/>
    <n v="80"/>
    <x v="1"/>
    <n v="3"/>
    <x v="2"/>
    <n v="3"/>
    <n v="3"/>
    <n v="2"/>
    <n v="0"/>
    <n v="2"/>
  </r>
  <r>
    <n v="44"/>
    <x v="1"/>
    <x v="0"/>
    <n v="921"/>
    <x v="1"/>
    <n v="2"/>
    <n v="3"/>
    <s v="Life Sciences"/>
    <n v="1"/>
    <n v="1703"/>
    <n v="3"/>
    <x v="0"/>
    <n v="96"/>
    <x v="2"/>
    <n v="3"/>
    <x v="4"/>
    <n v="4"/>
    <x v="1"/>
    <n v="7879"/>
    <n v="14810"/>
    <n v="1"/>
    <s v="Y"/>
    <s v="Yes"/>
    <n v="19"/>
    <x v="0"/>
    <n v="2"/>
    <n v="80"/>
    <x v="1"/>
    <n v="9"/>
    <x v="2"/>
    <n v="3"/>
    <n v="8"/>
    <n v="7"/>
    <n v="6"/>
    <n v="7"/>
  </r>
  <r>
    <n v="35"/>
    <x v="1"/>
    <x v="1"/>
    <n v="146"/>
    <x v="1"/>
    <n v="2"/>
    <n v="4"/>
    <s v="Medical"/>
    <n v="1"/>
    <n v="1704"/>
    <n v="1"/>
    <x v="1"/>
    <n v="79"/>
    <x v="1"/>
    <n v="1"/>
    <x v="1"/>
    <n v="4"/>
    <x v="0"/>
    <n v="4930"/>
    <n v="13970"/>
    <n v="0"/>
    <s v="Y"/>
    <s v="Yes"/>
    <n v="14"/>
    <x v="0"/>
    <n v="3"/>
    <n v="80"/>
    <x v="0"/>
    <n v="6"/>
    <x v="2"/>
    <n v="4"/>
    <n v="5"/>
    <n v="4"/>
    <n v="1"/>
    <n v="4"/>
  </r>
  <r>
    <n v="43"/>
    <x v="1"/>
    <x v="0"/>
    <n v="1179"/>
    <x v="0"/>
    <n v="2"/>
    <n v="3"/>
    <s v="Medical"/>
    <n v="1"/>
    <n v="1706"/>
    <n v="4"/>
    <x v="1"/>
    <n v="73"/>
    <x v="0"/>
    <n v="2"/>
    <x v="0"/>
    <n v="4"/>
    <x v="1"/>
    <n v="7847"/>
    <n v="6069"/>
    <n v="1"/>
    <s v="Y"/>
    <s v="Yes"/>
    <n v="17"/>
    <x v="0"/>
    <n v="1"/>
    <n v="80"/>
    <x v="1"/>
    <n v="10"/>
    <x v="1"/>
    <n v="3"/>
    <n v="10"/>
    <n v="9"/>
    <n v="8"/>
    <n v="8"/>
  </r>
  <r>
    <n v="24"/>
    <x v="1"/>
    <x v="0"/>
    <n v="581"/>
    <x v="1"/>
    <n v="9"/>
    <n v="3"/>
    <s v="Medical"/>
    <n v="1"/>
    <n v="1707"/>
    <n v="3"/>
    <x v="1"/>
    <n v="62"/>
    <x v="2"/>
    <n v="1"/>
    <x v="1"/>
    <n v="3"/>
    <x v="1"/>
    <n v="4401"/>
    <n v="17616"/>
    <n v="1"/>
    <s v="Y"/>
    <s v="No"/>
    <n v="16"/>
    <x v="0"/>
    <n v="4"/>
    <n v="80"/>
    <x v="1"/>
    <n v="5"/>
    <x v="4"/>
    <n v="3"/>
    <n v="5"/>
    <n v="3"/>
    <n v="0"/>
    <n v="4"/>
  </r>
  <r>
    <n v="41"/>
    <x v="1"/>
    <x v="0"/>
    <n v="918"/>
    <x v="0"/>
    <n v="6"/>
    <n v="3"/>
    <s v="Marketing"/>
    <n v="1"/>
    <n v="1708"/>
    <n v="4"/>
    <x v="1"/>
    <n v="35"/>
    <x v="0"/>
    <n v="3"/>
    <x v="0"/>
    <n v="3"/>
    <x v="0"/>
    <n v="9241"/>
    <n v="15869"/>
    <n v="1"/>
    <s v="Y"/>
    <s v="No"/>
    <n v="12"/>
    <x v="0"/>
    <n v="2"/>
    <n v="80"/>
    <x v="0"/>
    <n v="10"/>
    <x v="1"/>
    <n v="3"/>
    <n v="10"/>
    <n v="8"/>
    <n v="8"/>
    <n v="7"/>
  </r>
  <r>
    <n v="29"/>
    <x v="1"/>
    <x v="0"/>
    <n v="1082"/>
    <x v="1"/>
    <n v="9"/>
    <n v="4"/>
    <s v="Medical"/>
    <n v="1"/>
    <n v="1709"/>
    <n v="4"/>
    <x v="0"/>
    <n v="43"/>
    <x v="0"/>
    <n v="1"/>
    <x v="2"/>
    <n v="3"/>
    <x v="1"/>
    <n v="2974"/>
    <n v="25412"/>
    <n v="9"/>
    <s v="Y"/>
    <s v="No"/>
    <n v="17"/>
    <x v="0"/>
    <n v="3"/>
    <n v="80"/>
    <x v="1"/>
    <n v="9"/>
    <x v="2"/>
    <n v="3"/>
    <n v="5"/>
    <n v="3"/>
    <n v="1"/>
    <n v="2"/>
  </r>
  <r>
    <n v="36"/>
    <x v="1"/>
    <x v="0"/>
    <n v="530"/>
    <x v="0"/>
    <n v="2"/>
    <n v="4"/>
    <s v="Life Sciences"/>
    <n v="1"/>
    <n v="1710"/>
    <n v="3"/>
    <x v="0"/>
    <n v="51"/>
    <x v="0"/>
    <n v="2"/>
    <x v="6"/>
    <n v="4"/>
    <x v="0"/>
    <n v="4502"/>
    <n v="7439"/>
    <n v="3"/>
    <s v="Y"/>
    <s v="No"/>
    <n v="15"/>
    <x v="0"/>
    <n v="3"/>
    <n v="80"/>
    <x v="0"/>
    <n v="17"/>
    <x v="2"/>
    <n v="2"/>
    <n v="13"/>
    <n v="7"/>
    <n v="6"/>
    <n v="7"/>
  </r>
  <r>
    <n v="45"/>
    <x v="1"/>
    <x v="2"/>
    <n v="1238"/>
    <x v="1"/>
    <n v="1"/>
    <n v="1"/>
    <s v="Life Sciences"/>
    <n v="1"/>
    <n v="1712"/>
    <n v="3"/>
    <x v="1"/>
    <n v="74"/>
    <x v="1"/>
    <n v="3"/>
    <x v="4"/>
    <n v="3"/>
    <x v="1"/>
    <n v="10748"/>
    <n v="3395"/>
    <n v="3"/>
    <s v="Y"/>
    <s v="No"/>
    <n v="23"/>
    <x v="1"/>
    <n v="4"/>
    <n v="80"/>
    <x v="1"/>
    <n v="25"/>
    <x v="1"/>
    <n v="2"/>
    <n v="23"/>
    <n v="15"/>
    <n v="14"/>
    <n v="4"/>
  </r>
  <r>
    <n v="24"/>
    <x v="0"/>
    <x v="0"/>
    <n v="240"/>
    <x v="2"/>
    <n v="22"/>
    <n v="1"/>
    <s v="Human Resources"/>
    <n v="1"/>
    <n v="1714"/>
    <n v="4"/>
    <x v="1"/>
    <n v="58"/>
    <x v="3"/>
    <n v="1"/>
    <x v="8"/>
    <n v="3"/>
    <x v="1"/>
    <n v="1555"/>
    <n v="11585"/>
    <n v="1"/>
    <s v="Y"/>
    <s v="No"/>
    <n v="11"/>
    <x v="0"/>
    <n v="3"/>
    <n v="80"/>
    <x v="1"/>
    <n v="1"/>
    <x v="2"/>
    <n v="3"/>
    <n v="1"/>
    <n v="0"/>
    <n v="0"/>
    <n v="0"/>
  </r>
  <r>
    <n v="47"/>
    <x v="0"/>
    <x v="1"/>
    <n v="1093"/>
    <x v="0"/>
    <n v="9"/>
    <n v="3"/>
    <s v="Life Sciences"/>
    <n v="1"/>
    <n v="1716"/>
    <n v="3"/>
    <x v="1"/>
    <n v="82"/>
    <x v="3"/>
    <n v="4"/>
    <x v="0"/>
    <n v="3"/>
    <x v="1"/>
    <n v="12936"/>
    <n v="24164"/>
    <n v="7"/>
    <s v="Y"/>
    <s v="No"/>
    <n v="11"/>
    <x v="0"/>
    <n v="3"/>
    <n v="80"/>
    <x v="0"/>
    <n v="25"/>
    <x v="1"/>
    <n v="1"/>
    <n v="23"/>
    <n v="5"/>
    <n v="14"/>
    <n v="10"/>
  </r>
  <r>
    <n v="26"/>
    <x v="1"/>
    <x v="0"/>
    <n v="390"/>
    <x v="1"/>
    <n v="17"/>
    <n v="4"/>
    <s v="Medical"/>
    <n v="1"/>
    <n v="1718"/>
    <n v="4"/>
    <x v="1"/>
    <n v="62"/>
    <x v="3"/>
    <n v="1"/>
    <x v="2"/>
    <n v="3"/>
    <x v="1"/>
    <n v="2305"/>
    <n v="6217"/>
    <n v="1"/>
    <s v="Y"/>
    <s v="No"/>
    <n v="15"/>
    <x v="0"/>
    <n v="3"/>
    <n v="80"/>
    <x v="2"/>
    <n v="3"/>
    <x v="1"/>
    <n v="4"/>
    <n v="3"/>
    <n v="2"/>
    <n v="0"/>
    <n v="2"/>
  </r>
  <r>
    <n v="45"/>
    <x v="1"/>
    <x v="0"/>
    <n v="1005"/>
    <x v="1"/>
    <n v="28"/>
    <n v="2"/>
    <s v="Technical Degree"/>
    <n v="1"/>
    <n v="1719"/>
    <n v="4"/>
    <x v="0"/>
    <n v="48"/>
    <x v="1"/>
    <n v="4"/>
    <x v="7"/>
    <n v="2"/>
    <x v="0"/>
    <n v="16704"/>
    <n v="17119"/>
    <n v="1"/>
    <s v="Y"/>
    <s v="No"/>
    <n v="11"/>
    <x v="0"/>
    <n v="3"/>
    <n v="80"/>
    <x v="0"/>
    <n v="21"/>
    <x v="2"/>
    <n v="3"/>
    <n v="21"/>
    <n v="6"/>
    <n v="8"/>
    <n v="6"/>
  </r>
  <r>
    <n v="32"/>
    <x v="1"/>
    <x v="1"/>
    <n v="585"/>
    <x v="1"/>
    <n v="10"/>
    <n v="3"/>
    <s v="Life Sciences"/>
    <n v="1"/>
    <n v="1720"/>
    <n v="1"/>
    <x v="1"/>
    <n v="56"/>
    <x v="0"/>
    <n v="1"/>
    <x v="1"/>
    <n v="3"/>
    <x v="1"/>
    <n v="3433"/>
    <n v="17360"/>
    <n v="6"/>
    <s v="Y"/>
    <s v="No"/>
    <n v="13"/>
    <x v="0"/>
    <n v="1"/>
    <n v="80"/>
    <x v="1"/>
    <n v="10"/>
    <x v="1"/>
    <n v="2"/>
    <n v="5"/>
    <n v="2"/>
    <n v="1"/>
    <n v="3"/>
  </r>
  <r>
    <n v="31"/>
    <x v="1"/>
    <x v="0"/>
    <n v="741"/>
    <x v="1"/>
    <n v="2"/>
    <n v="4"/>
    <s v="Life Sciences"/>
    <n v="1"/>
    <n v="1721"/>
    <n v="2"/>
    <x v="1"/>
    <n v="69"/>
    <x v="0"/>
    <n v="1"/>
    <x v="2"/>
    <n v="3"/>
    <x v="1"/>
    <n v="3477"/>
    <n v="18103"/>
    <n v="1"/>
    <s v="Y"/>
    <s v="No"/>
    <n v="14"/>
    <x v="0"/>
    <n v="4"/>
    <n v="80"/>
    <x v="1"/>
    <n v="6"/>
    <x v="2"/>
    <n v="4"/>
    <n v="5"/>
    <n v="2"/>
    <n v="0"/>
    <n v="3"/>
  </r>
  <r>
    <n v="41"/>
    <x v="1"/>
    <x v="2"/>
    <n v="552"/>
    <x v="2"/>
    <n v="4"/>
    <n v="3"/>
    <s v="Human Resources"/>
    <n v="1"/>
    <n v="1722"/>
    <n v="3"/>
    <x v="1"/>
    <n v="60"/>
    <x v="3"/>
    <n v="2"/>
    <x v="8"/>
    <n v="2"/>
    <x v="1"/>
    <n v="6430"/>
    <n v="20794"/>
    <n v="6"/>
    <s v="Y"/>
    <s v="No"/>
    <n v="19"/>
    <x v="0"/>
    <n v="2"/>
    <n v="80"/>
    <x v="1"/>
    <n v="10"/>
    <x v="5"/>
    <n v="3"/>
    <n v="3"/>
    <n v="2"/>
    <n v="1"/>
    <n v="2"/>
  </r>
  <r>
    <n v="40"/>
    <x v="1"/>
    <x v="0"/>
    <n v="369"/>
    <x v="1"/>
    <n v="8"/>
    <n v="2"/>
    <s v="Life Sciences"/>
    <n v="1"/>
    <n v="1724"/>
    <n v="2"/>
    <x v="0"/>
    <n v="92"/>
    <x v="0"/>
    <n v="2"/>
    <x v="3"/>
    <n v="1"/>
    <x v="1"/>
    <n v="6516"/>
    <n v="5041"/>
    <n v="2"/>
    <s v="Y"/>
    <s v="Yes"/>
    <n v="16"/>
    <x v="0"/>
    <n v="2"/>
    <n v="80"/>
    <x v="1"/>
    <n v="18"/>
    <x v="1"/>
    <n v="3"/>
    <n v="1"/>
    <n v="0"/>
    <n v="0"/>
    <n v="0"/>
  </r>
  <r>
    <n v="24"/>
    <x v="1"/>
    <x v="0"/>
    <n v="506"/>
    <x v="1"/>
    <n v="29"/>
    <n v="1"/>
    <s v="Medical"/>
    <n v="1"/>
    <n v="1725"/>
    <n v="2"/>
    <x v="1"/>
    <n v="91"/>
    <x v="0"/>
    <n v="1"/>
    <x v="2"/>
    <n v="1"/>
    <x v="2"/>
    <n v="3907"/>
    <n v="3622"/>
    <n v="1"/>
    <s v="Y"/>
    <s v="No"/>
    <n v="13"/>
    <x v="0"/>
    <n v="2"/>
    <n v="80"/>
    <x v="2"/>
    <n v="6"/>
    <x v="2"/>
    <n v="4"/>
    <n v="6"/>
    <n v="2"/>
    <n v="1"/>
    <n v="2"/>
  </r>
  <r>
    <n v="46"/>
    <x v="1"/>
    <x v="0"/>
    <n v="717"/>
    <x v="1"/>
    <n v="13"/>
    <n v="4"/>
    <s v="Life Sciences"/>
    <n v="1"/>
    <n v="1727"/>
    <n v="3"/>
    <x v="1"/>
    <n v="34"/>
    <x v="0"/>
    <n v="2"/>
    <x v="4"/>
    <n v="2"/>
    <x v="0"/>
    <n v="5562"/>
    <n v="9697"/>
    <n v="6"/>
    <s v="Y"/>
    <s v="No"/>
    <n v="14"/>
    <x v="0"/>
    <n v="4"/>
    <n v="80"/>
    <x v="0"/>
    <n v="19"/>
    <x v="1"/>
    <n v="3"/>
    <n v="10"/>
    <n v="7"/>
    <n v="0"/>
    <n v="9"/>
  </r>
  <r>
    <n v="35"/>
    <x v="1"/>
    <x v="0"/>
    <n v="1370"/>
    <x v="1"/>
    <n v="27"/>
    <n v="4"/>
    <s v="Life Sciences"/>
    <n v="1"/>
    <n v="1728"/>
    <n v="4"/>
    <x v="1"/>
    <n v="49"/>
    <x v="0"/>
    <n v="2"/>
    <x v="3"/>
    <n v="3"/>
    <x v="1"/>
    <n v="6883"/>
    <n v="5151"/>
    <n v="2"/>
    <s v="Y"/>
    <s v="No"/>
    <n v="16"/>
    <x v="0"/>
    <n v="2"/>
    <n v="80"/>
    <x v="1"/>
    <n v="17"/>
    <x v="1"/>
    <n v="3"/>
    <n v="7"/>
    <n v="7"/>
    <n v="0"/>
    <n v="7"/>
  </r>
  <r>
    <n v="30"/>
    <x v="1"/>
    <x v="0"/>
    <n v="793"/>
    <x v="1"/>
    <n v="16"/>
    <n v="1"/>
    <s v="Life Sciences"/>
    <n v="1"/>
    <n v="1729"/>
    <n v="2"/>
    <x v="1"/>
    <n v="33"/>
    <x v="0"/>
    <n v="1"/>
    <x v="1"/>
    <n v="4"/>
    <x v="1"/>
    <n v="2862"/>
    <n v="3811"/>
    <n v="1"/>
    <s v="Y"/>
    <s v="No"/>
    <n v="12"/>
    <x v="0"/>
    <n v="2"/>
    <n v="80"/>
    <x v="1"/>
    <n v="10"/>
    <x v="2"/>
    <n v="2"/>
    <n v="10"/>
    <n v="0"/>
    <n v="0"/>
    <n v="8"/>
  </r>
  <r>
    <n v="47"/>
    <x v="1"/>
    <x v="2"/>
    <n v="543"/>
    <x v="0"/>
    <n v="2"/>
    <n v="4"/>
    <s v="Marketing"/>
    <n v="1"/>
    <n v="1731"/>
    <n v="3"/>
    <x v="1"/>
    <n v="87"/>
    <x v="0"/>
    <n v="2"/>
    <x v="0"/>
    <n v="2"/>
    <x v="1"/>
    <n v="4978"/>
    <n v="3536"/>
    <n v="7"/>
    <s v="Y"/>
    <s v="No"/>
    <n v="11"/>
    <x v="0"/>
    <n v="4"/>
    <n v="80"/>
    <x v="1"/>
    <n v="4"/>
    <x v="1"/>
    <n v="1"/>
    <n v="1"/>
    <n v="0"/>
    <n v="0"/>
    <n v="0"/>
  </r>
  <r>
    <n v="46"/>
    <x v="1"/>
    <x v="0"/>
    <n v="1277"/>
    <x v="0"/>
    <n v="2"/>
    <n v="3"/>
    <s v="Life Sciences"/>
    <n v="1"/>
    <n v="1732"/>
    <n v="3"/>
    <x v="1"/>
    <n v="74"/>
    <x v="0"/>
    <n v="3"/>
    <x v="0"/>
    <n v="4"/>
    <x v="2"/>
    <n v="10368"/>
    <n v="5596"/>
    <n v="4"/>
    <s v="Y"/>
    <s v="Yes"/>
    <n v="12"/>
    <x v="0"/>
    <n v="2"/>
    <n v="80"/>
    <x v="1"/>
    <n v="13"/>
    <x v="3"/>
    <n v="2"/>
    <n v="10"/>
    <n v="6"/>
    <n v="0"/>
    <n v="3"/>
  </r>
  <r>
    <n v="36"/>
    <x v="0"/>
    <x v="0"/>
    <n v="1456"/>
    <x v="0"/>
    <n v="13"/>
    <n v="5"/>
    <s v="Marketing"/>
    <n v="1"/>
    <n v="1733"/>
    <n v="2"/>
    <x v="1"/>
    <n v="96"/>
    <x v="1"/>
    <n v="2"/>
    <x v="0"/>
    <n v="1"/>
    <x v="2"/>
    <n v="6134"/>
    <n v="8658"/>
    <n v="5"/>
    <s v="Y"/>
    <s v="Yes"/>
    <n v="13"/>
    <x v="0"/>
    <n v="2"/>
    <n v="80"/>
    <x v="2"/>
    <n v="16"/>
    <x v="1"/>
    <n v="3"/>
    <n v="2"/>
    <n v="2"/>
    <n v="2"/>
    <n v="2"/>
  </r>
  <r>
    <n v="32"/>
    <x v="0"/>
    <x v="0"/>
    <n v="964"/>
    <x v="0"/>
    <n v="1"/>
    <n v="2"/>
    <s v="Life Sciences"/>
    <n v="1"/>
    <n v="1734"/>
    <n v="1"/>
    <x v="1"/>
    <n v="34"/>
    <x v="3"/>
    <n v="2"/>
    <x v="0"/>
    <n v="2"/>
    <x v="0"/>
    <n v="6735"/>
    <n v="12147"/>
    <n v="6"/>
    <s v="Y"/>
    <s v="No"/>
    <n v="15"/>
    <x v="0"/>
    <n v="2"/>
    <n v="80"/>
    <x v="0"/>
    <n v="10"/>
    <x v="2"/>
    <n v="3"/>
    <n v="0"/>
    <n v="0"/>
    <n v="0"/>
    <n v="0"/>
  </r>
  <r>
    <n v="23"/>
    <x v="1"/>
    <x v="0"/>
    <n v="160"/>
    <x v="1"/>
    <n v="4"/>
    <n v="1"/>
    <s v="Medical"/>
    <n v="1"/>
    <n v="1735"/>
    <n v="3"/>
    <x v="0"/>
    <n v="51"/>
    <x v="0"/>
    <n v="1"/>
    <x v="2"/>
    <n v="2"/>
    <x v="0"/>
    <n v="3295"/>
    <n v="12862"/>
    <n v="1"/>
    <s v="Y"/>
    <s v="No"/>
    <n v="13"/>
    <x v="0"/>
    <n v="3"/>
    <n v="80"/>
    <x v="0"/>
    <n v="3"/>
    <x v="1"/>
    <n v="1"/>
    <n v="3"/>
    <n v="2"/>
    <n v="1"/>
    <n v="2"/>
  </r>
  <r>
    <n v="31"/>
    <x v="1"/>
    <x v="1"/>
    <n v="163"/>
    <x v="1"/>
    <n v="24"/>
    <n v="1"/>
    <s v="Technical Degree"/>
    <n v="1"/>
    <n v="1736"/>
    <n v="4"/>
    <x v="0"/>
    <n v="30"/>
    <x v="0"/>
    <n v="2"/>
    <x v="3"/>
    <n v="4"/>
    <x v="0"/>
    <n v="5238"/>
    <n v="6670"/>
    <n v="2"/>
    <s v="Y"/>
    <s v="No"/>
    <n v="20"/>
    <x v="1"/>
    <n v="4"/>
    <n v="80"/>
    <x v="0"/>
    <n v="9"/>
    <x v="1"/>
    <n v="2"/>
    <n v="5"/>
    <n v="4"/>
    <n v="1"/>
    <n v="4"/>
  </r>
  <r>
    <n v="39"/>
    <x v="1"/>
    <x v="2"/>
    <n v="792"/>
    <x v="1"/>
    <n v="1"/>
    <n v="3"/>
    <s v="Life Sciences"/>
    <n v="1"/>
    <n v="1737"/>
    <n v="4"/>
    <x v="1"/>
    <n v="77"/>
    <x v="0"/>
    <n v="2"/>
    <x v="2"/>
    <n v="4"/>
    <x v="1"/>
    <n v="6472"/>
    <n v="8989"/>
    <n v="1"/>
    <s v="Y"/>
    <s v="Yes"/>
    <n v="15"/>
    <x v="0"/>
    <n v="4"/>
    <n v="80"/>
    <x v="1"/>
    <n v="9"/>
    <x v="2"/>
    <n v="3"/>
    <n v="9"/>
    <n v="8"/>
    <n v="5"/>
    <n v="8"/>
  </r>
  <r>
    <n v="32"/>
    <x v="1"/>
    <x v="0"/>
    <n v="371"/>
    <x v="0"/>
    <n v="19"/>
    <n v="3"/>
    <s v="Life Sciences"/>
    <n v="1"/>
    <n v="1739"/>
    <n v="4"/>
    <x v="1"/>
    <n v="80"/>
    <x v="3"/>
    <n v="3"/>
    <x v="0"/>
    <n v="3"/>
    <x v="1"/>
    <n v="9610"/>
    <n v="3840"/>
    <n v="3"/>
    <s v="Y"/>
    <s v="No"/>
    <n v="13"/>
    <x v="0"/>
    <n v="3"/>
    <n v="80"/>
    <x v="1"/>
    <n v="10"/>
    <x v="2"/>
    <n v="1"/>
    <n v="4"/>
    <n v="3"/>
    <n v="0"/>
    <n v="2"/>
  </r>
  <r>
    <n v="40"/>
    <x v="1"/>
    <x v="0"/>
    <n v="611"/>
    <x v="0"/>
    <n v="7"/>
    <n v="4"/>
    <s v="Medical"/>
    <n v="1"/>
    <n v="1740"/>
    <n v="2"/>
    <x v="1"/>
    <n v="88"/>
    <x v="0"/>
    <n v="5"/>
    <x v="5"/>
    <n v="2"/>
    <x v="0"/>
    <n v="19833"/>
    <n v="4349"/>
    <n v="1"/>
    <s v="Y"/>
    <s v="No"/>
    <n v="14"/>
    <x v="0"/>
    <n v="2"/>
    <n v="80"/>
    <x v="0"/>
    <n v="21"/>
    <x v="1"/>
    <n v="2"/>
    <n v="21"/>
    <n v="8"/>
    <n v="12"/>
    <n v="8"/>
  </r>
  <r>
    <n v="45"/>
    <x v="1"/>
    <x v="0"/>
    <n v="176"/>
    <x v="2"/>
    <n v="4"/>
    <n v="3"/>
    <s v="Life Sciences"/>
    <n v="1"/>
    <n v="1744"/>
    <n v="3"/>
    <x v="0"/>
    <n v="56"/>
    <x v="3"/>
    <n v="3"/>
    <x v="8"/>
    <n v="3"/>
    <x v="1"/>
    <n v="9756"/>
    <n v="6595"/>
    <n v="4"/>
    <s v="Y"/>
    <s v="No"/>
    <n v="21"/>
    <x v="1"/>
    <n v="3"/>
    <n v="80"/>
    <x v="3"/>
    <n v="9"/>
    <x v="2"/>
    <n v="4"/>
    <n v="5"/>
    <n v="0"/>
    <n v="0"/>
    <n v="3"/>
  </r>
  <r>
    <n v="30"/>
    <x v="1"/>
    <x v="1"/>
    <n v="1312"/>
    <x v="1"/>
    <n v="2"/>
    <n v="4"/>
    <s v="Technical Degree"/>
    <n v="1"/>
    <n v="1745"/>
    <n v="4"/>
    <x v="0"/>
    <n v="78"/>
    <x v="1"/>
    <n v="1"/>
    <x v="1"/>
    <n v="1"/>
    <x v="0"/>
    <n v="4968"/>
    <n v="26427"/>
    <n v="0"/>
    <s v="Y"/>
    <s v="No"/>
    <n v="16"/>
    <x v="0"/>
    <n v="4"/>
    <n v="80"/>
    <x v="0"/>
    <n v="10"/>
    <x v="2"/>
    <n v="3"/>
    <n v="9"/>
    <n v="7"/>
    <n v="0"/>
    <n v="7"/>
  </r>
  <r>
    <n v="24"/>
    <x v="1"/>
    <x v="1"/>
    <n v="897"/>
    <x v="2"/>
    <n v="10"/>
    <n v="3"/>
    <s v="Medical"/>
    <n v="1"/>
    <n v="1746"/>
    <n v="1"/>
    <x v="1"/>
    <n v="59"/>
    <x v="0"/>
    <n v="1"/>
    <x v="8"/>
    <n v="4"/>
    <x v="1"/>
    <n v="2145"/>
    <n v="2097"/>
    <n v="0"/>
    <s v="Y"/>
    <s v="No"/>
    <n v="14"/>
    <x v="0"/>
    <n v="4"/>
    <n v="80"/>
    <x v="1"/>
    <n v="3"/>
    <x v="2"/>
    <n v="3"/>
    <n v="2"/>
    <n v="2"/>
    <n v="2"/>
    <n v="1"/>
  </r>
  <r>
    <n v="30"/>
    <x v="0"/>
    <x v="1"/>
    <n v="600"/>
    <x v="2"/>
    <n v="8"/>
    <n v="3"/>
    <s v="Human Resources"/>
    <n v="1"/>
    <n v="1747"/>
    <n v="3"/>
    <x v="0"/>
    <n v="66"/>
    <x v="1"/>
    <n v="1"/>
    <x v="8"/>
    <n v="4"/>
    <x v="2"/>
    <n v="2180"/>
    <n v="9732"/>
    <n v="6"/>
    <s v="Y"/>
    <s v="No"/>
    <n v="11"/>
    <x v="0"/>
    <n v="3"/>
    <n v="80"/>
    <x v="1"/>
    <n v="6"/>
    <x v="0"/>
    <n v="2"/>
    <n v="4"/>
    <n v="2"/>
    <n v="1"/>
    <n v="2"/>
  </r>
  <r>
    <n v="31"/>
    <x v="1"/>
    <x v="0"/>
    <n v="1003"/>
    <x v="0"/>
    <n v="5"/>
    <n v="3"/>
    <s v="Technical Degree"/>
    <n v="1"/>
    <n v="1749"/>
    <n v="1"/>
    <x v="1"/>
    <n v="51"/>
    <x v="0"/>
    <n v="2"/>
    <x v="0"/>
    <n v="3"/>
    <x v="1"/>
    <n v="8346"/>
    <n v="20943"/>
    <n v="1"/>
    <s v="Y"/>
    <s v="No"/>
    <n v="19"/>
    <x v="0"/>
    <n v="3"/>
    <n v="80"/>
    <x v="1"/>
    <n v="6"/>
    <x v="1"/>
    <n v="3"/>
    <n v="5"/>
    <n v="2"/>
    <n v="0"/>
    <n v="2"/>
  </r>
  <r>
    <n v="27"/>
    <x v="1"/>
    <x v="0"/>
    <n v="1054"/>
    <x v="1"/>
    <n v="8"/>
    <n v="3"/>
    <s v="Medical"/>
    <n v="1"/>
    <n v="1751"/>
    <n v="3"/>
    <x v="0"/>
    <n v="67"/>
    <x v="0"/>
    <n v="1"/>
    <x v="1"/>
    <n v="4"/>
    <x v="0"/>
    <n v="3445"/>
    <n v="6152"/>
    <n v="1"/>
    <s v="Y"/>
    <s v="No"/>
    <n v="11"/>
    <x v="0"/>
    <n v="3"/>
    <n v="80"/>
    <x v="0"/>
    <n v="6"/>
    <x v="3"/>
    <n v="2"/>
    <n v="6"/>
    <n v="2"/>
    <n v="1"/>
    <n v="4"/>
  </r>
  <r>
    <n v="29"/>
    <x v="0"/>
    <x v="0"/>
    <n v="428"/>
    <x v="0"/>
    <n v="9"/>
    <n v="3"/>
    <s v="Marketing"/>
    <n v="1"/>
    <n v="1752"/>
    <n v="2"/>
    <x v="0"/>
    <n v="52"/>
    <x v="3"/>
    <n v="1"/>
    <x v="6"/>
    <n v="2"/>
    <x v="0"/>
    <n v="2760"/>
    <n v="14630"/>
    <n v="1"/>
    <s v="Y"/>
    <s v="No"/>
    <n v="13"/>
    <x v="0"/>
    <n v="3"/>
    <n v="80"/>
    <x v="0"/>
    <n v="2"/>
    <x v="1"/>
    <n v="3"/>
    <n v="2"/>
    <n v="2"/>
    <n v="2"/>
    <n v="2"/>
  </r>
  <r>
    <n v="29"/>
    <x v="1"/>
    <x v="1"/>
    <n v="461"/>
    <x v="1"/>
    <n v="1"/>
    <n v="3"/>
    <s v="Life Sciences"/>
    <n v="1"/>
    <n v="1753"/>
    <n v="4"/>
    <x v="1"/>
    <n v="70"/>
    <x v="2"/>
    <n v="2"/>
    <x v="4"/>
    <n v="3"/>
    <x v="0"/>
    <n v="6294"/>
    <n v="23060"/>
    <n v="8"/>
    <s v="Y"/>
    <s v="Yes"/>
    <n v="12"/>
    <x v="0"/>
    <n v="4"/>
    <n v="80"/>
    <x v="0"/>
    <n v="10"/>
    <x v="3"/>
    <n v="4"/>
    <n v="3"/>
    <n v="2"/>
    <n v="0"/>
    <n v="2"/>
  </r>
  <r>
    <n v="30"/>
    <x v="1"/>
    <x v="0"/>
    <n v="979"/>
    <x v="0"/>
    <n v="15"/>
    <n v="2"/>
    <s v="Marketing"/>
    <n v="1"/>
    <n v="1754"/>
    <n v="3"/>
    <x v="1"/>
    <n v="94"/>
    <x v="1"/>
    <n v="3"/>
    <x v="0"/>
    <n v="1"/>
    <x v="2"/>
    <n v="7140"/>
    <n v="3088"/>
    <n v="2"/>
    <s v="Y"/>
    <s v="No"/>
    <n v="11"/>
    <x v="0"/>
    <n v="1"/>
    <n v="80"/>
    <x v="1"/>
    <n v="12"/>
    <x v="2"/>
    <n v="3"/>
    <n v="7"/>
    <n v="7"/>
    <n v="1"/>
    <n v="7"/>
  </r>
  <r>
    <n v="34"/>
    <x v="1"/>
    <x v="0"/>
    <n v="181"/>
    <x v="1"/>
    <n v="2"/>
    <n v="4"/>
    <s v="Medical"/>
    <n v="1"/>
    <n v="1755"/>
    <n v="4"/>
    <x v="1"/>
    <n v="97"/>
    <x v="2"/>
    <n v="1"/>
    <x v="1"/>
    <n v="4"/>
    <x v="1"/>
    <n v="2932"/>
    <n v="5586"/>
    <n v="0"/>
    <s v="Y"/>
    <s v="Yes"/>
    <n v="14"/>
    <x v="0"/>
    <n v="1"/>
    <n v="80"/>
    <x v="2"/>
    <n v="6"/>
    <x v="1"/>
    <n v="3"/>
    <n v="5"/>
    <n v="0"/>
    <n v="1"/>
    <n v="2"/>
  </r>
  <r>
    <n v="33"/>
    <x v="1"/>
    <x v="2"/>
    <n v="1283"/>
    <x v="0"/>
    <n v="2"/>
    <n v="3"/>
    <s v="Marketing"/>
    <n v="1"/>
    <n v="1756"/>
    <n v="4"/>
    <x v="0"/>
    <n v="62"/>
    <x v="0"/>
    <n v="2"/>
    <x v="0"/>
    <n v="2"/>
    <x v="0"/>
    <n v="5147"/>
    <n v="10697"/>
    <n v="8"/>
    <s v="Y"/>
    <s v="No"/>
    <n v="15"/>
    <x v="0"/>
    <n v="4"/>
    <n v="80"/>
    <x v="0"/>
    <n v="13"/>
    <x v="2"/>
    <n v="2"/>
    <n v="11"/>
    <n v="7"/>
    <n v="1"/>
    <n v="7"/>
  </r>
  <r>
    <n v="49"/>
    <x v="1"/>
    <x v="0"/>
    <n v="1313"/>
    <x v="0"/>
    <n v="11"/>
    <n v="4"/>
    <s v="Marketing"/>
    <n v="1"/>
    <n v="1757"/>
    <n v="4"/>
    <x v="0"/>
    <n v="80"/>
    <x v="0"/>
    <n v="2"/>
    <x v="0"/>
    <n v="4"/>
    <x v="0"/>
    <n v="4507"/>
    <n v="8191"/>
    <n v="3"/>
    <s v="Y"/>
    <s v="No"/>
    <n v="12"/>
    <x v="0"/>
    <n v="3"/>
    <n v="80"/>
    <x v="0"/>
    <n v="8"/>
    <x v="4"/>
    <n v="4"/>
    <n v="5"/>
    <n v="1"/>
    <n v="0"/>
    <n v="4"/>
  </r>
  <r>
    <n v="33"/>
    <x v="0"/>
    <x v="0"/>
    <n v="211"/>
    <x v="0"/>
    <n v="16"/>
    <n v="3"/>
    <s v="Life Sciences"/>
    <n v="1"/>
    <n v="1758"/>
    <n v="1"/>
    <x v="0"/>
    <n v="74"/>
    <x v="0"/>
    <n v="3"/>
    <x v="0"/>
    <n v="1"/>
    <x v="0"/>
    <n v="8564"/>
    <n v="10092"/>
    <n v="2"/>
    <s v="Y"/>
    <s v="Yes"/>
    <n v="20"/>
    <x v="1"/>
    <n v="3"/>
    <n v="80"/>
    <x v="0"/>
    <n v="11"/>
    <x v="2"/>
    <n v="2"/>
    <n v="0"/>
    <n v="0"/>
    <n v="0"/>
    <n v="0"/>
  </r>
  <r>
    <n v="38"/>
    <x v="1"/>
    <x v="1"/>
    <n v="594"/>
    <x v="1"/>
    <n v="2"/>
    <n v="2"/>
    <s v="Medical"/>
    <n v="1"/>
    <n v="1760"/>
    <n v="3"/>
    <x v="0"/>
    <n v="75"/>
    <x v="1"/>
    <n v="1"/>
    <x v="2"/>
    <n v="2"/>
    <x v="1"/>
    <n v="2468"/>
    <n v="15963"/>
    <n v="4"/>
    <s v="Y"/>
    <s v="No"/>
    <n v="14"/>
    <x v="0"/>
    <n v="2"/>
    <n v="80"/>
    <x v="1"/>
    <n v="9"/>
    <x v="5"/>
    <n v="2"/>
    <n v="6"/>
    <n v="1"/>
    <n v="0"/>
    <n v="5"/>
  </r>
  <r>
    <n v="31"/>
    <x v="0"/>
    <x v="0"/>
    <n v="1079"/>
    <x v="0"/>
    <n v="16"/>
    <n v="4"/>
    <s v="Marketing"/>
    <n v="1"/>
    <n v="1761"/>
    <n v="1"/>
    <x v="1"/>
    <n v="70"/>
    <x v="0"/>
    <n v="3"/>
    <x v="0"/>
    <n v="3"/>
    <x v="1"/>
    <n v="8161"/>
    <n v="19002"/>
    <n v="2"/>
    <s v="Y"/>
    <s v="No"/>
    <n v="13"/>
    <x v="0"/>
    <n v="1"/>
    <n v="80"/>
    <x v="2"/>
    <n v="10"/>
    <x v="2"/>
    <n v="3"/>
    <n v="1"/>
    <n v="0"/>
    <n v="0"/>
    <n v="0"/>
  </r>
  <r>
    <n v="29"/>
    <x v="1"/>
    <x v="0"/>
    <n v="590"/>
    <x v="1"/>
    <n v="4"/>
    <n v="3"/>
    <s v="Technical Degree"/>
    <n v="1"/>
    <n v="1762"/>
    <n v="4"/>
    <x v="0"/>
    <n v="91"/>
    <x v="1"/>
    <n v="1"/>
    <x v="1"/>
    <n v="1"/>
    <x v="2"/>
    <n v="2109"/>
    <n v="10007"/>
    <n v="1"/>
    <s v="Y"/>
    <s v="No"/>
    <n v="13"/>
    <x v="0"/>
    <n v="3"/>
    <n v="80"/>
    <x v="1"/>
    <n v="1"/>
    <x v="2"/>
    <n v="3"/>
    <n v="1"/>
    <n v="0"/>
    <n v="0"/>
    <n v="0"/>
  </r>
  <r>
    <n v="30"/>
    <x v="1"/>
    <x v="0"/>
    <n v="305"/>
    <x v="1"/>
    <n v="16"/>
    <n v="3"/>
    <s v="Life Sciences"/>
    <n v="1"/>
    <n v="1763"/>
    <n v="3"/>
    <x v="1"/>
    <n v="58"/>
    <x v="2"/>
    <n v="2"/>
    <x v="4"/>
    <n v="3"/>
    <x v="1"/>
    <n v="5294"/>
    <n v="9128"/>
    <n v="3"/>
    <s v="Y"/>
    <s v="No"/>
    <n v="16"/>
    <x v="0"/>
    <n v="3"/>
    <n v="80"/>
    <x v="1"/>
    <n v="10"/>
    <x v="1"/>
    <n v="3"/>
    <n v="7"/>
    <n v="0"/>
    <n v="1"/>
    <n v="7"/>
  </r>
  <r>
    <n v="32"/>
    <x v="1"/>
    <x v="2"/>
    <n v="953"/>
    <x v="1"/>
    <n v="5"/>
    <n v="4"/>
    <s v="Technical Degree"/>
    <n v="1"/>
    <n v="1764"/>
    <n v="2"/>
    <x v="1"/>
    <n v="65"/>
    <x v="0"/>
    <n v="1"/>
    <x v="1"/>
    <n v="2"/>
    <x v="0"/>
    <n v="2718"/>
    <n v="17674"/>
    <n v="2"/>
    <s v="Y"/>
    <s v="No"/>
    <n v="14"/>
    <x v="0"/>
    <n v="2"/>
    <n v="80"/>
    <x v="0"/>
    <n v="12"/>
    <x v="1"/>
    <n v="3"/>
    <n v="7"/>
    <n v="7"/>
    <n v="0"/>
    <n v="7"/>
  </r>
  <r>
    <n v="38"/>
    <x v="1"/>
    <x v="0"/>
    <n v="833"/>
    <x v="1"/>
    <n v="18"/>
    <n v="3"/>
    <s v="Medical"/>
    <n v="1"/>
    <n v="1766"/>
    <n v="2"/>
    <x v="1"/>
    <n v="60"/>
    <x v="3"/>
    <n v="2"/>
    <x v="4"/>
    <n v="4"/>
    <x v="1"/>
    <n v="5811"/>
    <n v="24539"/>
    <n v="3"/>
    <s v="Y"/>
    <s v="Yes"/>
    <n v="16"/>
    <x v="0"/>
    <n v="3"/>
    <n v="80"/>
    <x v="1"/>
    <n v="15"/>
    <x v="2"/>
    <n v="3"/>
    <n v="1"/>
    <n v="0"/>
    <n v="1"/>
    <n v="0"/>
  </r>
  <r>
    <n v="43"/>
    <x v="0"/>
    <x v="1"/>
    <n v="807"/>
    <x v="1"/>
    <n v="17"/>
    <n v="3"/>
    <s v="Technical Degree"/>
    <n v="1"/>
    <n v="1767"/>
    <n v="3"/>
    <x v="1"/>
    <n v="38"/>
    <x v="1"/>
    <n v="1"/>
    <x v="1"/>
    <n v="3"/>
    <x v="1"/>
    <n v="2437"/>
    <n v="15587"/>
    <n v="9"/>
    <s v="Y"/>
    <s v="Yes"/>
    <n v="16"/>
    <x v="0"/>
    <n v="4"/>
    <n v="80"/>
    <x v="1"/>
    <n v="6"/>
    <x v="5"/>
    <n v="3"/>
    <n v="1"/>
    <n v="0"/>
    <n v="0"/>
    <n v="0"/>
  </r>
  <r>
    <n v="42"/>
    <x v="1"/>
    <x v="0"/>
    <n v="855"/>
    <x v="1"/>
    <n v="12"/>
    <n v="3"/>
    <s v="Medical"/>
    <n v="1"/>
    <n v="1768"/>
    <n v="2"/>
    <x v="1"/>
    <n v="57"/>
    <x v="0"/>
    <n v="1"/>
    <x v="2"/>
    <n v="2"/>
    <x v="2"/>
    <n v="2766"/>
    <n v="8952"/>
    <n v="8"/>
    <s v="Y"/>
    <s v="No"/>
    <n v="22"/>
    <x v="1"/>
    <n v="2"/>
    <n v="80"/>
    <x v="2"/>
    <n v="7"/>
    <x v="6"/>
    <n v="2"/>
    <n v="5"/>
    <n v="3"/>
    <n v="0"/>
    <n v="4"/>
  </r>
  <r>
    <n v="55"/>
    <x v="1"/>
    <x v="0"/>
    <n v="478"/>
    <x v="1"/>
    <n v="2"/>
    <n v="3"/>
    <s v="Medical"/>
    <n v="1"/>
    <n v="1770"/>
    <n v="3"/>
    <x v="1"/>
    <n v="60"/>
    <x v="1"/>
    <n v="5"/>
    <x v="7"/>
    <n v="1"/>
    <x v="1"/>
    <n v="19038"/>
    <n v="19805"/>
    <n v="8"/>
    <s v="Y"/>
    <s v="No"/>
    <n v="12"/>
    <x v="0"/>
    <n v="2"/>
    <n v="80"/>
    <x v="2"/>
    <n v="34"/>
    <x v="2"/>
    <n v="3"/>
    <n v="1"/>
    <n v="0"/>
    <n v="0"/>
    <n v="0"/>
  </r>
  <r>
    <n v="33"/>
    <x v="1"/>
    <x v="2"/>
    <n v="775"/>
    <x v="1"/>
    <n v="4"/>
    <n v="3"/>
    <s v="Technical Degree"/>
    <n v="1"/>
    <n v="1771"/>
    <n v="4"/>
    <x v="1"/>
    <n v="90"/>
    <x v="0"/>
    <n v="2"/>
    <x v="1"/>
    <n v="2"/>
    <x v="2"/>
    <n v="3055"/>
    <n v="6194"/>
    <n v="5"/>
    <s v="Y"/>
    <s v="No"/>
    <n v="15"/>
    <x v="0"/>
    <n v="4"/>
    <n v="80"/>
    <x v="3"/>
    <n v="11"/>
    <x v="2"/>
    <n v="2"/>
    <n v="9"/>
    <n v="8"/>
    <n v="1"/>
    <n v="7"/>
  </r>
  <r>
    <n v="41"/>
    <x v="1"/>
    <x v="0"/>
    <n v="548"/>
    <x v="1"/>
    <n v="9"/>
    <n v="4"/>
    <s v="Life Sciences"/>
    <n v="1"/>
    <n v="1772"/>
    <n v="3"/>
    <x v="1"/>
    <n v="94"/>
    <x v="0"/>
    <n v="1"/>
    <x v="2"/>
    <n v="1"/>
    <x v="2"/>
    <n v="2289"/>
    <n v="20520"/>
    <n v="1"/>
    <s v="Y"/>
    <s v="No"/>
    <n v="20"/>
    <x v="1"/>
    <n v="2"/>
    <n v="80"/>
    <x v="3"/>
    <n v="5"/>
    <x v="2"/>
    <n v="3"/>
    <n v="5"/>
    <n v="3"/>
    <n v="0"/>
    <n v="4"/>
  </r>
  <r>
    <n v="34"/>
    <x v="1"/>
    <x v="2"/>
    <n v="1375"/>
    <x v="0"/>
    <n v="10"/>
    <n v="3"/>
    <s v="Life Sciences"/>
    <n v="1"/>
    <n v="1774"/>
    <n v="4"/>
    <x v="1"/>
    <n v="87"/>
    <x v="0"/>
    <n v="2"/>
    <x v="0"/>
    <n v="3"/>
    <x v="2"/>
    <n v="4001"/>
    <n v="12313"/>
    <n v="1"/>
    <s v="Y"/>
    <s v="Yes"/>
    <n v="14"/>
    <x v="0"/>
    <n v="3"/>
    <n v="80"/>
    <x v="1"/>
    <n v="15"/>
    <x v="1"/>
    <n v="3"/>
    <n v="15"/>
    <n v="14"/>
    <n v="0"/>
    <n v="7"/>
  </r>
  <r>
    <n v="53"/>
    <x v="1"/>
    <x v="2"/>
    <n v="661"/>
    <x v="1"/>
    <n v="1"/>
    <n v="4"/>
    <s v="Medical"/>
    <n v="1"/>
    <n v="1775"/>
    <n v="1"/>
    <x v="0"/>
    <n v="60"/>
    <x v="1"/>
    <n v="4"/>
    <x v="3"/>
    <n v="3"/>
    <x v="1"/>
    <n v="12965"/>
    <n v="22308"/>
    <n v="4"/>
    <s v="Y"/>
    <s v="Yes"/>
    <n v="20"/>
    <x v="1"/>
    <n v="4"/>
    <n v="80"/>
    <x v="2"/>
    <n v="27"/>
    <x v="2"/>
    <n v="2"/>
    <n v="3"/>
    <n v="2"/>
    <n v="0"/>
    <n v="2"/>
  </r>
  <r>
    <n v="43"/>
    <x v="1"/>
    <x v="0"/>
    <n v="244"/>
    <x v="2"/>
    <n v="2"/>
    <n v="3"/>
    <s v="Life Sciences"/>
    <n v="1"/>
    <n v="1778"/>
    <n v="2"/>
    <x v="1"/>
    <n v="97"/>
    <x v="0"/>
    <n v="1"/>
    <x v="8"/>
    <n v="4"/>
    <x v="0"/>
    <n v="3539"/>
    <n v="5033"/>
    <n v="0"/>
    <s v="Y"/>
    <s v="No"/>
    <n v="13"/>
    <x v="0"/>
    <n v="2"/>
    <n v="80"/>
    <x v="0"/>
    <n v="10"/>
    <x v="3"/>
    <n v="3"/>
    <n v="9"/>
    <n v="7"/>
    <n v="1"/>
    <n v="8"/>
  </r>
  <r>
    <n v="34"/>
    <x v="1"/>
    <x v="0"/>
    <n v="511"/>
    <x v="0"/>
    <n v="3"/>
    <n v="2"/>
    <s v="Life Sciences"/>
    <n v="1"/>
    <n v="1779"/>
    <n v="4"/>
    <x v="0"/>
    <n v="32"/>
    <x v="3"/>
    <n v="2"/>
    <x v="0"/>
    <n v="4"/>
    <x v="0"/>
    <n v="6029"/>
    <n v="25353"/>
    <n v="5"/>
    <s v="Y"/>
    <s v="No"/>
    <n v="12"/>
    <x v="0"/>
    <n v="1"/>
    <n v="80"/>
    <x v="0"/>
    <n v="6"/>
    <x v="1"/>
    <n v="3"/>
    <n v="2"/>
    <n v="2"/>
    <n v="2"/>
    <n v="2"/>
  </r>
  <r>
    <n v="21"/>
    <x v="0"/>
    <x v="0"/>
    <n v="337"/>
    <x v="0"/>
    <n v="7"/>
    <n v="1"/>
    <s v="Marketing"/>
    <n v="1"/>
    <n v="1780"/>
    <n v="2"/>
    <x v="1"/>
    <n v="31"/>
    <x v="0"/>
    <n v="1"/>
    <x v="6"/>
    <n v="2"/>
    <x v="0"/>
    <n v="2679"/>
    <n v="4567"/>
    <n v="1"/>
    <s v="Y"/>
    <s v="No"/>
    <n v="13"/>
    <x v="0"/>
    <n v="2"/>
    <n v="80"/>
    <x v="0"/>
    <n v="1"/>
    <x v="1"/>
    <n v="3"/>
    <n v="1"/>
    <n v="0"/>
    <n v="1"/>
    <n v="0"/>
  </r>
  <r>
    <n v="38"/>
    <x v="1"/>
    <x v="0"/>
    <n v="1153"/>
    <x v="1"/>
    <n v="6"/>
    <n v="2"/>
    <s v="Other"/>
    <n v="1"/>
    <n v="1782"/>
    <n v="4"/>
    <x v="0"/>
    <n v="40"/>
    <x v="1"/>
    <n v="1"/>
    <x v="2"/>
    <n v="3"/>
    <x v="1"/>
    <n v="3702"/>
    <n v="16376"/>
    <n v="1"/>
    <s v="Y"/>
    <s v="No"/>
    <n v="11"/>
    <x v="0"/>
    <n v="2"/>
    <n v="80"/>
    <x v="1"/>
    <n v="5"/>
    <x v="1"/>
    <n v="3"/>
    <n v="5"/>
    <n v="4"/>
    <n v="0"/>
    <n v="4"/>
  </r>
  <r>
    <n v="22"/>
    <x v="0"/>
    <x v="0"/>
    <n v="1294"/>
    <x v="1"/>
    <n v="8"/>
    <n v="1"/>
    <s v="Medical"/>
    <n v="1"/>
    <n v="1783"/>
    <n v="3"/>
    <x v="0"/>
    <n v="79"/>
    <x v="0"/>
    <n v="1"/>
    <x v="2"/>
    <n v="1"/>
    <x v="1"/>
    <n v="2398"/>
    <n v="15999"/>
    <n v="1"/>
    <s v="Y"/>
    <s v="Yes"/>
    <n v="17"/>
    <x v="0"/>
    <n v="3"/>
    <n v="80"/>
    <x v="0"/>
    <n v="1"/>
    <x v="6"/>
    <n v="3"/>
    <n v="1"/>
    <n v="0"/>
    <n v="0"/>
    <n v="0"/>
  </r>
  <r>
    <n v="31"/>
    <x v="1"/>
    <x v="0"/>
    <n v="196"/>
    <x v="0"/>
    <n v="29"/>
    <n v="4"/>
    <s v="Marketing"/>
    <n v="1"/>
    <n v="1784"/>
    <n v="1"/>
    <x v="0"/>
    <n v="91"/>
    <x v="1"/>
    <n v="2"/>
    <x v="0"/>
    <n v="4"/>
    <x v="1"/>
    <n v="5468"/>
    <n v="13402"/>
    <n v="1"/>
    <s v="Y"/>
    <s v="No"/>
    <n v="14"/>
    <x v="0"/>
    <n v="1"/>
    <n v="80"/>
    <x v="3"/>
    <n v="13"/>
    <x v="1"/>
    <n v="3"/>
    <n v="12"/>
    <n v="7"/>
    <n v="5"/>
    <n v="7"/>
  </r>
  <r>
    <n v="51"/>
    <x v="1"/>
    <x v="0"/>
    <n v="942"/>
    <x v="1"/>
    <n v="3"/>
    <n v="3"/>
    <s v="Technical Degree"/>
    <n v="1"/>
    <n v="1786"/>
    <n v="1"/>
    <x v="0"/>
    <n v="53"/>
    <x v="0"/>
    <n v="3"/>
    <x v="5"/>
    <n v="3"/>
    <x v="1"/>
    <n v="13116"/>
    <n v="22984"/>
    <n v="2"/>
    <s v="Y"/>
    <s v="No"/>
    <n v="11"/>
    <x v="0"/>
    <n v="4"/>
    <n v="80"/>
    <x v="0"/>
    <n v="15"/>
    <x v="2"/>
    <n v="3"/>
    <n v="2"/>
    <n v="2"/>
    <n v="2"/>
    <n v="2"/>
  </r>
  <r>
    <n v="37"/>
    <x v="1"/>
    <x v="0"/>
    <n v="589"/>
    <x v="0"/>
    <n v="9"/>
    <n v="2"/>
    <s v="Marketing"/>
    <n v="1"/>
    <n v="1787"/>
    <n v="2"/>
    <x v="1"/>
    <n v="46"/>
    <x v="1"/>
    <n v="2"/>
    <x v="0"/>
    <n v="2"/>
    <x v="1"/>
    <n v="4189"/>
    <n v="8800"/>
    <n v="1"/>
    <s v="Y"/>
    <s v="No"/>
    <n v="14"/>
    <x v="0"/>
    <n v="1"/>
    <n v="80"/>
    <x v="3"/>
    <n v="5"/>
    <x v="2"/>
    <n v="3"/>
    <n v="5"/>
    <n v="2"/>
    <n v="0"/>
    <n v="3"/>
  </r>
  <r>
    <n v="46"/>
    <x v="1"/>
    <x v="0"/>
    <n v="734"/>
    <x v="1"/>
    <n v="2"/>
    <n v="4"/>
    <s v="Medical"/>
    <n v="1"/>
    <n v="1789"/>
    <n v="3"/>
    <x v="1"/>
    <n v="46"/>
    <x v="0"/>
    <n v="5"/>
    <x v="7"/>
    <n v="4"/>
    <x v="2"/>
    <n v="19328"/>
    <n v="14218"/>
    <n v="7"/>
    <s v="Y"/>
    <s v="Yes"/>
    <n v="17"/>
    <x v="0"/>
    <n v="3"/>
    <n v="80"/>
    <x v="1"/>
    <n v="24"/>
    <x v="1"/>
    <n v="3"/>
    <n v="2"/>
    <n v="1"/>
    <n v="2"/>
    <n v="2"/>
  </r>
  <r>
    <n v="36"/>
    <x v="1"/>
    <x v="0"/>
    <n v="1383"/>
    <x v="1"/>
    <n v="10"/>
    <n v="3"/>
    <s v="Life Sciences"/>
    <n v="1"/>
    <n v="1790"/>
    <n v="4"/>
    <x v="1"/>
    <n v="90"/>
    <x v="0"/>
    <n v="3"/>
    <x v="4"/>
    <n v="1"/>
    <x v="1"/>
    <n v="8321"/>
    <n v="25949"/>
    <n v="7"/>
    <s v="Y"/>
    <s v="Yes"/>
    <n v="13"/>
    <x v="0"/>
    <n v="4"/>
    <n v="80"/>
    <x v="1"/>
    <n v="15"/>
    <x v="4"/>
    <n v="3"/>
    <n v="12"/>
    <n v="8"/>
    <n v="5"/>
    <n v="7"/>
  </r>
  <r>
    <n v="44"/>
    <x v="0"/>
    <x v="1"/>
    <n v="429"/>
    <x v="1"/>
    <n v="1"/>
    <n v="2"/>
    <s v="Medical"/>
    <n v="1"/>
    <n v="1792"/>
    <n v="3"/>
    <x v="1"/>
    <n v="99"/>
    <x v="0"/>
    <n v="1"/>
    <x v="1"/>
    <n v="2"/>
    <x v="2"/>
    <n v="2342"/>
    <n v="11092"/>
    <n v="1"/>
    <s v="Y"/>
    <s v="Yes"/>
    <n v="12"/>
    <x v="0"/>
    <n v="3"/>
    <n v="80"/>
    <x v="2"/>
    <n v="6"/>
    <x v="2"/>
    <n v="2"/>
    <n v="5"/>
    <n v="3"/>
    <n v="2"/>
    <n v="3"/>
  </r>
  <r>
    <n v="37"/>
    <x v="1"/>
    <x v="0"/>
    <n v="1239"/>
    <x v="2"/>
    <n v="8"/>
    <n v="2"/>
    <s v="Other"/>
    <n v="1"/>
    <n v="1794"/>
    <n v="3"/>
    <x v="1"/>
    <n v="89"/>
    <x v="0"/>
    <n v="2"/>
    <x v="8"/>
    <n v="2"/>
    <x v="2"/>
    <n v="4071"/>
    <n v="12832"/>
    <n v="2"/>
    <s v="Y"/>
    <s v="No"/>
    <n v="13"/>
    <x v="0"/>
    <n v="3"/>
    <n v="80"/>
    <x v="0"/>
    <n v="19"/>
    <x v="5"/>
    <n v="2"/>
    <n v="10"/>
    <n v="0"/>
    <n v="4"/>
    <n v="7"/>
  </r>
  <r>
    <n v="35"/>
    <x v="0"/>
    <x v="0"/>
    <n v="303"/>
    <x v="0"/>
    <n v="27"/>
    <n v="3"/>
    <s v="Life Sciences"/>
    <n v="1"/>
    <n v="1797"/>
    <n v="3"/>
    <x v="1"/>
    <n v="84"/>
    <x v="0"/>
    <n v="2"/>
    <x v="0"/>
    <n v="4"/>
    <x v="0"/>
    <n v="5813"/>
    <n v="13492"/>
    <n v="1"/>
    <s v="Y"/>
    <s v="Yes"/>
    <n v="18"/>
    <x v="0"/>
    <n v="4"/>
    <n v="80"/>
    <x v="0"/>
    <n v="10"/>
    <x v="2"/>
    <n v="3"/>
    <n v="10"/>
    <n v="7"/>
    <n v="7"/>
    <n v="7"/>
  </r>
  <r>
    <n v="33"/>
    <x v="1"/>
    <x v="0"/>
    <n v="867"/>
    <x v="1"/>
    <n v="8"/>
    <n v="4"/>
    <s v="Life Sciences"/>
    <n v="1"/>
    <n v="1798"/>
    <n v="4"/>
    <x v="1"/>
    <n v="90"/>
    <x v="2"/>
    <n v="1"/>
    <x v="1"/>
    <n v="1"/>
    <x v="1"/>
    <n v="3143"/>
    <n v="6076"/>
    <n v="6"/>
    <s v="Y"/>
    <s v="No"/>
    <n v="19"/>
    <x v="0"/>
    <n v="2"/>
    <n v="80"/>
    <x v="1"/>
    <n v="14"/>
    <x v="4"/>
    <n v="3"/>
    <n v="10"/>
    <n v="8"/>
    <n v="7"/>
    <n v="6"/>
  </r>
  <r>
    <n v="28"/>
    <x v="1"/>
    <x v="0"/>
    <n v="1181"/>
    <x v="1"/>
    <n v="1"/>
    <n v="3"/>
    <s v="Life Sciences"/>
    <n v="1"/>
    <n v="1799"/>
    <n v="3"/>
    <x v="1"/>
    <n v="82"/>
    <x v="0"/>
    <n v="1"/>
    <x v="1"/>
    <n v="4"/>
    <x v="1"/>
    <n v="2044"/>
    <n v="5531"/>
    <n v="1"/>
    <s v="Y"/>
    <s v="No"/>
    <n v="11"/>
    <x v="0"/>
    <n v="3"/>
    <n v="80"/>
    <x v="1"/>
    <n v="5"/>
    <x v="6"/>
    <n v="4"/>
    <n v="5"/>
    <n v="3"/>
    <n v="0"/>
    <n v="3"/>
  </r>
  <r>
    <n v="39"/>
    <x v="1"/>
    <x v="0"/>
    <n v="1253"/>
    <x v="1"/>
    <n v="10"/>
    <n v="1"/>
    <s v="Medical"/>
    <n v="1"/>
    <n v="1800"/>
    <n v="3"/>
    <x v="1"/>
    <n v="65"/>
    <x v="0"/>
    <n v="3"/>
    <x v="7"/>
    <n v="3"/>
    <x v="0"/>
    <n v="13464"/>
    <n v="7914"/>
    <n v="7"/>
    <s v="Y"/>
    <s v="No"/>
    <n v="21"/>
    <x v="1"/>
    <n v="3"/>
    <n v="80"/>
    <x v="0"/>
    <n v="9"/>
    <x v="1"/>
    <n v="3"/>
    <n v="4"/>
    <n v="3"/>
    <n v="2"/>
    <n v="2"/>
  </r>
  <r>
    <n v="46"/>
    <x v="1"/>
    <x v="2"/>
    <n v="849"/>
    <x v="0"/>
    <n v="26"/>
    <n v="2"/>
    <s v="Life Sciences"/>
    <n v="1"/>
    <n v="1801"/>
    <n v="2"/>
    <x v="1"/>
    <n v="98"/>
    <x v="1"/>
    <n v="2"/>
    <x v="0"/>
    <n v="2"/>
    <x v="0"/>
    <n v="7991"/>
    <n v="25166"/>
    <n v="8"/>
    <s v="Y"/>
    <s v="No"/>
    <n v="15"/>
    <x v="0"/>
    <n v="3"/>
    <n v="80"/>
    <x v="0"/>
    <n v="6"/>
    <x v="1"/>
    <n v="3"/>
    <n v="2"/>
    <n v="2"/>
    <n v="2"/>
    <n v="2"/>
  </r>
  <r>
    <n v="40"/>
    <x v="1"/>
    <x v="0"/>
    <n v="616"/>
    <x v="1"/>
    <n v="2"/>
    <n v="2"/>
    <s v="Life Sciences"/>
    <n v="1"/>
    <n v="1802"/>
    <n v="3"/>
    <x v="0"/>
    <n v="99"/>
    <x v="0"/>
    <n v="1"/>
    <x v="2"/>
    <n v="1"/>
    <x v="1"/>
    <n v="3377"/>
    <n v="25605"/>
    <n v="4"/>
    <s v="Y"/>
    <s v="No"/>
    <n v="17"/>
    <x v="0"/>
    <n v="4"/>
    <n v="80"/>
    <x v="1"/>
    <n v="7"/>
    <x v="3"/>
    <n v="2"/>
    <n v="4"/>
    <n v="3"/>
    <n v="0"/>
    <n v="2"/>
  </r>
  <r>
    <n v="42"/>
    <x v="1"/>
    <x v="0"/>
    <n v="1128"/>
    <x v="1"/>
    <n v="13"/>
    <n v="3"/>
    <s v="Medical"/>
    <n v="1"/>
    <n v="1803"/>
    <n v="2"/>
    <x v="1"/>
    <n v="95"/>
    <x v="2"/>
    <n v="2"/>
    <x v="4"/>
    <n v="1"/>
    <x v="1"/>
    <n v="5538"/>
    <n v="5696"/>
    <n v="5"/>
    <s v="Y"/>
    <s v="No"/>
    <n v="18"/>
    <x v="0"/>
    <n v="3"/>
    <n v="80"/>
    <x v="3"/>
    <n v="10"/>
    <x v="2"/>
    <n v="2"/>
    <n v="0"/>
    <n v="0"/>
    <n v="0"/>
    <n v="0"/>
  </r>
  <r>
    <n v="35"/>
    <x v="1"/>
    <x v="2"/>
    <n v="1180"/>
    <x v="1"/>
    <n v="2"/>
    <n v="2"/>
    <s v="Medical"/>
    <n v="1"/>
    <n v="1804"/>
    <n v="2"/>
    <x v="1"/>
    <n v="90"/>
    <x v="0"/>
    <n v="2"/>
    <x v="3"/>
    <n v="4"/>
    <x v="2"/>
    <n v="5762"/>
    <n v="24442"/>
    <n v="2"/>
    <s v="Y"/>
    <s v="No"/>
    <n v="14"/>
    <x v="0"/>
    <n v="3"/>
    <n v="80"/>
    <x v="1"/>
    <n v="15"/>
    <x v="6"/>
    <n v="3"/>
    <n v="7"/>
    <n v="7"/>
    <n v="1"/>
    <n v="7"/>
  </r>
  <r>
    <n v="38"/>
    <x v="1"/>
    <x v="2"/>
    <n v="1336"/>
    <x v="2"/>
    <n v="2"/>
    <n v="3"/>
    <s v="Human Resources"/>
    <n v="1"/>
    <n v="1805"/>
    <n v="1"/>
    <x v="1"/>
    <n v="100"/>
    <x v="0"/>
    <n v="1"/>
    <x v="8"/>
    <n v="2"/>
    <x v="2"/>
    <n v="2592"/>
    <n v="7129"/>
    <n v="5"/>
    <s v="Y"/>
    <s v="No"/>
    <n v="13"/>
    <x v="0"/>
    <n v="4"/>
    <n v="80"/>
    <x v="2"/>
    <n v="13"/>
    <x v="1"/>
    <n v="3"/>
    <n v="11"/>
    <n v="10"/>
    <n v="3"/>
    <n v="8"/>
  </r>
  <r>
    <n v="34"/>
    <x v="0"/>
    <x v="1"/>
    <n v="234"/>
    <x v="1"/>
    <n v="9"/>
    <n v="4"/>
    <s v="Life Sciences"/>
    <n v="1"/>
    <n v="1807"/>
    <n v="4"/>
    <x v="1"/>
    <n v="93"/>
    <x v="0"/>
    <n v="2"/>
    <x v="2"/>
    <n v="1"/>
    <x v="1"/>
    <n v="5346"/>
    <n v="6208"/>
    <n v="4"/>
    <s v="Y"/>
    <s v="No"/>
    <n v="17"/>
    <x v="0"/>
    <n v="3"/>
    <n v="80"/>
    <x v="1"/>
    <n v="11"/>
    <x v="1"/>
    <n v="2"/>
    <n v="7"/>
    <n v="1"/>
    <n v="0"/>
    <n v="7"/>
  </r>
  <r>
    <n v="37"/>
    <x v="0"/>
    <x v="0"/>
    <n v="370"/>
    <x v="1"/>
    <n v="10"/>
    <n v="4"/>
    <s v="Medical"/>
    <n v="1"/>
    <n v="1809"/>
    <n v="4"/>
    <x v="1"/>
    <n v="58"/>
    <x v="0"/>
    <n v="2"/>
    <x v="3"/>
    <n v="1"/>
    <x v="0"/>
    <n v="4213"/>
    <n v="4992"/>
    <n v="1"/>
    <s v="Y"/>
    <s v="No"/>
    <n v="15"/>
    <x v="0"/>
    <n v="2"/>
    <n v="80"/>
    <x v="0"/>
    <n v="10"/>
    <x v="5"/>
    <n v="1"/>
    <n v="10"/>
    <n v="3"/>
    <n v="0"/>
    <n v="8"/>
  </r>
  <r>
    <n v="39"/>
    <x v="1"/>
    <x v="1"/>
    <n v="766"/>
    <x v="0"/>
    <n v="20"/>
    <n v="3"/>
    <s v="Life Sciences"/>
    <n v="1"/>
    <n v="1812"/>
    <n v="3"/>
    <x v="1"/>
    <n v="83"/>
    <x v="0"/>
    <n v="2"/>
    <x v="0"/>
    <n v="4"/>
    <x v="2"/>
    <n v="4127"/>
    <n v="19188"/>
    <n v="2"/>
    <s v="Y"/>
    <s v="No"/>
    <n v="18"/>
    <x v="0"/>
    <n v="4"/>
    <n v="80"/>
    <x v="1"/>
    <n v="7"/>
    <x v="6"/>
    <n v="3"/>
    <n v="2"/>
    <n v="1"/>
    <n v="2"/>
    <n v="2"/>
  </r>
  <r>
    <n v="43"/>
    <x v="1"/>
    <x v="2"/>
    <n v="343"/>
    <x v="1"/>
    <n v="9"/>
    <n v="3"/>
    <s v="Life Sciences"/>
    <n v="1"/>
    <n v="1813"/>
    <n v="1"/>
    <x v="1"/>
    <n v="52"/>
    <x v="0"/>
    <n v="1"/>
    <x v="1"/>
    <n v="3"/>
    <x v="0"/>
    <n v="2438"/>
    <n v="24978"/>
    <n v="4"/>
    <s v="Y"/>
    <s v="No"/>
    <n v="13"/>
    <x v="0"/>
    <n v="3"/>
    <n v="80"/>
    <x v="0"/>
    <n v="7"/>
    <x v="2"/>
    <n v="2"/>
    <n v="3"/>
    <n v="2"/>
    <n v="1"/>
    <n v="2"/>
  </r>
  <r>
    <n v="41"/>
    <x v="1"/>
    <x v="0"/>
    <n v="447"/>
    <x v="1"/>
    <n v="5"/>
    <n v="3"/>
    <s v="Life Sciences"/>
    <n v="1"/>
    <n v="1814"/>
    <n v="2"/>
    <x v="1"/>
    <n v="85"/>
    <x v="2"/>
    <n v="2"/>
    <x v="4"/>
    <n v="2"/>
    <x v="0"/>
    <n v="6870"/>
    <n v="15530"/>
    <n v="3"/>
    <s v="Y"/>
    <s v="No"/>
    <n v="12"/>
    <x v="0"/>
    <n v="1"/>
    <n v="80"/>
    <x v="0"/>
    <n v="11"/>
    <x v="1"/>
    <n v="1"/>
    <n v="3"/>
    <n v="2"/>
    <n v="1"/>
    <n v="2"/>
  </r>
  <r>
    <n v="41"/>
    <x v="1"/>
    <x v="0"/>
    <n v="796"/>
    <x v="0"/>
    <n v="4"/>
    <n v="1"/>
    <s v="Marketing"/>
    <n v="1"/>
    <n v="1815"/>
    <n v="3"/>
    <x v="0"/>
    <n v="81"/>
    <x v="0"/>
    <n v="3"/>
    <x v="0"/>
    <n v="3"/>
    <x v="2"/>
    <n v="10447"/>
    <n v="26458"/>
    <n v="0"/>
    <s v="Y"/>
    <s v="Yes"/>
    <n v="13"/>
    <x v="0"/>
    <n v="4"/>
    <n v="80"/>
    <x v="1"/>
    <n v="23"/>
    <x v="1"/>
    <n v="4"/>
    <n v="22"/>
    <n v="14"/>
    <n v="13"/>
    <n v="5"/>
  </r>
  <r>
    <n v="30"/>
    <x v="1"/>
    <x v="0"/>
    <n v="1092"/>
    <x v="1"/>
    <n v="10"/>
    <n v="3"/>
    <s v="Medical"/>
    <n v="1"/>
    <n v="1816"/>
    <n v="1"/>
    <x v="0"/>
    <n v="64"/>
    <x v="0"/>
    <n v="3"/>
    <x v="3"/>
    <n v="3"/>
    <x v="0"/>
    <n v="9667"/>
    <n v="2739"/>
    <n v="9"/>
    <s v="Y"/>
    <s v="No"/>
    <n v="14"/>
    <x v="0"/>
    <n v="2"/>
    <n v="80"/>
    <x v="0"/>
    <n v="9"/>
    <x v="1"/>
    <n v="3"/>
    <n v="7"/>
    <n v="7"/>
    <n v="0"/>
    <n v="2"/>
  </r>
  <r>
    <n v="26"/>
    <x v="0"/>
    <x v="0"/>
    <n v="920"/>
    <x v="2"/>
    <n v="20"/>
    <n v="2"/>
    <s v="Medical"/>
    <n v="1"/>
    <n v="1818"/>
    <n v="4"/>
    <x v="0"/>
    <n v="69"/>
    <x v="0"/>
    <n v="1"/>
    <x v="8"/>
    <n v="2"/>
    <x v="1"/>
    <n v="2148"/>
    <n v="6889"/>
    <n v="0"/>
    <s v="Y"/>
    <s v="Yes"/>
    <n v="11"/>
    <x v="0"/>
    <n v="3"/>
    <n v="80"/>
    <x v="0"/>
    <n v="6"/>
    <x v="1"/>
    <n v="3"/>
    <n v="5"/>
    <n v="1"/>
    <n v="1"/>
    <n v="4"/>
  </r>
  <r>
    <n v="46"/>
    <x v="0"/>
    <x v="0"/>
    <n v="261"/>
    <x v="1"/>
    <n v="21"/>
    <n v="2"/>
    <s v="Medical"/>
    <n v="1"/>
    <n v="1821"/>
    <n v="4"/>
    <x v="0"/>
    <n v="66"/>
    <x v="0"/>
    <n v="2"/>
    <x v="4"/>
    <n v="2"/>
    <x v="1"/>
    <n v="8926"/>
    <n v="10842"/>
    <n v="4"/>
    <s v="Y"/>
    <s v="No"/>
    <n v="22"/>
    <x v="1"/>
    <n v="4"/>
    <n v="80"/>
    <x v="1"/>
    <n v="13"/>
    <x v="2"/>
    <n v="4"/>
    <n v="9"/>
    <n v="7"/>
    <n v="3"/>
    <n v="7"/>
  </r>
  <r>
    <n v="40"/>
    <x v="1"/>
    <x v="0"/>
    <n v="1194"/>
    <x v="1"/>
    <n v="1"/>
    <n v="3"/>
    <s v="Life Sciences"/>
    <n v="1"/>
    <n v="1822"/>
    <n v="3"/>
    <x v="0"/>
    <n v="52"/>
    <x v="0"/>
    <n v="2"/>
    <x v="4"/>
    <n v="4"/>
    <x v="2"/>
    <n v="6513"/>
    <n v="9060"/>
    <n v="4"/>
    <s v="Y"/>
    <s v="No"/>
    <n v="17"/>
    <x v="0"/>
    <n v="4"/>
    <n v="80"/>
    <x v="1"/>
    <n v="12"/>
    <x v="1"/>
    <n v="3"/>
    <n v="5"/>
    <n v="3"/>
    <n v="0"/>
    <n v="3"/>
  </r>
  <r>
    <n v="34"/>
    <x v="1"/>
    <x v="0"/>
    <n v="810"/>
    <x v="0"/>
    <n v="8"/>
    <n v="2"/>
    <s v="Technical Degree"/>
    <n v="1"/>
    <n v="1823"/>
    <n v="2"/>
    <x v="1"/>
    <n v="92"/>
    <x v="2"/>
    <n v="2"/>
    <x v="0"/>
    <n v="3"/>
    <x v="1"/>
    <n v="6799"/>
    <n v="22128"/>
    <n v="1"/>
    <s v="Y"/>
    <s v="No"/>
    <n v="21"/>
    <x v="1"/>
    <n v="3"/>
    <n v="80"/>
    <x v="3"/>
    <n v="10"/>
    <x v="3"/>
    <n v="3"/>
    <n v="10"/>
    <n v="8"/>
    <n v="4"/>
    <n v="8"/>
  </r>
  <r>
    <n v="58"/>
    <x v="1"/>
    <x v="2"/>
    <n v="350"/>
    <x v="0"/>
    <n v="2"/>
    <n v="3"/>
    <s v="Medical"/>
    <n v="1"/>
    <n v="1824"/>
    <n v="2"/>
    <x v="1"/>
    <n v="52"/>
    <x v="0"/>
    <n v="4"/>
    <x v="5"/>
    <n v="2"/>
    <x v="2"/>
    <n v="16291"/>
    <n v="22577"/>
    <n v="4"/>
    <s v="Y"/>
    <s v="No"/>
    <n v="22"/>
    <x v="1"/>
    <n v="4"/>
    <n v="80"/>
    <x v="1"/>
    <n v="37"/>
    <x v="0"/>
    <n v="2"/>
    <n v="16"/>
    <n v="9"/>
    <n v="14"/>
    <n v="14"/>
  </r>
  <r>
    <n v="35"/>
    <x v="1"/>
    <x v="0"/>
    <n v="185"/>
    <x v="1"/>
    <n v="23"/>
    <n v="4"/>
    <s v="Medical"/>
    <n v="1"/>
    <n v="1826"/>
    <n v="2"/>
    <x v="1"/>
    <n v="91"/>
    <x v="3"/>
    <n v="1"/>
    <x v="2"/>
    <n v="3"/>
    <x v="1"/>
    <n v="2705"/>
    <n v="9696"/>
    <n v="0"/>
    <s v="Y"/>
    <s v="No"/>
    <n v="16"/>
    <x v="0"/>
    <n v="2"/>
    <n v="80"/>
    <x v="1"/>
    <n v="6"/>
    <x v="2"/>
    <n v="4"/>
    <n v="5"/>
    <n v="4"/>
    <n v="0"/>
    <n v="3"/>
  </r>
  <r>
    <n v="47"/>
    <x v="1"/>
    <x v="0"/>
    <n v="1001"/>
    <x v="1"/>
    <n v="4"/>
    <n v="3"/>
    <s v="Life Sciences"/>
    <n v="1"/>
    <n v="1827"/>
    <n v="3"/>
    <x v="0"/>
    <n v="92"/>
    <x v="1"/>
    <n v="3"/>
    <x v="3"/>
    <n v="2"/>
    <x v="2"/>
    <n v="10333"/>
    <n v="19271"/>
    <n v="8"/>
    <s v="Y"/>
    <s v="Yes"/>
    <n v="12"/>
    <x v="0"/>
    <n v="3"/>
    <n v="80"/>
    <x v="1"/>
    <n v="28"/>
    <x v="5"/>
    <n v="3"/>
    <n v="22"/>
    <n v="11"/>
    <n v="14"/>
    <n v="10"/>
  </r>
  <r>
    <n v="40"/>
    <x v="1"/>
    <x v="0"/>
    <n v="750"/>
    <x v="1"/>
    <n v="12"/>
    <n v="3"/>
    <s v="Life Sciences"/>
    <n v="1"/>
    <n v="1829"/>
    <n v="2"/>
    <x v="0"/>
    <n v="47"/>
    <x v="0"/>
    <n v="2"/>
    <x v="4"/>
    <n v="1"/>
    <x v="2"/>
    <n v="4448"/>
    <n v="10748"/>
    <n v="2"/>
    <s v="Y"/>
    <s v="No"/>
    <n v="12"/>
    <x v="0"/>
    <n v="2"/>
    <n v="80"/>
    <x v="1"/>
    <n v="15"/>
    <x v="1"/>
    <n v="3"/>
    <n v="7"/>
    <n v="4"/>
    <n v="7"/>
    <n v="7"/>
  </r>
  <r>
    <n v="54"/>
    <x v="1"/>
    <x v="0"/>
    <n v="431"/>
    <x v="1"/>
    <n v="7"/>
    <n v="4"/>
    <s v="Medical"/>
    <n v="1"/>
    <n v="1830"/>
    <n v="4"/>
    <x v="0"/>
    <n v="68"/>
    <x v="0"/>
    <n v="2"/>
    <x v="1"/>
    <n v="4"/>
    <x v="1"/>
    <n v="6854"/>
    <n v="15696"/>
    <n v="4"/>
    <s v="Y"/>
    <s v="No"/>
    <n v="15"/>
    <x v="0"/>
    <n v="2"/>
    <n v="80"/>
    <x v="1"/>
    <n v="14"/>
    <x v="2"/>
    <n v="2"/>
    <n v="7"/>
    <n v="1"/>
    <n v="1"/>
    <n v="7"/>
  </r>
  <r>
    <n v="31"/>
    <x v="1"/>
    <x v="1"/>
    <n v="1125"/>
    <x v="0"/>
    <n v="7"/>
    <n v="4"/>
    <s v="Marketing"/>
    <n v="1"/>
    <n v="1833"/>
    <n v="1"/>
    <x v="0"/>
    <n v="68"/>
    <x v="0"/>
    <n v="3"/>
    <x v="0"/>
    <n v="1"/>
    <x v="1"/>
    <n v="9637"/>
    <n v="8277"/>
    <n v="2"/>
    <s v="Y"/>
    <s v="No"/>
    <n v="14"/>
    <x v="0"/>
    <n v="4"/>
    <n v="80"/>
    <x v="3"/>
    <n v="9"/>
    <x v="1"/>
    <n v="3"/>
    <n v="3"/>
    <n v="2"/>
    <n v="2"/>
    <n v="2"/>
  </r>
  <r>
    <n v="28"/>
    <x v="1"/>
    <x v="0"/>
    <n v="1217"/>
    <x v="1"/>
    <n v="1"/>
    <n v="3"/>
    <s v="Medical"/>
    <n v="1"/>
    <n v="1834"/>
    <n v="3"/>
    <x v="0"/>
    <n v="67"/>
    <x v="0"/>
    <n v="1"/>
    <x v="1"/>
    <n v="1"/>
    <x v="1"/>
    <n v="3591"/>
    <n v="12719"/>
    <n v="1"/>
    <s v="Y"/>
    <s v="No"/>
    <n v="25"/>
    <x v="1"/>
    <n v="3"/>
    <n v="80"/>
    <x v="1"/>
    <n v="3"/>
    <x v="1"/>
    <n v="3"/>
    <n v="3"/>
    <n v="2"/>
    <n v="1"/>
    <n v="2"/>
  </r>
  <r>
    <n v="38"/>
    <x v="1"/>
    <x v="0"/>
    <n v="723"/>
    <x v="0"/>
    <n v="2"/>
    <n v="4"/>
    <s v="Marketing"/>
    <n v="1"/>
    <n v="1835"/>
    <n v="2"/>
    <x v="0"/>
    <n v="77"/>
    <x v="3"/>
    <n v="2"/>
    <x v="6"/>
    <n v="4"/>
    <x v="1"/>
    <n v="5405"/>
    <n v="4244"/>
    <n v="2"/>
    <s v="Y"/>
    <s v="Yes"/>
    <n v="20"/>
    <x v="1"/>
    <n v="1"/>
    <n v="80"/>
    <x v="3"/>
    <n v="20"/>
    <x v="5"/>
    <n v="2"/>
    <n v="4"/>
    <n v="2"/>
    <n v="0"/>
    <n v="3"/>
  </r>
  <r>
    <n v="26"/>
    <x v="1"/>
    <x v="0"/>
    <n v="572"/>
    <x v="0"/>
    <n v="10"/>
    <n v="3"/>
    <s v="Medical"/>
    <n v="1"/>
    <n v="1836"/>
    <n v="3"/>
    <x v="1"/>
    <n v="46"/>
    <x v="0"/>
    <n v="2"/>
    <x v="0"/>
    <n v="4"/>
    <x v="0"/>
    <n v="4684"/>
    <n v="9125"/>
    <n v="1"/>
    <s v="Y"/>
    <s v="No"/>
    <n v="13"/>
    <x v="0"/>
    <n v="1"/>
    <n v="80"/>
    <x v="0"/>
    <n v="5"/>
    <x v="5"/>
    <n v="3"/>
    <n v="5"/>
    <n v="3"/>
    <n v="1"/>
    <n v="2"/>
  </r>
  <r>
    <n v="58"/>
    <x v="1"/>
    <x v="1"/>
    <n v="1216"/>
    <x v="1"/>
    <n v="15"/>
    <n v="4"/>
    <s v="Life Sciences"/>
    <n v="1"/>
    <n v="1837"/>
    <n v="1"/>
    <x v="1"/>
    <n v="87"/>
    <x v="0"/>
    <n v="4"/>
    <x v="7"/>
    <n v="3"/>
    <x v="1"/>
    <n v="15787"/>
    <n v="21624"/>
    <n v="2"/>
    <s v="Y"/>
    <s v="Yes"/>
    <n v="14"/>
    <x v="0"/>
    <n v="2"/>
    <n v="80"/>
    <x v="0"/>
    <n v="23"/>
    <x v="1"/>
    <n v="3"/>
    <n v="2"/>
    <n v="2"/>
    <n v="2"/>
    <n v="2"/>
  </r>
  <r>
    <n v="18"/>
    <x v="1"/>
    <x v="2"/>
    <n v="1431"/>
    <x v="1"/>
    <n v="14"/>
    <n v="3"/>
    <s v="Medical"/>
    <n v="1"/>
    <n v="1839"/>
    <n v="2"/>
    <x v="0"/>
    <n v="33"/>
    <x v="0"/>
    <n v="1"/>
    <x v="1"/>
    <n v="3"/>
    <x v="0"/>
    <n v="1514"/>
    <n v="8018"/>
    <n v="1"/>
    <s v="Y"/>
    <s v="No"/>
    <n v="16"/>
    <x v="0"/>
    <n v="3"/>
    <n v="80"/>
    <x v="0"/>
    <n v="0"/>
    <x v="5"/>
    <n v="1"/>
    <n v="0"/>
    <n v="0"/>
    <n v="0"/>
    <n v="0"/>
  </r>
  <r>
    <n v="31"/>
    <x v="0"/>
    <x v="0"/>
    <n v="359"/>
    <x v="2"/>
    <n v="18"/>
    <n v="5"/>
    <s v="Human Resources"/>
    <n v="1"/>
    <n v="1842"/>
    <n v="4"/>
    <x v="1"/>
    <n v="89"/>
    <x v="2"/>
    <n v="1"/>
    <x v="8"/>
    <n v="1"/>
    <x v="1"/>
    <n v="2956"/>
    <n v="21495"/>
    <n v="0"/>
    <s v="Y"/>
    <s v="No"/>
    <n v="17"/>
    <x v="0"/>
    <n v="3"/>
    <n v="80"/>
    <x v="0"/>
    <n v="2"/>
    <x v="5"/>
    <n v="3"/>
    <n v="1"/>
    <n v="0"/>
    <n v="0"/>
    <n v="0"/>
  </r>
  <r>
    <n v="29"/>
    <x v="0"/>
    <x v="0"/>
    <n v="350"/>
    <x v="2"/>
    <n v="13"/>
    <n v="3"/>
    <s v="Human Resources"/>
    <n v="1"/>
    <n v="1844"/>
    <n v="1"/>
    <x v="1"/>
    <n v="56"/>
    <x v="1"/>
    <n v="1"/>
    <x v="8"/>
    <n v="1"/>
    <x v="2"/>
    <n v="2335"/>
    <n v="3157"/>
    <n v="4"/>
    <s v="Y"/>
    <s v="Yes"/>
    <n v="15"/>
    <x v="0"/>
    <n v="4"/>
    <n v="80"/>
    <x v="2"/>
    <n v="4"/>
    <x v="1"/>
    <n v="3"/>
    <n v="2"/>
    <n v="2"/>
    <n v="2"/>
    <n v="0"/>
  </r>
  <r>
    <n v="45"/>
    <x v="1"/>
    <x v="2"/>
    <n v="589"/>
    <x v="0"/>
    <n v="2"/>
    <n v="4"/>
    <s v="Life Sciences"/>
    <n v="1"/>
    <n v="1845"/>
    <n v="3"/>
    <x v="0"/>
    <n v="67"/>
    <x v="0"/>
    <n v="2"/>
    <x v="0"/>
    <n v="3"/>
    <x v="1"/>
    <n v="5154"/>
    <n v="19665"/>
    <n v="4"/>
    <s v="Y"/>
    <s v="No"/>
    <n v="22"/>
    <x v="1"/>
    <n v="2"/>
    <n v="80"/>
    <x v="3"/>
    <n v="10"/>
    <x v="1"/>
    <n v="4"/>
    <n v="8"/>
    <n v="7"/>
    <n v="5"/>
    <n v="7"/>
  </r>
  <r>
    <n v="36"/>
    <x v="1"/>
    <x v="0"/>
    <n v="430"/>
    <x v="1"/>
    <n v="2"/>
    <n v="4"/>
    <s v="Other"/>
    <n v="1"/>
    <n v="1847"/>
    <n v="4"/>
    <x v="0"/>
    <n v="73"/>
    <x v="0"/>
    <n v="2"/>
    <x v="1"/>
    <n v="2"/>
    <x v="1"/>
    <n v="6962"/>
    <n v="19573"/>
    <n v="4"/>
    <s v="Y"/>
    <s v="Yes"/>
    <n v="22"/>
    <x v="1"/>
    <n v="4"/>
    <n v="80"/>
    <x v="1"/>
    <n v="15"/>
    <x v="2"/>
    <n v="3"/>
    <n v="1"/>
    <n v="0"/>
    <n v="0"/>
    <n v="0"/>
  </r>
  <r>
    <n v="43"/>
    <x v="1"/>
    <x v="1"/>
    <n v="1422"/>
    <x v="0"/>
    <n v="2"/>
    <n v="4"/>
    <s v="Life Sciences"/>
    <n v="1"/>
    <n v="1849"/>
    <n v="1"/>
    <x v="1"/>
    <n v="92"/>
    <x v="0"/>
    <n v="2"/>
    <x v="0"/>
    <n v="4"/>
    <x v="1"/>
    <n v="5675"/>
    <n v="19246"/>
    <n v="1"/>
    <s v="Y"/>
    <s v="No"/>
    <n v="20"/>
    <x v="1"/>
    <n v="3"/>
    <n v="80"/>
    <x v="1"/>
    <n v="7"/>
    <x v="3"/>
    <n v="3"/>
    <n v="7"/>
    <n v="7"/>
    <n v="7"/>
    <n v="7"/>
  </r>
  <r>
    <n v="27"/>
    <x v="1"/>
    <x v="1"/>
    <n v="1297"/>
    <x v="1"/>
    <n v="5"/>
    <n v="2"/>
    <s v="Life Sciences"/>
    <n v="1"/>
    <n v="1850"/>
    <n v="4"/>
    <x v="0"/>
    <n v="53"/>
    <x v="0"/>
    <n v="1"/>
    <x v="2"/>
    <n v="4"/>
    <x v="0"/>
    <n v="2379"/>
    <n v="19826"/>
    <n v="0"/>
    <s v="Y"/>
    <s v="Yes"/>
    <n v="14"/>
    <x v="0"/>
    <n v="3"/>
    <n v="80"/>
    <x v="0"/>
    <n v="6"/>
    <x v="1"/>
    <n v="2"/>
    <n v="5"/>
    <n v="4"/>
    <n v="0"/>
    <n v="2"/>
  </r>
  <r>
    <n v="29"/>
    <x v="1"/>
    <x v="1"/>
    <n v="574"/>
    <x v="1"/>
    <n v="20"/>
    <n v="1"/>
    <s v="Medical"/>
    <n v="1"/>
    <n v="1852"/>
    <n v="4"/>
    <x v="1"/>
    <n v="40"/>
    <x v="0"/>
    <n v="1"/>
    <x v="2"/>
    <n v="4"/>
    <x v="1"/>
    <n v="3812"/>
    <n v="7003"/>
    <n v="1"/>
    <s v="Y"/>
    <s v="No"/>
    <n v="13"/>
    <x v="0"/>
    <n v="2"/>
    <n v="80"/>
    <x v="0"/>
    <n v="11"/>
    <x v="1"/>
    <n v="4"/>
    <n v="11"/>
    <n v="8"/>
    <n v="3"/>
    <n v="10"/>
  </r>
  <r>
    <n v="32"/>
    <x v="1"/>
    <x v="1"/>
    <n v="1318"/>
    <x v="0"/>
    <n v="10"/>
    <n v="4"/>
    <s v="Marketing"/>
    <n v="1"/>
    <n v="1853"/>
    <n v="4"/>
    <x v="1"/>
    <n v="79"/>
    <x v="0"/>
    <n v="2"/>
    <x v="0"/>
    <n v="4"/>
    <x v="0"/>
    <n v="4648"/>
    <n v="26075"/>
    <n v="8"/>
    <s v="Y"/>
    <s v="No"/>
    <n v="13"/>
    <x v="0"/>
    <n v="3"/>
    <n v="80"/>
    <x v="0"/>
    <n v="4"/>
    <x v="2"/>
    <n v="4"/>
    <n v="0"/>
    <n v="0"/>
    <n v="0"/>
    <n v="0"/>
  </r>
  <r>
    <n v="42"/>
    <x v="1"/>
    <x v="2"/>
    <n v="355"/>
    <x v="1"/>
    <n v="10"/>
    <n v="4"/>
    <s v="Technical Degree"/>
    <n v="1"/>
    <n v="1854"/>
    <n v="3"/>
    <x v="1"/>
    <n v="38"/>
    <x v="0"/>
    <n v="1"/>
    <x v="1"/>
    <n v="3"/>
    <x v="1"/>
    <n v="2936"/>
    <n v="6161"/>
    <n v="3"/>
    <s v="Y"/>
    <s v="No"/>
    <n v="22"/>
    <x v="1"/>
    <n v="2"/>
    <n v="80"/>
    <x v="3"/>
    <n v="10"/>
    <x v="4"/>
    <n v="2"/>
    <n v="6"/>
    <n v="3"/>
    <n v="3"/>
    <n v="3"/>
  </r>
  <r>
    <n v="47"/>
    <x v="1"/>
    <x v="0"/>
    <n v="207"/>
    <x v="1"/>
    <n v="9"/>
    <n v="4"/>
    <s v="Life Sciences"/>
    <n v="1"/>
    <n v="1856"/>
    <n v="2"/>
    <x v="0"/>
    <n v="64"/>
    <x v="0"/>
    <n v="1"/>
    <x v="2"/>
    <n v="3"/>
    <x v="0"/>
    <n v="2105"/>
    <n v="5411"/>
    <n v="4"/>
    <s v="Y"/>
    <s v="No"/>
    <n v="12"/>
    <x v="0"/>
    <n v="3"/>
    <n v="80"/>
    <x v="0"/>
    <n v="7"/>
    <x v="2"/>
    <n v="3"/>
    <n v="2"/>
    <n v="2"/>
    <n v="2"/>
    <n v="0"/>
  </r>
  <r>
    <n v="46"/>
    <x v="1"/>
    <x v="0"/>
    <n v="706"/>
    <x v="1"/>
    <n v="2"/>
    <n v="2"/>
    <s v="Life Sciences"/>
    <n v="1"/>
    <n v="1857"/>
    <n v="4"/>
    <x v="1"/>
    <n v="82"/>
    <x v="0"/>
    <n v="3"/>
    <x v="3"/>
    <n v="4"/>
    <x v="2"/>
    <n v="8578"/>
    <n v="19989"/>
    <n v="3"/>
    <s v="Y"/>
    <s v="No"/>
    <n v="14"/>
    <x v="0"/>
    <n v="3"/>
    <n v="80"/>
    <x v="1"/>
    <n v="12"/>
    <x v="5"/>
    <n v="2"/>
    <n v="9"/>
    <n v="8"/>
    <n v="4"/>
    <n v="7"/>
  </r>
  <r>
    <n v="28"/>
    <x v="1"/>
    <x v="2"/>
    <n v="280"/>
    <x v="2"/>
    <n v="1"/>
    <n v="2"/>
    <s v="Life Sciences"/>
    <n v="1"/>
    <n v="1858"/>
    <n v="3"/>
    <x v="1"/>
    <n v="43"/>
    <x v="0"/>
    <n v="1"/>
    <x v="8"/>
    <n v="4"/>
    <x v="2"/>
    <n v="2706"/>
    <n v="10494"/>
    <n v="1"/>
    <s v="Y"/>
    <s v="No"/>
    <n v="15"/>
    <x v="0"/>
    <n v="2"/>
    <n v="80"/>
    <x v="1"/>
    <n v="3"/>
    <x v="2"/>
    <n v="3"/>
    <n v="3"/>
    <n v="2"/>
    <n v="2"/>
    <n v="2"/>
  </r>
  <r>
    <n v="29"/>
    <x v="1"/>
    <x v="0"/>
    <n v="726"/>
    <x v="1"/>
    <n v="29"/>
    <n v="1"/>
    <s v="Life Sciences"/>
    <n v="1"/>
    <n v="1859"/>
    <n v="4"/>
    <x v="1"/>
    <n v="93"/>
    <x v="3"/>
    <n v="2"/>
    <x v="4"/>
    <n v="3"/>
    <x v="2"/>
    <n v="6384"/>
    <n v="21143"/>
    <n v="8"/>
    <s v="Y"/>
    <s v="No"/>
    <n v="17"/>
    <x v="0"/>
    <n v="4"/>
    <n v="80"/>
    <x v="3"/>
    <n v="11"/>
    <x v="1"/>
    <n v="3"/>
    <n v="7"/>
    <n v="0"/>
    <n v="1"/>
    <n v="6"/>
  </r>
  <r>
    <n v="42"/>
    <x v="1"/>
    <x v="0"/>
    <n v="1142"/>
    <x v="1"/>
    <n v="8"/>
    <n v="3"/>
    <s v="Life Sciences"/>
    <n v="1"/>
    <n v="1860"/>
    <n v="4"/>
    <x v="1"/>
    <n v="81"/>
    <x v="0"/>
    <n v="1"/>
    <x v="2"/>
    <n v="3"/>
    <x v="0"/>
    <n v="3968"/>
    <n v="13624"/>
    <n v="4"/>
    <s v="Y"/>
    <s v="No"/>
    <n v="13"/>
    <x v="0"/>
    <n v="4"/>
    <n v="80"/>
    <x v="0"/>
    <n v="8"/>
    <x v="1"/>
    <n v="3"/>
    <n v="0"/>
    <n v="0"/>
    <n v="0"/>
    <n v="0"/>
  </r>
  <r>
    <n v="32"/>
    <x v="0"/>
    <x v="0"/>
    <n v="414"/>
    <x v="0"/>
    <n v="2"/>
    <n v="4"/>
    <s v="Marketing"/>
    <n v="1"/>
    <n v="1862"/>
    <n v="3"/>
    <x v="1"/>
    <n v="82"/>
    <x v="1"/>
    <n v="2"/>
    <x v="0"/>
    <n v="2"/>
    <x v="0"/>
    <n v="9907"/>
    <n v="26186"/>
    <n v="7"/>
    <s v="Y"/>
    <s v="Yes"/>
    <n v="12"/>
    <x v="0"/>
    <n v="3"/>
    <n v="80"/>
    <x v="0"/>
    <n v="7"/>
    <x v="1"/>
    <n v="2"/>
    <n v="2"/>
    <n v="2"/>
    <n v="2"/>
    <n v="2"/>
  </r>
  <r>
    <n v="46"/>
    <x v="1"/>
    <x v="0"/>
    <n v="1319"/>
    <x v="0"/>
    <n v="3"/>
    <n v="3"/>
    <s v="Technical Degree"/>
    <n v="1"/>
    <n v="1863"/>
    <n v="1"/>
    <x v="0"/>
    <n v="45"/>
    <x v="2"/>
    <n v="4"/>
    <x v="0"/>
    <n v="1"/>
    <x v="2"/>
    <n v="13225"/>
    <n v="7739"/>
    <n v="2"/>
    <s v="Y"/>
    <s v="No"/>
    <n v="12"/>
    <x v="0"/>
    <n v="4"/>
    <n v="80"/>
    <x v="1"/>
    <n v="25"/>
    <x v="3"/>
    <n v="3"/>
    <n v="19"/>
    <n v="17"/>
    <n v="2"/>
    <n v="8"/>
  </r>
  <r>
    <n v="27"/>
    <x v="1"/>
    <x v="0"/>
    <n v="728"/>
    <x v="0"/>
    <n v="23"/>
    <n v="1"/>
    <s v="Medical"/>
    <n v="1"/>
    <n v="1864"/>
    <n v="2"/>
    <x v="0"/>
    <n v="36"/>
    <x v="1"/>
    <n v="2"/>
    <x v="6"/>
    <n v="3"/>
    <x v="1"/>
    <n v="3540"/>
    <n v="7018"/>
    <n v="1"/>
    <s v="Y"/>
    <s v="No"/>
    <n v="21"/>
    <x v="1"/>
    <n v="4"/>
    <n v="80"/>
    <x v="1"/>
    <n v="9"/>
    <x v="3"/>
    <n v="3"/>
    <n v="9"/>
    <n v="8"/>
    <n v="5"/>
    <n v="8"/>
  </r>
  <r>
    <n v="29"/>
    <x v="1"/>
    <x v="0"/>
    <n v="352"/>
    <x v="2"/>
    <n v="6"/>
    <n v="1"/>
    <s v="Medical"/>
    <n v="1"/>
    <n v="1865"/>
    <n v="4"/>
    <x v="1"/>
    <n v="87"/>
    <x v="1"/>
    <n v="1"/>
    <x v="8"/>
    <n v="2"/>
    <x v="1"/>
    <n v="2804"/>
    <n v="15434"/>
    <n v="1"/>
    <s v="Y"/>
    <s v="No"/>
    <n v="11"/>
    <x v="0"/>
    <n v="4"/>
    <n v="80"/>
    <x v="0"/>
    <n v="1"/>
    <x v="1"/>
    <n v="3"/>
    <n v="1"/>
    <n v="0"/>
    <n v="0"/>
    <n v="0"/>
  </r>
  <r>
    <n v="43"/>
    <x v="1"/>
    <x v="0"/>
    <n v="823"/>
    <x v="1"/>
    <n v="6"/>
    <n v="3"/>
    <s v="Medical"/>
    <n v="1"/>
    <n v="1866"/>
    <n v="1"/>
    <x v="0"/>
    <n v="81"/>
    <x v="1"/>
    <n v="5"/>
    <x v="5"/>
    <n v="3"/>
    <x v="1"/>
    <n v="19392"/>
    <n v="22539"/>
    <n v="7"/>
    <s v="Y"/>
    <s v="No"/>
    <n v="13"/>
    <x v="0"/>
    <n v="4"/>
    <n v="80"/>
    <x v="0"/>
    <n v="21"/>
    <x v="2"/>
    <n v="3"/>
    <n v="16"/>
    <n v="12"/>
    <n v="6"/>
    <n v="14"/>
  </r>
  <r>
    <n v="48"/>
    <x v="1"/>
    <x v="0"/>
    <n v="1224"/>
    <x v="1"/>
    <n v="10"/>
    <n v="3"/>
    <s v="Life Sciences"/>
    <n v="1"/>
    <n v="1867"/>
    <n v="4"/>
    <x v="1"/>
    <n v="91"/>
    <x v="1"/>
    <n v="5"/>
    <x v="7"/>
    <n v="2"/>
    <x v="1"/>
    <n v="19665"/>
    <n v="13583"/>
    <n v="4"/>
    <s v="Y"/>
    <s v="No"/>
    <n v="12"/>
    <x v="0"/>
    <n v="4"/>
    <n v="80"/>
    <x v="0"/>
    <n v="29"/>
    <x v="1"/>
    <n v="3"/>
    <n v="22"/>
    <n v="10"/>
    <n v="12"/>
    <n v="9"/>
  </r>
  <r>
    <n v="29"/>
    <x v="0"/>
    <x v="1"/>
    <n v="459"/>
    <x v="1"/>
    <n v="24"/>
    <n v="2"/>
    <s v="Life Sciences"/>
    <n v="1"/>
    <n v="1868"/>
    <n v="4"/>
    <x v="1"/>
    <n v="73"/>
    <x v="1"/>
    <n v="1"/>
    <x v="1"/>
    <n v="4"/>
    <x v="0"/>
    <n v="2439"/>
    <n v="14753"/>
    <n v="1"/>
    <s v="Y"/>
    <s v="Yes"/>
    <n v="24"/>
    <x v="1"/>
    <n v="2"/>
    <n v="80"/>
    <x v="0"/>
    <n v="1"/>
    <x v="1"/>
    <n v="2"/>
    <n v="1"/>
    <n v="0"/>
    <n v="1"/>
    <n v="0"/>
  </r>
  <r>
    <n v="46"/>
    <x v="0"/>
    <x v="0"/>
    <n v="1254"/>
    <x v="0"/>
    <n v="10"/>
    <n v="3"/>
    <s v="Life Sciences"/>
    <n v="1"/>
    <n v="1869"/>
    <n v="3"/>
    <x v="0"/>
    <n v="64"/>
    <x v="0"/>
    <n v="3"/>
    <x v="0"/>
    <n v="2"/>
    <x v="1"/>
    <n v="7314"/>
    <n v="14011"/>
    <n v="5"/>
    <s v="Y"/>
    <s v="No"/>
    <n v="21"/>
    <x v="1"/>
    <n v="3"/>
    <n v="80"/>
    <x v="2"/>
    <n v="14"/>
    <x v="2"/>
    <n v="3"/>
    <n v="8"/>
    <n v="7"/>
    <n v="0"/>
    <n v="7"/>
  </r>
  <r>
    <n v="27"/>
    <x v="1"/>
    <x v="1"/>
    <n v="1131"/>
    <x v="1"/>
    <n v="15"/>
    <n v="3"/>
    <s v="Life Sciences"/>
    <n v="1"/>
    <n v="1870"/>
    <n v="4"/>
    <x v="0"/>
    <n v="77"/>
    <x v="1"/>
    <n v="1"/>
    <x v="1"/>
    <n v="1"/>
    <x v="1"/>
    <n v="4774"/>
    <n v="23844"/>
    <n v="0"/>
    <s v="Y"/>
    <s v="No"/>
    <n v="19"/>
    <x v="0"/>
    <n v="4"/>
    <n v="80"/>
    <x v="1"/>
    <n v="8"/>
    <x v="2"/>
    <n v="2"/>
    <n v="7"/>
    <n v="6"/>
    <n v="7"/>
    <n v="3"/>
  </r>
  <r>
    <n v="39"/>
    <x v="1"/>
    <x v="0"/>
    <n v="835"/>
    <x v="1"/>
    <n v="19"/>
    <n v="4"/>
    <s v="Other"/>
    <n v="1"/>
    <n v="1871"/>
    <n v="4"/>
    <x v="1"/>
    <n v="41"/>
    <x v="0"/>
    <n v="2"/>
    <x v="1"/>
    <n v="4"/>
    <x v="2"/>
    <n v="3902"/>
    <n v="5141"/>
    <n v="8"/>
    <s v="Y"/>
    <s v="No"/>
    <n v="14"/>
    <x v="0"/>
    <n v="2"/>
    <n v="80"/>
    <x v="2"/>
    <n v="7"/>
    <x v="2"/>
    <n v="3"/>
    <n v="2"/>
    <n v="2"/>
    <n v="2"/>
    <n v="2"/>
  </r>
  <r>
    <n v="55"/>
    <x v="1"/>
    <x v="0"/>
    <n v="836"/>
    <x v="1"/>
    <n v="2"/>
    <n v="4"/>
    <s v="Technical Degree"/>
    <n v="1"/>
    <n v="1873"/>
    <n v="2"/>
    <x v="1"/>
    <n v="98"/>
    <x v="1"/>
    <n v="1"/>
    <x v="1"/>
    <n v="4"/>
    <x v="1"/>
    <n v="2662"/>
    <n v="7975"/>
    <n v="8"/>
    <s v="Y"/>
    <s v="No"/>
    <n v="20"/>
    <x v="1"/>
    <n v="2"/>
    <n v="80"/>
    <x v="1"/>
    <n v="19"/>
    <x v="2"/>
    <n v="4"/>
    <n v="5"/>
    <n v="2"/>
    <n v="0"/>
    <n v="4"/>
  </r>
  <r>
    <n v="28"/>
    <x v="1"/>
    <x v="0"/>
    <n v="1172"/>
    <x v="0"/>
    <n v="3"/>
    <n v="3"/>
    <s v="Medical"/>
    <n v="1"/>
    <n v="1875"/>
    <n v="2"/>
    <x v="0"/>
    <n v="78"/>
    <x v="0"/>
    <n v="1"/>
    <x v="6"/>
    <n v="2"/>
    <x v="1"/>
    <n v="2856"/>
    <n v="3692"/>
    <n v="1"/>
    <s v="Y"/>
    <s v="No"/>
    <n v="19"/>
    <x v="0"/>
    <n v="4"/>
    <n v="80"/>
    <x v="1"/>
    <n v="1"/>
    <x v="1"/>
    <n v="3"/>
    <n v="1"/>
    <n v="0"/>
    <n v="0"/>
    <n v="0"/>
  </r>
  <r>
    <n v="30"/>
    <x v="0"/>
    <x v="0"/>
    <n v="945"/>
    <x v="0"/>
    <n v="9"/>
    <n v="3"/>
    <s v="Medical"/>
    <n v="1"/>
    <n v="1876"/>
    <n v="2"/>
    <x v="1"/>
    <n v="89"/>
    <x v="0"/>
    <n v="1"/>
    <x v="6"/>
    <n v="4"/>
    <x v="0"/>
    <n v="1081"/>
    <n v="16019"/>
    <n v="1"/>
    <s v="Y"/>
    <s v="No"/>
    <n v="13"/>
    <x v="0"/>
    <n v="3"/>
    <n v="80"/>
    <x v="0"/>
    <n v="1"/>
    <x v="1"/>
    <n v="2"/>
    <n v="1"/>
    <n v="0"/>
    <n v="0"/>
    <n v="0"/>
  </r>
  <r>
    <n v="22"/>
    <x v="0"/>
    <x v="0"/>
    <n v="391"/>
    <x v="1"/>
    <n v="7"/>
    <n v="1"/>
    <s v="Life Sciences"/>
    <n v="1"/>
    <n v="1878"/>
    <n v="4"/>
    <x v="1"/>
    <n v="75"/>
    <x v="0"/>
    <n v="1"/>
    <x v="1"/>
    <n v="2"/>
    <x v="0"/>
    <n v="2472"/>
    <n v="26092"/>
    <n v="1"/>
    <s v="Y"/>
    <s v="Yes"/>
    <n v="23"/>
    <x v="1"/>
    <n v="1"/>
    <n v="80"/>
    <x v="0"/>
    <n v="1"/>
    <x v="2"/>
    <n v="3"/>
    <n v="1"/>
    <n v="0"/>
    <n v="0"/>
    <n v="0"/>
  </r>
  <r>
    <n v="36"/>
    <x v="1"/>
    <x v="0"/>
    <n v="1266"/>
    <x v="0"/>
    <n v="10"/>
    <n v="4"/>
    <s v="Technical Degree"/>
    <n v="1"/>
    <n v="1880"/>
    <n v="2"/>
    <x v="0"/>
    <n v="63"/>
    <x v="1"/>
    <n v="2"/>
    <x v="0"/>
    <n v="3"/>
    <x v="1"/>
    <n v="5673"/>
    <n v="6060"/>
    <n v="1"/>
    <s v="Y"/>
    <s v="Yes"/>
    <n v="13"/>
    <x v="0"/>
    <n v="1"/>
    <n v="80"/>
    <x v="1"/>
    <n v="10"/>
    <x v="5"/>
    <n v="3"/>
    <n v="10"/>
    <n v="9"/>
    <n v="1"/>
    <n v="7"/>
  </r>
  <r>
    <n v="31"/>
    <x v="1"/>
    <x v="0"/>
    <n v="311"/>
    <x v="1"/>
    <n v="20"/>
    <n v="3"/>
    <s v="Life Sciences"/>
    <n v="1"/>
    <n v="1881"/>
    <n v="2"/>
    <x v="1"/>
    <n v="89"/>
    <x v="0"/>
    <n v="2"/>
    <x v="2"/>
    <n v="3"/>
    <x v="2"/>
    <n v="4197"/>
    <n v="18624"/>
    <n v="1"/>
    <s v="Y"/>
    <s v="No"/>
    <n v="11"/>
    <x v="0"/>
    <n v="1"/>
    <n v="80"/>
    <x v="1"/>
    <n v="10"/>
    <x v="2"/>
    <n v="3"/>
    <n v="10"/>
    <n v="8"/>
    <n v="0"/>
    <n v="2"/>
  </r>
  <r>
    <n v="34"/>
    <x v="1"/>
    <x v="0"/>
    <n v="1480"/>
    <x v="0"/>
    <n v="4"/>
    <n v="3"/>
    <s v="Life Sciences"/>
    <n v="1"/>
    <n v="1882"/>
    <n v="3"/>
    <x v="1"/>
    <n v="64"/>
    <x v="0"/>
    <n v="3"/>
    <x v="0"/>
    <n v="4"/>
    <x v="1"/>
    <n v="9713"/>
    <n v="24444"/>
    <n v="2"/>
    <s v="Y"/>
    <s v="Yes"/>
    <n v="13"/>
    <x v="0"/>
    <n v="4"/>
    <n v="80"/>
    <x v="2"/>
    <n v="9"/>
    <x v="1"/>
    <n v="3"/>
    <n v="5"/>
    <n v="3"/>
    <n v="1"/>
    <n v="0"/>
  </r>
  <r>
    <n v="29"/>
    <x v="1"/>
    <x v="0"/>
    <n v="592"/>
    <x v="1"/>
    <n v="7"/>
    <n v="3"/>
    <s v="Life Sciences"/>
    <n v="1"/>
    <n v="1883"/>
    <n v="4"/>
    <x v="1"/>
    <n v="59"/>
    <x v="0"/>
    <n v="1"/>
    <x v="2"/>
    <n v="1"/>
    <x v="0"/>
    <n v="2062"/>
    <n v="19384"/>
    <n v="3"/>
    <s v="Y"/>
    <s v="No"/>
    <n v="14"/>
    <x v="0"/>
    <n v="2"/>
    <n v="80"/>
    <x v="0"/>
    <n v="11"/>
    <x v="2"/>
    <n v="3"/>
    <n v="3"/>
    <n v="2"/>
    <n v="1"/>
    <n v="2"/>
  </r>
  <r>
    <n v="37"/>
    <x v="1"/>
    <x v="0"/>
    <n v="783"/>
    <x v="1"/>
    <n v="7"/>
    <n v="4"/>
    <s v="Medical"/>
    <n v="1"/>
    <n v="1885"/>
    <n v="4"/>
    <x v="1"/>
    <n v="78"/>
    <x v="0"/>
    <n v="2"/>
    <x v="1"/>
    <n v="1"/>
    <x v="1"/>
    <n v="4284"/>
    <n v="13588"/>
    <n v="5"/>
    <s v="Y"/>
    <s v="Yes"/>
    <n v="22"/>
    <x v="1"/>
    <n v="3"/>
    <n v="80"/>
    <x v="1"/>
    <n v="16"/>
    <x v="2"/>
    <n v="3"/>
    <n v="5"/>
    <n v="3"/>
    <n v="0"/>
    <n v="4"/>
  </r>
  <r>
    <n v="35"/>
    <x v="1"/>
    <x v="0"/>
    <n v="219"/>
    <x v="1"/>
    <n v="16"/>
    <n v="2"/>
    <s v="Other"/>
    <n v="1"/>
    <n v="1886"/>
    <n v="4"/>
    <x v="0"/>
    <n v="44"/>
    <x v="1"/>
    <n v="2"/>
    <x v="3"/>
    <n v="2"/>
    <x v="1"/>
    <n v="4788"/>
    <n v="25388"/>
    <n v="0"/>
    <s v="Y"/>
    <s v="Yes"/>
    <n v="11"/>
    <x v="0"/>
    <n v="4"/>
    <n v="80"/>
    <x v="0"/>
    <n v="4"/>
    <x v="2"/>
    <n v="3"/>
    <n v="3"/>
    <n v="2"/>
    <n v="0"/>
    <n v="2"/>
  </r>
  <r>
    <n v="45"/>
    <x v="1"/>
    <x v="0"/>
    <n v="556"/>
    <x v="1"/>
    <n v="25"/>
    <n v="2"/>
    <s v="Life Sciences"/>
    <n v="1"/>
    <n v="1888"/>
    <n v="2"/>
    <x v="0"/>
    <n v="93"/>
    <x v="1"/>
    <n v="2"/>
    <x v="3"/>
    <n v="4"/>
    <x v="1"/>
    <n v="5906"/>
    <n v="23888"/>
    <n v="0"/>
    <s v="Y"/>
    <s v="No"/>
    <n v="13"/>
    <x v="0"/>
    <n v="4"/>
    <n v="80"/>
    <x v="3"/>
    <n v="10"/>
    <x v="2"/>
    <n v="2"/>
    <n v="9"/>
    <n v="8"/>
    <n v="3"/>
    <n v="8"/>
  </r>
  <r>
    <n v="36"/>
    <x v="1"/>
    <x v="1"/>
    <n v="1213"/>
    <x v="2"/>
    <n v="2"/>
    <n v="1"/>
    <s v="Human Resources"/>
    <n v="1"/>
    <n v="1890"/>
    <n v="2"/>
    <x v="1"/>
    <n v="94"/>
    <x v="1"/>
    <n v="2"/>
    <x v="8"/>
    <n v="4"/>
    <x v="0"/>
    <n v="3886"/>
    <n v="4223"/>
    <n v="1"/>
    <s v="Y"/>
    <s v="No"/>
    <n v="21"/>
    <x v="1"/>
    <n v="4"/>
    <n v="80"/>
    <x v="0"/>
    <n v="10"/>
    <x v="2"/>
    <n v="2"/>
    <n v="10"/>
    <n v="1"/>
    <n v="0"/>
    <n v="8"/>
  </r>
  <r>
    <n v="40"/>
    <x v="1"/>
    <x v="0"/>
    <n v="1137"/>
    <x v="1"/>
    <n v="1"/>
    <n v="4"/>
    <s v="Life Sciences"/>
    <n v="1"/>
    <n v="1892"/>
    <n v="1"/>
    <x v="1"/>
    <n v="98"/>
    <x v="0"/>
    <n v="4"/>
    <x v="5"/>
    <n v="1"/>
    <x v="2"/>
    <n v="16823"/>
    <n v="18991"/>
    <n v="2"/>
    <s v="Y"/>
    <s v="No"/>
    <n v="11"/>
    <x v="0"/>
    <n v="1"/>
    <n v="80"/>
    <x v="1"/>
    <n v="22"/>
    <x v="1"/>
    <n v="3"/>
    <n v="19"/>
    <n v="7"/>
    <n v="11"/>
    <n v="16"/>
  </r>
  <r>
    <n v="26"/>
    <x v="1"/>
    <x v="0"/>
    <n v="482"/>
    <x v="1"/>
    <n v="1"/>
    <n v="2"/>
    <s v="Life Sciences"/>
    <n v="1"/>
    <n v="1893"/>
    <n v="2"/>
    <x v="0"/>
    <n v="90"/>
    <x v="1"/>
    <n v="1"/>
    <x v="1"/>
    <n v="3"/>
    <x v="1"/>
    <n v="2933"/>
    <n v="14908"/>
    <n v="1"/>
    <s v="Y"/>
    <s v="Yes"/>
    <n v="13"/>
    <x v="0"/>
    <n v="3"/>
    <n v="80"/>
    <x v="1"/>
    <n v="1"/>
    <x v="1"/>
    <n v="2"/>
    <n v="1"/>
    <n v="0"/>
    <n v="1"/>
    <n v="0"/>
  </r>
  <r>
    <n v="27"/>
    <x v="1"/>
    <x v="0"/>
    <n v="511"/>
    <x v="0"/>
    <n v="2"/>
    <n v="2"/>
    <s v="Medical"/>
    <n v="1"/>
    <n v="1898"/>
    <n v="1"/>
    <x v="0"/>
    <n v="89"/>
    <x v="2"/>
    <n v="2"/>
    <x v="0"/>
    <n v="3"/>
    <x v="0"/>
    <n v="6500"/>
    <n v="26997"/>
    <n v="0"/>
    <s v="Y"/>
    <s v="No"/>
    <n v="14"/>
    <x v="0"/>
    <n v="2"/>
    <n v="80"/>
    <x v="0"/>
    <n v="9"/>
    <x v="3"/>
    <n v="2"/>
    <n v="8"/>
    <n v="7"/>
    <n v="0"/>
    <n v="7"/>
  </r>
  <r>
    <n v="48"/>
    <x v="1"/>
    <x v="1"/>
    <n v="117"/>
    <x v="1"/>
    <n v="22"/>
    <n v="3"/>
    <s v="Medical"/>
    <n v="1"/>
    <n v="1900"/>
    <n v="4"/>
    <x v="0"/>
    <n v="58"/>
    <x v="0"/>
    <n v="4"/>
    <x v="5"/>
    <n v="4"/>
    <x v="2"/>
    <n v="17174"/>
    <n v="2437"/>
    <n v="3"/>
    <s v="Y"/>
    <s v="No"/>
    <n v="11"/>
    <x v="0"/>
    <n v="2"/>
    <n v="80"/>
    <x v="1"/>
    <n v="24"/>
    <x v="1"/>
    <n v="3"/>
    <n v="22"/>
    <n v="17"/>
    <n v="4"/>
    <n v="7"/>
  </r>
  <r>
    <n v="44"/>
    <x v="1"/>
    <x v="0"/>
    <n v="170"/>
    <x v="1"/>
    <n v="1"/>
    <n v="4"/>
    <s v="Life Sciences"/>
    <n v="1"/>
    <n v="1903"/>
    <n v="2"/>
    <x v="1"/>
    <n v="78"/>
    <x v="2"/>
    <n v="2"/>
    <x v="4"/>
    <n v="1"/>
    <x v="1"/>
    <n v="5033"/>
    <n v="9364"/>
    <n v="2"/>
    <s v="Y"/>
    <s v="No"/>
    <n v="15"/>
    <x v="0"/>
    <n v="4"/>
    <n v="80"/>
    <x v="1"/>
    <n v="10"/>
    <x v="3"/>
    <n v="3"/>
    <n v="2"/>
    <n v="0"/>
    <n v="2"/>
    <n v="2"/>
  </r>
  <r>
    <n v="34"/>
    <x v="0"/>
    <x v="2"/>
    <n v="967"/>
    <x v="1"/>
    <n v="16"/>
    <n v="4"/>
    <s v="Technical Degree"/>
    <n v="1"/>
    <n v="1905"/>
    <n v="4"/>
    <x v="1"/>
    <n v="85"/>
    <x v="3"/>
    <n v="1"/>
    <x v="1"/>
    <n v="1"/>
    <x v="1"/>
    <n v="2307"/>
    <n v="14460"/>
    <n v="1"/>
    <s v="Y"/>
    <s v="Yes"/>
    <n v="23"/>
    <x v="1"/>
    <n v="2"/>
    <n v="80"/>
    <x v="1"/>
    <n v="5"/>
    <x v="2"/>
    <n v="3"/>
    <n v="5"/>
    <n v="2"/>
    <n v="3"/>
    <n v="0"/>
  </r>
  <r>
    <n v="56"/>
    <x v="0"/>
    <x v="0"/>
    <n v="1162"/>
    <x v="1"/>
    <n v="24"/>
    <n v="2"/>
    <s v="Life Sciences"/>
    <n v="1"/>
    <n v="1907"/>
    <n v="1"/>
    <x v="1"/>
    <n v="97"/>
    <x v="0"/>
    <n v="1"/>
    <x v="2"/>
    <n v="4"/>
    <x v="0"/>
    <n v="2587"/>
    <n v="10261"/>
    <n v="1"/>
    <s v="Y"/>
    <s v="No"/>
    <n v="16"/>
    <x v="0"/>
    <n v="4"/>
    <n v="80"/>
    <x v="0"/>
    <n v="5"/>
    <x v="1"/>
    <n v="3"/>
    <n v="4"/>
    <n v="2"/>
    <n v="1"/>
    <n v="0"/>
  </r>
  <r>
    <n v="36"/>
    <x v="1"/>
    <x v="0"/>
    <n v="335"/>
    <x v="0"/>
    <n v="17"/>
    <n v="2"/>
    <s v="Marketing"/>
    <n v="1"/>
    <n v="1908"/>
    <n v="3"/>
    <x v="1"/>
    <n v="33"/>
    <x v="1"/>
    <n v="2"/>
    <x v="0"/>
    <n v="2"/>
    <x v="1"/>
    <n v="5507"/>
    <n v="16822"/>
    <n v="2"/>
    <s v="Y"/>
    <s v="No"/>
    <n v="16"/>
    <x v="0"/>
    <n v="3"/>
    <n v="80"/>
    <x v="3"/>
    <n v="12"/>
    <x v="4"/>
    <n v="1"/>
    <n v="4"/>
    <n v="2"/>
    <n v="1"/>
    <n v="3"/>
  </r>
  <r>
    <n v="41"/>
    <x v="1"/>
    <x v="0"/>
    <n v="337"/>
    <x v="0"/>
    <n v="8"/>
    <n v="3"/>
    <s v="Marketing"/>
    <n v="1"/>
    <n v="1909"/>
    <n v="3"/>
    <x v="0"/>
    <n v="54"/>
    <x v="0"/>
    <n v="2"/>
    <x v="0"/>
    <n v="2"/>
    <x v="1"/>
    <n v="4393"/>
    <n v="26841"/>
    <n v="5"/>
    <s v="Y"/>
    <s v="No"/>
    <n v="21"/>
    <x v="1"/>
    <n v="3"/>
    <n v="80"/>
    <x v="1"/>
    <n v="14"/>
    <x v="1"/>
    <n v="3"/>
    <n v="5"/>
    <n v="4"/>
    <n v="1"/>
    <n v="4"/>
  </r>
  <r>
    <n v="42"/>
    <x v="1"/>
    <x v="0"/>
    <n v="1396"/>
    <x v="1"/>
    <n v="6"/>
    <n v="3"/>
    <s v="Medical"/>
    <n v="1"/>
    <n v="1911"/>
    <n v="3"/>
    <x v="1"/>
    <n v="83"/>
    <x v="0"/>
    <n v="3"/>
    <x v="7"/>
    <n v="1"/>
    <x v="1"/>
    <n v="13348"/>
    <n v="14842"/>
    <n v="9"/>
    <s v="Y"/>
    <s v="No"/>
    <n v="13"/>
    <x v="0"/>
    <n v="2"/>
    <n v="80"/>
    <x v="1"/>
    <n v="18"/>
    <x v="1"/>
    <n v="4"/>
    <n v="13"/>
    <n v="7"/>
    <n v="5"/>
    <n v="7"/>
  </r>
  <r>
    <n v="31"/>
    <x v="1"/>
    <x v="0"/>
    <n v="1079"/>
    <x v="0"/>
    <n v="10"/>
    <n v="2"/>
    <s v="Medical"/>
    <n v="1"/>
    <n v="1912"/>
    <n v="3"/>
    <x v="0"/>
    <n v="86"/>
    <x v="0"/>
    <n v="2"/>
    <x v="0"/>
    <n v="4"/>
    <x v="2"/>
    <n v="6583"/>
    <n v="20115"/>
    <n v="2"/>
    <s v="Y"/>
    <s v="Yes"/>
    <n v="11"/>
    <x v="0"/>
    <n v="4"/>
    <n v="80"/>
    <x v="1"/>
    <n v="8"/>
    <x v="2"/>
    <n v="3"/>
    <n v="5"/>
    <n v="2"/>
    <n v="1"/>
    <n v="4"/>
  </r>
  <r>
    <n v="34"/>
    <x v="1"/>
    <x v="0"/>
    <n v="735"/>
    <x v="0"/>
    <n v="3"/>
    <n v="1"/>
    <s v="Medical"/>
    <n v="1"/>
    <n v="1915"/>
    <n v="4"/>
    <x v="0"/>
    <n v="75"/>
    <x v="1"/>
    <n v="2"/>
    <x v="0"/>
    <n v="4"/>
    <x v="1"/>
    <n v="8103"/>
    <n v="16495"/>
    <n v="3"/>
    <s v="Y"/>
    <s v="Yes"/>
    <n v="12"/>
    <x v="0"/>
    <n v="3"/>
    <n v="80"/>
    <x v="0"/>
    <n v="9"/>
    <x v="1"/>
    <n v="2"/>
    <n v="4"/>
    <n v="2"/>
    <n v="0"/>
    <n v="1"/>
  </r>
  <r>
    <n v="31"/>
    <x v="1"/>
    <x v="0"/>
    <n v="471"/>
    <x v="1"/>
    <n v="4"/>
    <n v="3"/>
    <s v="Medical"/>
    <n v="1"/>
    <n v="1916"/>
    <n v="1"/>
    <x v="0"/>
    <n v="62"/>
    <x v="2"/>
    <n v="1"/>
    <x v="2"/>
    <n v="3"/>
    <x v="2"/>
    <n v="3978"/>
    <n v="16031"/>
    <n v="8"/>
    <s v="Y"/>
    <s v="No"/>
    <n v="12"/>
    <x v="0"/>
    <n v="2"/>
    <n v="80"/>
    <x v="1"/>
    <n v="4"/>
    <x v="0"/>
    <n v="2"/>
    <n v="2"/>
    <n v="2"/>
    <n v="2"/>
    <n v="2"/>
  </r>
  <r>
    <n v="26"/>
    <x v="1"/>
    <x v="1"/>
    <n v="1096"/>
    <x v="1"/>
    <n v="6"/>
    <n v="3"/>
    <s v="Other"/>
    <n v="1"/>
    <n v="1918"/>
    <n v="3"/>
    <x v="1"/>
    <n v="61"/>
    <x v="2"/>
    <n v="1"/>
    <x v="2"/>
    <n v="4"/>
    <x v="1"/>
    <n v="2544"/>
    <n v="7102"/>
    <n v="0"/>
    <s v="Y"/>
    <s v="No"/>
    <n v="18"/>
    <x v="0"/>
    <n v="1"/>
    <n v="80"/>
    <x v="1"/>
    <n v="8"/>
    <x v="1"/>
    <n v="3"/>
    <n v="7"/>
    <n v="7"/>
    <n v="7"/>
    <n v="7"/>
  </r>
  <r>
    <n v="45"/>
    <x v="1"/>
    <x v="1"/>
    <n v="1297"/>
    <x v="1"/>
    <n v="1"/>
    <n v="4"/>
    <s v="Medical"/>
    <n v="1"/>
    <n v="1922"/>
    <n v="2"/>
    <x v="1"/>
    <n v="44"/>
    <x v="0"/>
    <n v="2"/>
    <x v="4"/>
    <n v="3"/>
    <x v="0"/>
    <n v="5399"/>
    <n v="14511"/>
    <n v="4"/>
    <s v="Y"/>
    <s v="No"/>
    <n v="12"/>
    <x v="0"/>
    <n v="3"/>
    <n v="80"/>
    <x v="0"/>
    <n v="12"/>
    <x v="1"/>
    <n v="3"/>
    <n v="4"/>
    <n v="2"/>
    <n v="0"/>
    <n v="3"/>
  </r>
  <r>
    <n v="33"/>
    <x v="1"/>
    <x v="0"/>
    <n v="217"/>
    <x v="0"/>
    <n v="10"/>
    <n v="4"/>
    <s v="Marketing"/>
    <n v="1"/>
    <n v="1924"/>
    <n v="2"/>
    <x v="1"/>
    <n v="43"/>
    <x v="0"/>
    <n v="2"/>
    <x v="0"/>
    <n v="3"/>
    <x v="0"/>
    <n v="5487"/>
    <n v="10410"/>
    <n v="1"/>
    <s v="Y"/>
    <s v="No"/>
    <n v="14"/>
    <x v="0"/>
    <n v="2"/>
    <n v="80"/>
    <x v="0"/>
    <n v="10"/>
    <x v="2"/>
    <n v="2"/>
    <n v="10"/>
    <n v="4"/>
    <n v="0"/>
    <n v="9"/>
  </r>
  <r>
    <n v="28"/>
    <x v="1"/>
    <x v="1"/>
    <n v="783"/>
    <x v="0"/>
    <n v="1"/>
    <n v="2"/>
    <s v="Life Sciences"/>
    <n v="1"/>
    <n v="1927"/>
    <n v="3"/>
    <x v="1"/>
    <n v="42"/>
    <x v="1"/>
    <n v="2"/>
    <x v="0"/>
    <n v="4"/>
    <x v="1"/>
    <n v="6834"/>
    <n v="19255"/>
    <n v="1"/>
    <s v="Y"/>
    <s v="Yes"/>
    <n v="12"/>
    <x v="0"/>
    <n v="3"/>
    <n v="80"/>
    <x v="1"/>
    <n v="7"/>
    <x v="2"/>
    <n v="3"/>
    <n v="7"/>
    <n v="7"/>
    <n v="0"/>
    <n v="7"/>
  </r>
  <r>
    <n v="29"/>
    <x v="0"/>
    <x v="1"/>
    <n v="746"/>
    <x v="0"/>
    <n v="24"/>
    <n v="3"/>
    <s v="Technical Degree"/>
    <n v="1"/>
    <n v="1928"/>
    <n v="3"/>
    <x v="1"/>
    <n v="45"/>
    <x v="2"/>
    <n v="1"/>
    <x v="6"/>
    <n v="1"/>
    <x v="0"/>
    <n v="1091"/>
    <n v="10642"/>
    <n v="1"/>
    <s v="Y"/>
    <s v="No"/>
    <n v="17"/>
    <x v="0"/>
    <n v="4"/>
    <n v="80"/>
    <x v="0"/>
    <n v="1"/>
    <x v="1"/>
    <n v="3"/>
    <n v="1"/>
    <n v="0"/>
    <n v="0"/>
    <n v="0"/>
  </r>
  <r>
    <n v="39"/>
    <x v="1"/>
    <x v="2"/>
    <n v="1251"/>
    <x v="0"/>
    <n v="21"/>
    <n v="4"/>
    <s v="Life Sciences"/>
    <n v="1"/>
    <n v="1929"/>
    <n v="1"/>
    <x v="0"/>
    <n v="32"/>
    <x v="3"/>
    <n v="2"/>
    <x v="0"/>
    <n v="3"/>
    <x v="1"/>
    <n v="5736"/>
    <n v="3987"/>
    <n v="6"/>
    <s v="Y"/>
    <s v="No"/>
    <n v="19"/>
    <x v="0"/>
    <n v="3"/>
    <n v="80"/>
    <x v="1"/>
    <n v="10"/>
    <x v="4"/>
    <n v="3"/>
    <n v="3"/>
    <n v="2"/>
    <n v="1"/>
    <n v="2"/>
  </r>
  <r>
    <n v="27"/>
    <x v="1"/>
    <x v="0"/>
    <n v="1354"/>
    <x v="1"/>
    <n v="2"/>
    <n v="4"/>
    <s v="Technical Degree"/>
    <n v="1"/>
    <n v="1931"/>
    <n v="2"/>
    <x v="1"/>
    <n v="41"/>
    <x v="0"/>
    <n v="1"/>
    <x v="1"/>
    <n v="2"/>
    <x v="1"/>
    <n v="2226"/>
    <n v="6073"/>
    <n v="1"/>
    <s v="Y"/>
    <s v="No"/>
    <n v="11"/>
    <x v="0"/>
    <n v="3"/>
    <n v="80"/>
    <x v="1"/>
    <n v="6"/>
    <x v="1"/>
    <n v="2"/>
    <n v="5"/>
    <n v="3"/>
    <n v="1"/>
    <n v="2"/>
  </r>
  <r>
    <n v="34"/>
    <x v="1"/>
    <x v="1"/>
    <n v="735"/>
    <x v="1"/>
    <n v="22"/>
    <n v="4"/>
    <s v="Other"/>
    <n v="1"/>
    <n v="1932"/>
    <n v="3"/>
    <x v="1"/>
    <n v="86"/>
    <x v="1"/>
    <n v="2"/>
    <x v="1"/>
    <n v="4"/>
    <x v="1"/>
    <n v="5747"/>
    <n v="26496"/>
    <n v="1"/>
    <s v="Y"/>
    <s v="Yes"/>
    <n v="15"/>
    <x v="0"/>
    <n v="2"/>
    <n v="80"/>
    <x v="0"/>
    <n v="16"/>
    <x v="1"/>
    <n v="3"/>
    <n v="15"/>
    <n v="10"/>
    <n v="6"/>
    <n v="11"/>
  </r>
  <r>
    <n v="28"/>
    <x v="0"/>
    <x v="0"/>
    <n v="1475"/>
    <x v="0"/>
    <n v="13"/>
    <n v="2"/>
    <s v="Marketing"/>
    <n v="1"/>
    <n v="1933"/>
    <n v="4"/>
    <x v="0"/>
    <n v="84"/>
    <x v="0"/>
    <n v="2"/>
    <x v="0"/>
    <n v="3"/>
    <x v="0"/>
    <n v="9854"/>
    <n v="23352"/>
    <n v="3"/>
    <s v="Y"/>
    <s v="Yes"/>
    <n v="11"/>
    <x v="0"/>
    <n v="4"/>
    <n v="80"/>
    <x v="0"/>
    <n v="6"/>
    <x v="0"/>
    <n v="3"/>
    <n v="2"/>
    <n v="0"/>
    <n v="2"/>
    <n v="2"/>
  </r>
  <r>
    <n v="47"/>
    <x v="1"/>
    <x v="2"/>
    <n v="1169"/>
    <x v="1"/>
    <n v="14"/>
    <n v="4"/>
    <s v="Technical Degree"/>
    <n v="1"/>
    <n v="1934"/>
    <n v="3"/>
    <x v="1"/>
    <n v="64"/>
    <x v="0"/>
    <n v="2"/>
    <x v="1"/>
    <n v="2"/>
    <x v="1"/>
    <n v="5467"/>
    <n v="2125"/>
    <n v="8"/>
    <s v="Y"/>
    <s v="No"/>
    <n v="18"/>
    <x v="0"/>
    <n v="3"/>
    <n v="80"/>
    <x v="1"/>
    <n v="16"/>
    <x v="5"/>
    <n v="4"/>
    <n v="8"/>
    <n v="7"/>
    <n v="1"/>
    <n v="7"/>
  </r>
  <r>
    <n v="56"/>
    <x v="1"/>
    <x v="0"/>
    <n v="1443"/>
    <x v="0"/>
    <n v="11"/>
    <n v="5"/>
    <s v="Marketing"/>
    <n v="1"/>
    <n v="1935"/>
    <n v="4"/>
    <x v="0"/>
    <n v="89"/>
    <x v="1"/>
    <n v="2"/>
    <x v="0"/>
    <n v="1"/>
    <x v="1"/>
    <n v="5380"/>
    <n v="20328"/>
    <n v="4"/>
    <s v="Y"/>
    <s v="No"/>
    <n v="16"/>
    <x v="0"/>
    <n v="3"/>
    <n v="80"/>
    <x v="1"/>
    <n v="6"/>
    <x v="1"/>
    <n v="3"/>
    <n v="0"/>
    <n v="0"/>
    <n v="0"/>
    <n v="0"/>
  </r>
  <r>
    <n v="39"/>
    <x v="1"/>
    <x v="0"/>
    <n v="867"/>
    <x v="1"/>
    <n v="9"/>
    <n v="2"/>
    <s v="Medical"/>
    <n v="1"/>
    <n v="1936"/>
    <n v="1"/>
    <x v="1"/>
    <n v="87"/>
    <x v="0"/>
    <n v="2"/>
    <x v="3"/>
    <n v="1"/>
    <x v="1"/>
    <n v="5151"/>
    <n v="12315"/>
    <n v="1"/>
    <s v="Y"/>
    <s v="No"/>
    <n v="25"/>
    <x v="1"/>
    <n v="4"/>
    <n v="80"/>
    <x v="1"/>
    <n v="10"/>
    <x v="1"/>
    <n v="3"/>
    <n v="10"/>
    <n v="0"/>
    <n v="7"/>
    <n v="9"/>
  </r>
  <r>
    <n v="38"/>
    <x v="1"/>
    <x v="1"/>
    <n v="1394"/>
    <x v="1"/>
    <n v="8"/>
    <n v="3"/>
    <s v="Medical"/>
    <n v="1"/>
    <n v="1937"/>
    <n v="4"/>
    <x v="0"/>
    <n v="58"/>
    <x v="1"/>
    <n v="2"/>
    <x v="1"/>
    <n v="2"/>
    <x v="2"/>
    <n v="2133"/>
    <n v="18115"/>
    <n v="1"/>
    <s v="Y"/>
    <s v="Yes"/>
    <n v="16"/>
    <x v="0"/>
    <n v="3"/>
    <n v="80"/>
    <x v="1"/>
    <n v="20"/>
    <x v="1"/>
    <n v="3"/>
    <n v="20"/>
    <n v="11"/>
    <n v="0"/>
    <n v="7"/>
  </r>
  <r>
    <n v="58"/>
    <x v="1"/>
    <x v="0"/>
    <n v="605"/>
    <x v="0"/>
    <n v="21"/>
    <n v="3"/>
    <s v="Life Sciences"/>
    <n v="1"/>
    <n v="1938"/>
    <n v="4"/>
    <x v="0"/>
    <n v="72"/>
    <x v="0"/>
    <n v="4"/>
    <x v="5"/>
    <n v="4"/>
    <x v="1"/>
    <n v="17875"/>
    <n v="11761"/>
    <n v="4"/>
    <s v="Y"/>
    <s v="Yes"/>
    <n v="13"/>
    <x v="0"/>
    <n v="3"/>
    <n v="80"/>
    <x v="1"/>
    <n v="29"/>
    <x v="2"/>
    <n v="2"/>
    <n v="1"/>
    <n v="0"/>
    <n v="0"/>
    <n v="0"/>
  </r>
  <r>
    <n v="32"/>
    <x v="0"/>
    <x v="1"/>
    <n v="238"/>
    <x v="1"/>
    <n v="5"/>
    <n v="2"/>
    <s v="Life Sciences"/>
    <n v="1"/>
    <n v="1939"/>
    <n v="1"/>
    <x v="0"/>
    <n v="47"/>
    <x v="2"/>
    <n v="1"/>
    <x v="1"/>
    <n v="3"/>
    <x v="0"/>
    <n v="2432"/>
    <n v="15318"/>
    <n v="3"/>
    <s v="Y"/>
    <s v="Yes"/>
    <n v="14"/>
    <x v="0"/>
    <n v="1"/>
    <n v="80"/>
    <x v="0"/>
    <n v="8"/>
    <x v="2"/>
    <n v="3"/>
    <n v="4"/>
    <n v="1"/>
    <n v="0"/>
    <n v="3"/>
  </r>
  <r>
    <n v="38"/>
    <x v="1"/>
    <x v="0"/>
    <n v="1206"/>
    <x v="1"/>
    <n v="9"/>
    <n v="2"/>
    <s v="Life Sciences"/>
    <n v="1"/>
    <n v="1940"/>
    <n v="2"/>
    <x v="1"/>
    <n v="71"/>
    <x v="0"/>
    <n v="1"/>
    <x v="1"/>
    <n v="4"/>
    <x v="2"/>
    <n v="4771"/>
    <n v="14293"/>
    <n v="2"/>
    <s v="Y"/>
    <s v="No"/>
    <n v="19"/>
    <x v="0"/>
    <n v="4"/>
    <n v="80"/>
    <x v="3"/>
    <n v="10"/>
    <x v="0"/>
    <n v="4"/>
    <n v="5"/>
    <n v="2"/>
    <n v="0"/>
    <n v="3"/>
  </r>
  <r>
    <n v="49"/>
    <x v="1"/>
    <x v="1"/>
    <n v="1064"/>
    <x v="1"/>
    <n v="2"/>
    <n v="1"/>
    <s v="Life Sciences"/>
    <n v="1"/>
    <n v="1941"/>
    <n v="2"/>
    <x v="1"/>
    <n v="42"/>
    <x v="0"/>
    <n v="5"/>
    <x v="7"/>
    <n v="4"/>
    <x v="1"/>
    <n v="19161"/>
    <n v="13738"/>
    <n v="3"/>
    <s v="Y"/>
    <s v="No"/>
    <n v="15"/>
    <x v="0"/>
    <n v="4"/>
    <n v="80"/>
    <x v="0"/>
    <n v="28"/>
    <x v="1"/>
    <n v="3"/>
    <n v="5"/>
    <n v="4"/>
    <n v="4"/>
    <n v="3"/>
  </r>
  <r>
    <n v="42"/>
    <x v="1"/>
    <x v="0"/>
    <n v="419"/>
    <x v="0"/>
    <n v="12"/>
    <n v="4"/>
    <s v="Marketing"/>
    <n v="1"/>
    <n v="1943"/>
    <n v="2"/>
    <x v="1"/>
    <n v="77"/>
    <x v="0"/>
    <n v="2"/>
    <x v="0"/>
    <n v="4"/>
    <x v="2"/>
    <n v="5087"/>
    <n v="2900"/>
    <n v="3"/>
    <s v="Y"/>
    <s v="Yes"/>
    <n v="12"/>
    <x v="0"/>
    <n v="3"/>
    <n v="80"/>
    <x v="3"/>
    <n v="14"/>
    <x v="5"/>
    <n v="3"/>
    <n v="0"/>
    <n v="0"/>
    <n v="0"/>
    <n v="0"/>
  </r>
  <r>
    <n v="27"/>
    <x v="0"/>
    <x v="1"/>
    <n v="1337"/>
    <x v="2"/>
    <n v="22"/>
    <n v="3"/>
    <s v="Human Resources"/>
    <n v="1"/>
    <n v="1944"/>
    <n v="1"/>
    <x v="0"/>
    <n v="58"/>
    <x v="1"/>
    <n v="1"/>
    <x v="8"/>
    <n v="2"/>
    <x v="1"/>
    <n v="2863"/>
    <n v="19555"/>
    <n v="1"/>
    <s v="Y"/>
    <s v="No"/>
    <n v="12"/>
    <x v="0"/>
    <n v="1"/>
    <n v="80"/>
    <x v="0"/>
    <n v="1"/>
    <x v="2"/>
    <n v="3"/>
    <n v="1"/>
    <n v="0"/>
    <n v="0"/>
    <n v="0"/>
  </r>
  <r>
    <n v="35"/>
    <x v="1"/>
    <x v="0"/>
    <n v="682"/>
    <x v="0"/>
    <n v="18"/>
    <n v="4"/>
    <s v="Medical"/>
    <n v="1"/>
    <n v="1945"/>
    <n v="2"/>
    <x v="1"/>
    <n v="71"/>
    <x v="0"/>
    <n v="2"/>
    <x v="0"/>
    <n v="1"/>
    <x v="1"/>
    <n v="5561"/>
    <n v="15975"/>
    <n v="0"/>
    <s v="Y"/>
    <s v="No"/>
    <n v="16"/>
    <x v="0"/>
    <n v="4"/>
    <n v="80"/>
    <x v="1"/>
    <n v="6"/>
    <x v="2"/>
    <n v="1"/>
    <n v="5"/>
    <n v="3"/>
    <n v="0"/>
    <n v="4"/>
  </r>
  <r>
    <n v="28"/>
    <x v="1"/>
    <x v="2"/>
    <n v="1103"/>
    <x v="1"/>
    <n v="16"/>
    <n v="3"/>
    <s v="Medical"/>
    <n v="1"/>
    <n v="1947"/>
    <n v="3"/>
    <x v="1"/>
    <n v="49"/>
    <x v="0"/>
    <n v="1"/>
    <x v="1"/>
    <n v="3"/>
    <x v="0"/>
    <n v="2144"/>
    <n v="2122"/>
    <n v="1"/>
    <s v="Y"/>
    <s v="No"/>
    <n v="14"/>
    <x v="0"/>
    <n v="3"/>
    <n v="80"/>
    <x v="0"/>
    <n v="5"/>
    <x v="1"/>
    <n v="2"/>
    <n v="5"/>
    <n v="3"/>
    <n v="1"/>
    <n v="4"/>
  </r>
  <r>
    <n v="31"/>
    <x v="1"/>
    <x v="2"/>
    <n v="976"/>
    <x v="1"/>
    <n v="3"/>
    <n v="2"/>
    <s v="Medical"/>
    <n v="1"/>
    <n v="1948"/>
    <n v="3"/>
    <x v="1"/>
    <n v="48"/>
    <x v="0"/>
    <n v="1"/>
    <x v="1"/>
    <n v="1"/>
    <x v="2"/>
    <n v="3065"/>
    <n v="3995"/>
    <n v="1"/>
    <s v="Y"/>
    <s v="Yes"/>
    <n v="13"/>
    <x v="0"/>
    <n v="4"/>
    <n v="80"/>
    <x v="1"/>
    <n v="4"/>
    <x v="1"/>
    <n v="4"/>
    <n v="4"/>
    <n v="2"/>
    <n v="2"/>
    <n v="3"/>
  </r>
  <r>
    <n v="36"/>
    <x v="1"/>
    <x v="2"/>
    <n v="1351"/>
    <x v="1"/>
    <n v="9"/>
    <n v="4"/>
    <s v="Life Sciences"/>
    <n v="1"/>
    <n v="1949"/>
    <n v="1"/>
    <x v="1"/>
    <n v="66"/>
    <x v="2"/>
    <n v="1"/>
    <x v="2"/>
    <n v="2"/>
    <x v="1"/>
    <n v="2810"/>
    <n v="9238"/>
    <n v="1"/>
    <s v="Y"/>
    <s v="No"/>
    <n v="22"/>
    <x v="1"/>
    <n v="2"/>
    <n v="80"/>
    <x v="0"/>
    <n v="5"/>
    <x v="1"/>
    <n v="3"/>
    <n v="5"/>
    <n v="4"/>
    <n v="0"/>
    <n v="2"/>
  </r>
  <r>
    <n v="34"/>
    <x v="1"/>
    <x v="0"/>
    <n v="937"/>
    <x v="0"/>
    <n v="1"/>
    <n v="3"/>
    <s v="Marketing"/>
    <n v="1"/>
    <n v="1950"/>
    <n v="1"/>
    <x v="1"/>
    <n v="32"/>
    <x v="0"/>
    <n v="3"/>
    <x v="0"/>
    <n v="4"/>
    <x v="0"/>
    <n v="9888"/>
    <n v="6770"/>
    <n v="1"/>
    <s v="Y"/>
    <s v="No"/>
    <n v="21"/>
    <x v="1"/>
    <n v="1"/>
    <n v="80"/>
    <x v="0"/>
    <n v="14"/>
    <x v="1"/>
    <n v="2"/>
    <n v="14"/>
    <n v="8"/>
    <n v="2"/>
    <n v="1"/>
  </r>
  <r>
    <n v="34"/>
    <x v="1"/>
    <x v="0"/>
    <n v="1239"/>
    <x v="0"/>
    <n v="13"/>
    <n v="4"/>
    <s v="Medical"/>
    <n v="1"/>
    <n v="1951"/>
    <n v="4"/>
    <x v="1"/>
    <n v="39"/>
    <x v="0"/>
    <n v="3"/>
    <x v="0"/>
    <n v="3"/>
    <x v="2"/>
    <n v="8628"/>
    <n v="22914"/>
    <n v="1"/>
    <s v="Y"/>
    <s v="No"/>
    <n v="18"/>
    <x v="0"/>
    <n v="3"/>
    <n v="80"/>
    <x v="1"/>
    <n v="9"/>
    <x v="2"/>
    <n v="2"/>
    <n v="8"/>
    <n v="7"/>
    <n v="1"/>
    <n v="1"/>
  </r>
  <r>
    <n v="26"/>
    <x v="1"/>
    <x v="0"/>
    <n v="157"/>
    <x v="1"/>
    <n v="1"/>
    <n v="3"/>
    <s v="Medical"/>
    <n v="1"/>
    <n v="1952"/>
    <n v="3"/>
    <x v="1"/>
    <n v="95"/>
    <x v="0"/>
    <n v="1"/>
    <x v="2"/>
    <n v="1"/>
    <x v="0"/>
    <n v="2867"/>
    <n v="20006"/>
    <n v="0"/>
    <s v="Y"/>
    <s v="No"/>
    <n v="13"/>
    <x v="0"/>
    <n v="4"/>
    <n v="80"/>
    <x v="0"/>
    <n v="8"/>
    <x v="6"/>
    <n v="2"/>
    <n v="7"/>
    <n v="7"/>
    <n v="7"/>
    <n v="6"/>
  </r>
  <r>
    <n v="29"/>
    <x v="1"/>
    <x v="0"/>
    <n v="136"/>
    <x v="1"/>
    <n v="1"/>
    <n v="3"/>
    <s v="Life Sciences"/>
    <n v="1"/>
    <n v="1954"/>
    <n v="1"/>
    <x v="1"/>
    <n v="89"/>
    <x v="0"/>
    <n v="2"/>
    <x v="4"/>
    <n v="1"/>
    <x v="1"/>
    <n v="5373"/>
    <n v="6225"/>
    <n v="0"/>
    <s v="Y"/>
    <s v="No"/>
    <n v="12"/>
    <x v="0"/>
    <n v="1"/>
    <n v="80"/>
    <x v="1"/>
    <n v="6"/>
    <x v="3"/>
    <n v="2"/>
    <n v="5"/>
    <n v="3"/>
    <n v="0"/>
    <n v="2"/>
  </r>
  <r>
    <n v="32"/>
    <x v="1"/>
    <x v="2"/>
    <n v="1146"/>
    <x v="1"/>
    <n v="15"/>
    <n v="4"/>
    <s v="Medical"/>
    <n v="1"/>
    <n v="1955"/>
    <n v="3"/>
    <x v="0"/>
    <n v="34"/>
    <x v="0"/>
    <n v="2"/>
    <x v="4"/>
    <n v="4"/>
    <x v="2"/>
    <n v="6667"/>
    <n v="16542"/>
    <n v="5"/>
    <s v="Y"/>
    <s v="No"/>
    <n v="18"/>
    <x v="0"/>
    <n v="2"/>
    <n v="80"/>
    <x v="1"/>
    <n v="9"/>
    <x v="6"/>
    <n v="3"/>
    <n v="5"/>
    <n v="1"/>
    <n v="1"/>
    <n v="2"/>
  </r>
  <r>
    <n v="31"/>
    <x v="1"/>
    <x v="1"/>
    <n v="1125"/>
    <x v="1"/>
    <n v="1"/>
    <n v="3"/>
    <s v="Life Sciences"/>
    <n v="1"/>
    <n v="1956"/>
    <n v="4"/>
    <x v="1"/>
    <n v="48"/>
    <x v="3"/>
    <n v="2"/>
    <x v="1"/>
    <n v="1"/>
    <x v="1"/>
    <n v="5003"/>
    <n v="5771"/>
    <n v="1"/>
    <s v="Y"/>
    <s v="No"/>
    <n v="21"/>
    <x v="1"/>
    <n v="2"/>
    <n v="80"/>
    <x v="0"/>
    <n v="10"/>
    <x v="6"/>
    <n v="3"/>
    <n v="10"/>
    <n v="8"/>
    <n v="8"/>
    <n v="7"/>
  </r>
  <r>
    <n v="28"/>
    <x v="0"/>
    <x v="0"/>
    <n v="1404"/>
    <x v="1"/>
    <n v="17"/>
    <n v="3"/>
    <s v="Technical Degree"/>
    <n v="1"/>
    <n v="1960"/>
    <n v="3"/>
    <x v="1"/>
    <n v="32"/>
    <x v="1"/>
    <n v="1"/>
    <x v="2"/>
    <n v="4"/>
    <x v="2"/>
    <n v="2367"/>
    <n v="18779"/>
    <n v="5"/>
    <s v="Y"/>
    <s v="No"/>
    <n v="12"/>
    <x v="0"/>
    <n v="1"/>
    <n v="80"/>
    <x v="1"/>
    <n v="6"/>
    <x v="2"/>
    <n v="2"/>
    <n v="4"/>
    <n v="1"/>
    <n v="0"/>
    <n v="3"/>
  </r>
  <r>
    <n v="38"/>
    <x v="1"/>
    <x v="0"/>
    <n v="1404"/>
    <x v="0"/>
    <n v="1"/>
    <n v="3"/>
    <s v="Life Sciences"/>
    <n v="1"/>
    <n v="1961"/>
    <n v="1"/>
    <x v="1"/>
    <n v="59"/>
    <x v="1"/>
    <n v="1"/>
    <x v="6"/>
    <n v="1"/>
    <x v="0"/>
    <n v="2858"/>
    <n v="11473"/>
    <n v="4"/>
    <s v="Y"/>
    <s v="No"/>
    <n v="14"/>
    <x v="0"/>
    <n v="1"/>
    <n v="80"/>
    <x v="0"/>
    <n v="20"/>
    <x v="1"/>
    <n v="2"/>
    <n v="1"/>
    <n v="0"/>
    <n v="0"/>
    <n v="0"/>
  </r>
  <r>
    <n v="35"/>
    <x v="1"/>
    <x v="0"/>
    <n v="1224"/>
    <x v="0"/>
    <n v="7"/>
    <n v="4"/>
    <s v="Life Sciences"/>
    <n v="1"/>
    <n v="1962"/>
    <n v="3"/>
    <x v="0"/>
    <n v="55"/>
    <x v="0"/>
    <n v="2"/>
    <x v="0"/>
    <n v="4"/>
    <x v="1"/>
    <n v="5204"/>
    <n v="13586"/>
    <n v="1"/>
    <s v="Y"/>
    <s v="Yes"/>
    <n v="11"/>
    <x v="0"/>
    <n v="4"/>
    <n v="80"/>
    <x v="0"/>
    <n v="10"/>
    <x v="2"/>
    <n v="3"/>
    <n v="10"/>
    <n v="8"/>
    <n v="0"/>
    <n v="9"/>
  </r>
  <r>
    <n v="27"/>
    <x v="1"/>
    <x v="0"/>
    <n v="954"/>
    <x v="0"/>
    <n v="9"/>
    <n v="3"/>
    <s v="Marketing"/>
    <n v="1"/>
    <n v="1965"/>
    <n v="4"/>
    <x v="1"/>
    <n v="44"/>
    <x v="0"/>
    <n v="2"/>
    <x v="0"/>
    <n v="4"/>
    <x v="0"/>
    <n v="4105"/>
    <n v="5099"/>
    <n v="1"/>
    <s v="Y"/>
    <s v="No"/>
    <n v="14"/>
    <x v="0"/>
    <n v="1"/>
    <n v="80"/>
    <x v="0"/>
    <n v="7"/>
    <x v="3"/>
    <n v="3"/>
    <n v="7"/>
    <n v="7"/>
    <n v="0"/>
    <n v="7"/>
  </r>
  <r>
    <n v="32"/>
    <x v="1"/>
    <x v="0"/>
    <n v="1373"/>
    <x v="1"/>
    <n v="5"/>
    <n v="4"/>
    <s v="Life Sciences"/>
    <n v="1"/>
    <n v="1966"/>
    <n v="4"/>
    <x v="1"/>
    <n v="56"/>
    <x v="1"/>
    <n v="2"/>
    <x v="3"/>
    <n v="4"/>
    <x v="0"/>
    <n v="9679"/>
    <n v="10138"/>
    <n v="8"/>
    <s v="Y"/>
    <s v="No"/>
    <n v="24"/>
    <x v="1"/>
    <n v="2"/>
    <n v="80"/>
    <x v="0"/>
    <n v="8"/>
    <x v="4"/>
    <n v="3"/>
    <n v="1"/>
    <n v="0"/>
    <n v="0"/>
    <n v="0"/>
  </r>
  <r>
    <n v="31"/>
    <x v="0"/>
    <x v="1"/>
    <n v="754"/>
    <x v="0"/>
    <n v="26"/>
    <n v="4"/>
    <s v="Marketing"/>
    <n v="1"/>
    <n v="1967"/>
    <n v="1"/>
    <x v="1"/>
    <n v="63"/>
    <x v="0"/>
    <n v="2"/>
    <x v="0"/>
    <n v="4"/>
    <x v="1"/>
    <n v="5617"/>
    <n v="21075"/>
    <n v="1"/>
    <s v="Y"/>
    <s v="Yes"/>
    <n v="11"/>
    <x v="0"/>
    <n v="3"/>
    <n v="80"/>
    <x v="0"/>
    <n v="10"/>
    <x v="5"/>
    <n v="3"/>
    <n v="10"/>
    <n v="7"/>
    <n v="0"/>
    <n v="8"/>
  </r>
  <r>
    <n v="53"/>
    <x v="0"/>
    <x v="0"/>
    <n v="1168"/>
    <x v="0"/>
    <n v="24"/>
    <n v="4"/>
    <s v="Life Sciences"/>
    <n v="1"/>
    <n v="1968"/>
    <n v="1"/>
    <x v="1"/>
    <n v="66"/>
    <x v="0"/>
    <n v="3"/>
    <x v="0"/>
    <n v="1"/>
    <x v="0"/>
    <n v="10448"/>
    <n v="5843"/>
    <n v="6"/>
    <s v="Y"/>
    <s v="Yes"/>
    <n v="13"/>
    <x v="0"/>
    <n v="2"/>
    <n v="80"/>
    <x v="0"/>
    <n v="15"/>
    <x v="2"/>
    <n v="2"/>
    <n v="2"/>
    <n v="2"/>
    <n v="2"/>
    <n v="2"/>
  </r>
  <r>
    <n v="54"/>
    <x v="1"/>
    <x v="0"/>
    <n v="155"/>
    <x v="1"/>
    <n v="9"/>
    <n v="2"/>
    <s v="Life Sciences"/>
    <n v="1"/>
    <n v="1969"/>
    <n v="1"/>
    <x v="0"/>
    <n v="67"/>
    <x v="0"/>
    <n v="2"/>
    <x v="1"/>
    <n v="3"/>
    <x v="1"/>
    <n v="2897"/>
    <n v="22474"/>
    <n v="3"/>
    <s v="Y"/>
    <s v="No"/>
    <n v="11"/>
    <x v="0"/>
    <n v="3"/>
    <n v="80"/>
    <x v="3"/>
    <n v="9"/>
    <x v="6"/>
    <n v="2"/>
    <n v="4"/>
    <n v="3"/>
    <n v="2"/>
    <n v="3"/>
  </r>
  <r>
    <n v="33"/>
    <x v="1"/>
    <x v="1"/>
    <n v="1303"/>
    <x v="1"/>
    <n v="7"/>
    <n v="2"/>
    <s v="Life Sciences"/>
    <n v="1"/>
    <n v="1970"/>
    <n v="4"/>
    <x v="1"/>
    <n v="36"/>
    <x v="0"/>
    <n v="2"/>
    <x v="4"/>
    <n v="3"/>
    <x v="2"/>
    <n v="5968"/>
    <n v="18079"/>
    <n v="1"/>
    <s v="Y"/>
    <s v="No"/>
    <n v="20"/>
    <x v="1"/>
    <n v="3"/>
    <n v="80"/>
    <x v="2"/>
    <n v="9"/>
    <x v="2"/>
    <n v="3"/>
    <n v="9"/>
    <n v="7"/>
    <n v="2"/>
    <n v="8"/>
  </r>
  <r>
    <n v="43"/>
    <x v="1"/>
    <x v="0"/>
    <n v="574"/>
    <x v="1"/>
    <n v="11"/>
    <n v="3"/>
    <s v="Life Sciences"/>
    <n v="1"/>
    <n v="1971"/>
    <n v="1"/>
    <x v="1"/>
    <n v="30"/>
    <x v="0"/>
    <n v="3"/>
    <x v="4"/>
    <n v="3"/>
    <x v="1"/>
    <n v="7510"/>
    <n v="16873"/>
    <n v="1"/>
    <s v="Y"/>
    <s v="No"/>
    <n v="17"/>
    <x v="0"/>
    <n v="2"/>
    <n v="80"/>
    <x v="1"/>
    <n v="10"/>
    <x v="4"/>
    <n v="3"/>
    <n v="10"/>
    <n v="9"/>
    <n v="0"/>
    <n v="9"/>
  </r>
  <r>
    <n v="38"/>
    <x v="1"/>
    <x v="1"/>
    <n v="1444"/>
    <x v="2"/>
    <n v="1"/>
    <n v="4"/>
    <s v="Other"/>
    <n v="1"/>
    <n v="1972"/>
    <n v="4"/>
    <x v="1"/>
    <n v="88"/>
    <x v="0"/>
    <n v="1"/>
    <x v="8"/>
    <n v="2"/>
    <x v="1"/>
    <n v="2991"/>
    <n v="5224"/>
    <n v="0"/>
    <s v="Y"/>
    <s v="Yes"/>
    <n v="11"/>
    <x v="0"/>
    <n v="2"/>
    <n v="80"/>
    <x v="1"/>
    <n v="7"/>
    <x v="2"/>
    <n v="3"/>
    <n v="6"/>
    <n v="2"/>
    <n v="1"/>
    <n v="2"/>
  </r>
  <r>
    <n v="55"/>
    <x v="1"/>
    <x v="0"/>
    <n v="189"/>
    <x v="2"/>
    <n v="26"/>
    <n v="4"/>
    <s v="Human Resources"/>
    <n v="1"/>
    <n v="1973"/>
    <n v="3"/>
    <x v="1"/>
    <n v="71"/>
    <x v="2"/>
    <n v="5"/>
    <x v="5"/>
    <n v="2"/>
    <x v="1"/>
    <n v="19636"/>
    <n v="25811"/>
    <n v="4"/>
    <s v="Y"/>
    <s v="Yes"/>
    <n v="18"/>
    <x v="0"/>
    <n v="1"/>
    <n v="80"/>
    <x v="1"/>
    <n v="35"/>
    <x v="0"/>
    <n v="3"/>
    <n v="10"/>
    <n v="9"/>
    <n v="1"/>
    <n v="4"/>
  </r>
  <r>
    <n v="31"/>
    <x v="1"/>
    <x v="0"/>
    <n v="1276"/>
    <x v="1"/>
    <n v="2"/>
    <n v="1"/>
    <s v="Medical"/>
    <n v="1"/>
    <n v="1974"/>
    <n v="4"/>
    <x v="0"/>
    <n v="59"/>
    <x v="3"/>
    <n v="1"/>
    <x v="2"/>
    <n v="4"/>
    <x v="2"/>
    <n v="1129"/>
    <n v="17536"/>
    <n v="1"/>
    <s v="Y"/>
    <s v="Yes"/>
    <n v="11"/>
    <x v="0"/>
    <n v="3"/>
    <n v="80"/>
    <x v="2"/>
    <n v="1"/>
    <x v="5"/>
    <n v="3"/>
    <n v="1"/>
    <n v="0"/>
    <n v="0"/>
    <n v="0"/>
  </r>
  <r>
    <n v="39"/>
    <x v="1"/>
    <x v="0"/>
    <n v="119"/>
    <x v="0"/>
    <n v="15"/>
    <n v="4"/>
    <s v="Marketing"/>
    <n v="1"/>
    <n v="1975"/>
    <n v="2"/>
    <x v="1"/>
    <n v="77"/>
    <x v="0"/>
    <n v="4"/>
    <x v="0"/>
    <n v="1"/>
    <x v="0"/>
    <n v="13341"/>
    <n v="25098"/>
    <n v="0"/>
    <s v="Y"/>
    <s v="No"/>
    <n v="12"/>
    <x v="0"/>
    <n v="1"/>
    <n v="80"/>
    <x v="0"/>
    <n v="21"/>
    <x v="1"/>
    <n v="3"/>
    <n v="20"/>
    <n v="8"/>
    <n v="11"/>
    <n v="10"/>
  </r>
  <r>
    <n v="42"/>
    <x v="1"/>
    <x v="2"/>
    <n v="335"/>
    <x v="1"/>
    <n v="23"/>
    <n v="2"/>
    <s v="Life Sciences"/>
    <n v="1"/>
    <n v="1976"/>
    <n v="4"/>
    <x v="1"/>
    <n v="37"/>
    <x v="1"/>
    <n v="2"/>
    <x v="1"/>
    <n v="3"/>
    <x v="0"/>
    <n v="4332"/>
    <n v="14811"/>
    <n v="1"/>
    <s v="Y"/>
    <s v="No"/>
    <n v="12"/>
    <x v="0"/>
    <n v="4"/>
    <n v="80"/>
    <x v="0"/>
    <n v="20"/>
    <x v="2"/>
    <n v="3"/>
    <n v="20"/>
    <n v="9"/>
    <n v="3"/>
    <n v="7"/>
  </r>
  <r>
    <n v="31"/>
    <x v="1"/>
    <x v="2"/>
    <n v="697"/>
    <x v="1"/>
    <n v="10"/>
    <n v="3"/>
    <s v="Medical"/>
    <n v="1"/>
    <n v="1979"/>
    <n v="3"/>
    <x v="0"/>
    <n v="40"/>
    <x v="0"/>
    <n v="3"/>
    <x v="7"/>
    <n v="3"/>
    <x v="1"/>
    <n v="11031"/>
    <n v="26862"/>
    <n v="4"/>
    <s v="Y"/>
    <s v="No"/>
    <n v="20"/>
    <x v="1"/>
    <n v="3"/>
    <n v="80"/>
    <x v="1"/>
    <n v="13"/>
    <x v="2"/>
    <n v="4"/>
    <n v="11"/>
    <n v="7"/>
    <n v="4"/>
    <n v="8"/>
  </r>
  <r>
    <n v="54"/>
    <x v="1"/>
    <x v="0"/>
    <n v="157"/>
    <x v="1"/>
    <n v="10"/>
    <n v="3"/>
    <s v="Medical"/>
    <n v="1"/>
    <n v="1980"/>
    <n v="3"/>
    <x v="0"/>
    <n v="77"/>
    <x v="0"/>
    <n v="2"/>
    <x v="3"/>
    <n v="1"/>
    <x v="0"/>
    <n v="4440"/>
    <n v="25198"/>
    <n v="6"/>
    <s v="Y"/>
    <s v="Yes"/>
    <n v="19"/>
    <x v="0"/>
    <n v="4"/>
    <n v="80"/>
    <x v="0"/>
    <n v="9"/>
    <x v="1"/>
    <n v="3"/>
    <n v="5"/>
    <n v="2"/>
    <n v="1"/>
    <n v="4"/>
  </r>
  <r>
    <n v="24"/>
    <x v="1"/>
    <x v="0"/>
    <n v="771"/>
    <x v="1"/>
    <n v="1"/>
    <n v="2"/>
    <s v="Life Sciences"/>
    <n v="1"/>
    <n v="1981"/>
    <n v="2"/>
    <x v="1"/>
    <n v="45"/>
    <x v="1"/>
    <n v="2"/>
    <x v="4"/>
    <n v="3"/>
    <x v="0"/>
    <n v="4617"/>
    <n v="14120"/>
    <n v="1"/>
    <s v="Y"/>
    <s v="No"/>
    <n v="12"/>
    <x v="0"/>
    <n v="2"/>
    <n v="80"/>
    <x v="0"/>
    <n v="4"/>
    <x v="2"/>
    <n v="2"/>
    <n v="4"/>
    <n v="3"/>
    <n v="1"/>
    <n v="2"/>
  </r>
  <r>
    <n v="23"/>
    <x v="1"/>
    <x v="0"/>
    <n v="571"/>
    <x v="1"/>
    <n v="12"/>
    <n v="2"/>
    <s v="Other"/>
    <n v="1"/>
    <n v="1982"/>
    <n v="4"/>
    <x v="1"/>
    <n v="78"/>
    <x v="0"/>
    <n v="1"/>
    <x v="2"/>
    <n v="4"/>
    <x v="0"/>
    <n v="2647"/>
    <n v="13672"/>
    <n v="1"/>
    <s v="Y"/>
    <s v="No"/>
    <n v="13"/>
    <x v="0"/>
    <n v="3"/>
    <n v="80"/>
    <x v="0"/>
    <n v="5"/>
    <x v="6"/>
    <n v="4"/>
    <n v="5"/>
    <n v="2"/>
    <n v="1"/>
    <n v="4"/>
  </r>
  <r>
    <n v="40"/>
    <x v="1"/>
    <x v="1"/>
    <n v="692"/>
    <x v="1"/>
    <n v="11"/>
    <n v="3"/>
    <s v="Technical Degree"/>
    <n v="1"/>
    <n v="1985"/>
    <n v="4"/>
    <x v="0"/>
    <n v="73"/>
    <x v="0"/>
    <n v="2"/>
    <x v="2"/>
    <n v="3"/>
    <x v="1"/>
    <n v="6323"/>
    <n v="26849"/>
    <n v="1"/>
    <s v="Y"/>
    <s v="No"/>
    <n v="11"/>
    <x v="0"/>
    <n v="1"/>
    <n v="80"/>
    <x v="1"/>
    <n v="10"/>
    <x v="2"/>
    <n v="4"/>
    <n v="10"/>
    <n v="9"/>
    <n v="9"/>
    <n v="4"/>
  </r>
  <r>
    <n v="40"/>
    <x v="1"/>
    <x v="0"/>
    <n v="444"/>
    <x v="0"/>
    <n v="2"/>
    <n v="2"/>
    <s v="Marketing"/>
    <n v="1"/>
    <n v="1986"/>
    <n v="2"/>
    <x v="0"/>
    <n v="92"/>
    <x v="0"/>
    <n v="2"/>
    <x v="0"/>
    <n v="2"/>
    <x v="1"/>
    <n v="5677"/>
    <n v="4258"/>
    <n v="3"/>
    <s v="Y"/>
    <s v="No"/>
    <n v="14"/>
    <x v="0"/>
    <n v="3"/>
    <n v="80"/>
    <x v="1"/>
    <n v="15"/>
    <x v="5"/>
    <n v="3"/>
    <n v="11"/>
    <n v="8"/>
    <n v="5"/>
    <n v="10"/>
  </r>
  <r>
    <n v="25"/>
    <x v="1"/>
    <x v="0"/>
    <n v="309"/>
    <x v="2"/>
    <n v="2"/>
    <n v="3"/>
    <s v="Human Resources"/>
    <n v="1"/>
    <n v="1987"/>
    <n v="3"/>
    <x v="0"/>
    <n v="82"/>
    <x v="0"/>
    <n v="1"/>
    <x v="8"/>
    <n v="2"/>
    <x v="1"/>
    <n v="2187"/>
    <n v="19655"/>
    <n v="4"/>
    <s v="Y"/>
    <s v="No"/>
    <n v="14"/>
    <x v="0"/>
    <n v="3"/>
    <n v="80"/>
    <x v="0"/>
    <n v="6"/>
    <x v="1"/>
    <n v="3"/>
    <n v="2"/>
    <n v="0"/>
    <n v="1"/>
    <n v="2"/>
  </r>
  <r>
    <n v="30"/>
    <x v="1"/>
    <x v="0"/>
    <n v="911"/>
    <x v="1"/>
    <n v="1"/>
    <n v="2"/>
    <s v="Medical"/>
    <n v="1"/>
    <n v="1989"/>
    <n v="4"/>
    <x v="1"/>
    <n v="76"/>
    <x v="0"/>
    <n v="1"/>
    <x v="2"/>
    <n v="2"/>
    <x v="1"/>
    <n v="3748"/>
    <n v="4077"/>
    <n v="1"/>
    <s v="Y"/>
    <s v="No"/>
    <n v="13"/>
    <x v="0"/>
    <n v="3"/>
    <n v="80"/>
    <x v="0"/>
    <n v="12"/>
    <x v="6"/>
    <n v="2"/>
    <n v="12"/>
    <n v="8"/>
    <n v="1"/>
    <n v="7"/>
  </r>
  <r>
    <n v="25"/>
    <x v="1"/>
    <x v="0"/>
    <n v="977"/>
    <x v="1"/>
    <n v="2"/>
    <n v="1"/>
    <s v="Other"/>
    <n v="1"/>
    <n v="1992"/>
    <n v="4"/>
    <x v="1"/>
    <n v="57"/>
    <x v="0"/>
    <n v="1"/>
    <x v="2"/>
    <n v="3"/>
    <x v="2"/>
    <n v="3977"/>
    <n v="7298"/>
    <n v="6"/>
    <s v="Y"/>
    <s v="Yes"/>
    <n v="19"/>
    <x v="0"/>
    <n v="3"/>
    <n v="80"/>
    <x v="1"/>
    <n v="7"/>
    <x v="2"/>
    <n v="2"/>
    <n v="2"/>
    <n v="2"/>
    <n v="0"/>
    <n v="2"/>
  </r>
  <r>
    <n v="47"/>
    <x v="1"/>
    <x v="0"/>
    <n v="1180"/>
    <x v="1"/>
    <n v="25"/>
    <n v="3"/>
    <s v="Medical"/>
    <n v="1"/>
    <n v="1993"/>
    <n v="1"/>
    <x v="1"/>
    <n v="84"/>
    <x v="0"/>
    <n v="3"/>
    <x v="4"/>
    <n v="3"/>
    <x v="0"/>
    <n v="8633"/>
    <n v="13084"/>
    <n v="2"/>
    <s v="Y"/>
    <s v="No"/>
    <n v="23"/>
    <x v="1"/>
    <n v="2"/>
    <n v="80"/>
    <x v="0"/>
    <n v="25"/>
    <x v="1"/>
    <n v="3"/>
    <n v="17"/>
    <n v="14"/>
    <n v="12"/>
    <n v="11"/>
  </r>
  <r>
    <n v="33"/>
    <x v="1"/>
    <x v="2"/>
    <n v="1313"/>
    <x v="1"/>
    <n v="1"/>
    <n v="2"/>
    <s v="Medical"/>
    <n v="1"/>
    <n v="1994"/>
    <n v="2"/>
    <x v="1"/>
    <n v="59"/>
    <x v="1"/>
    <n v="1"/>
    <x v="2"/>
    <n v="3"/>
    <x v="2"/>
    <n v="2008"/>
    <n v="20439"/>
    <n v="1"/>
    <s v="Y"/>
    <s v="No"/>
    <n v="12"/>
    <x v="0"/>
    <n v="3"/>
    <n v="80"/>
    <x v="2"/>
    <n v="1"/>
    <x v="2"/>
    <n v="2"/>
    <n v="1"/>
    <n v="1"/>
    <n v="0"/>
    <n v="0"/>
  </r>
  <r>
    <n v="38"/>
    <x v="1"/>
    <x v="0"/>
    <n v="1321"/>
    <x v="0"/>
    <n v="1"/>
    <n v="4"/>
    <s v="Life Sciences"/>
    <n v="1"/>
    <n v="1995"/>
    <n v="4"/>
    <x v="1"/>
    <n v="86"/>
    <x v="0"/>
    <n v="2"/>
    <x v="0"/>
    <n v="2"/>
    <x v="1"/>
    <n v="4440"/>
    <n v="7636"/>
    <n v="0"/>
    <s v="Y"/>
    <s v="No"/>
    <n v="15"/>
    <x v="0"/>
    <n v="1"/>
    <n v="80"/>
    <x v="3"/>
    <n v="16"/>
    <x v="1"/>
    <n v="3"/>
    <n v="15"/>
    <n v="13"/>
    <n v="5"/>
    <n v="8"/>
  </r>
  <r>
    <n v="31"/>
    <x v="1"/>
    <x v="0"/>
    <n v="1154"/>
    <x v="0"/>
    <n v="2"/>
    <n v="2"/>
    <s v="Life Sciences"/>
    <n v="1"/>
    <n v="1996"/>
    <n v="1"/>
    <x v="1"/>
    <n v="54"/>
    <x v="0"/>
    <n v="1"/>
    <x v="6"/>
    <n v="3"/>
    <x v="1"/>
    <n v="3067"/>
    <n v="6393"/>
    <n v="0"/>
    <s v="Y"/>
    <s v="No"/>
    <n v="19"/>
    <x v="0"/>
    <n v="3"/>
    <n v="80"/>
    <x v="1"/>
    <n v="3"/>
    <x v="4"/>
    <n v="3"/>
    <n v="2"/>
    <n v="2"/>
    <n v="1"/>
    <n v="2"/>
  </r>
  <r>
    <n v="38"/>
    <x v="1"/>
    <x v="1"/>
    <n v="508"/>
    <x v="1"/>
    <n v="6"/>
    <n v="4"/>
    <s v="Life Sciences"/>
    <n v="1"/>
    <n v="1997"/>
    <n v="1"/>
    <x v="1"/>
    <n v="72"/>
    <x v="1"/>
    <n v="2"/>
    <x v="3"/>
    <n v="3"/>
    <x v="1"/>
    <n v="5321"/>
    <n v="14284"/>
    <n v="2"/>
    <s v="Y"/>
    <s v="No"/>
    <n v="11"/>
    <x v="0"/>
    <n v="4"/>
    <n v="80"/>
    <x v="1"/>
    <n v="10"/>
    <x v="4"/>
    <n v="3"/>
    <n v="8"/>
    <n v="3"/>
    <n v="7"/>
    <n v="7"/>
  </r>
  <r>
    <n v="42"/>
    <x v="1"/>
    <x v="0"/>
    <n v="557"/>
    <x v="1"/>
    <n v="18"/>
    <n v="4"/>
    <s v="Life Sciences"/>
    <n v="1"/>
    <n v="1998"/>
    <n v="4"/>
    <x v="1"/>
    <n v="35"/>
    <x v="0"/>
    <n v="2"/>
    <x v="1"/>
    <n v="1"/>
    <x v="2"/>
    <n v="5410"/>
    <n v="11189"/>
    <n v="6"/>
    <s v="Y"/>
    <s v="Yes"/>
    <n v="17"/>
    <x v="0"/>
    <n v="3"/>
    <n v="80"/>
    <x v="1"/>
    <n v="9"/>
    <x v="1"/>
    <n v="2"/>
    <n v="4"/>
    <n v="3"/>
    <n v="1"/>
    <n v="2"/>
  </r>
  <r>
    <n v="41"/>
    <x v="1"/>
    <x v="0"/>
    <n v="642"/>
    <x v="1"/>
    <n v="1"/>
    <n v="3"/>
    <s v="Life Sciences"/>
    <n v="1"/>
    <n v="1999"/>
    <n v="4"/>
    <x v="1"/>
    <n v="76"/>
    <x v="0"/>
    <n v="1"/>
    <x v="1"/>
    <n v="4"/>
    <x v="1"/>
    <n v="2782"/>
    <n v="21412"/>
    <n v="3"/>
    <s v="Y"/>
    <s v="No"/>
    <n v="22"/>
    <x v="1"/>
    <n v="1"/>
    <n v="80"/>
    <x v="1"/>
    <n v="12"/>
    <x v="1"/>
    <n v="3"/>
    <n v="5"/>
    <n v="3"/>
    <n v="1"/>
    <n v="0"/>
  </r>
  <r>
    <n v="47"/>
    <x v="1"/>
    <x v="2"/>
    <n v="1162"/>
    <x v="1"/>
    <n v="1"/>
    <n v="1"/>
    <s v="Medical"/>
    <n v="1"/>
    <n v="2000"/>
    <n v="3"/>
    <x v="0"/>
    <n v="98"/>
    <x v="0"/>
    <n v="3"/>
    <x v="7"/>
    <n v="2"/>
    <x v="1"/>
    <n v="11957"/>
    <n v="17231"/>
    <n v="0"/>
    <s v="Y"/>
    <s v="No"/>
    <n v="18"/>
    <x v="0"/>
    <n v="1"/>
    <n v="80"/>
    <x v="3"/>
    <n v="14"/>
    <x v="1"/>
    <n v="1"/>
    <n v="13"/>
    <n v="8"/>
    <n v="5"/>
    <n v="12"/>
  </r>
  <r>
    <n v="35"/>
    <x v="1"/>
    <x v="0"/>
    <n v="1490"/>
    <x v="1"/>
    <n v="11"/>
    <n v="4"/>
    <s v="Medical"/>
    <n v="1"/>
    <n v="2003"/>
    <n v="4"/>
    <x v="1"/>
    <n v="43"/>
    <x v="0"/>
    <n v="1"/>
    <x v="2"/>
    <n v="3"/>
    <x v="1"/>
    <n v="2660"/>
    <n v="20232"/>
    <n v="7"/>
    <s v="Y"/>
    <s v="Yes"/>
    <n v="11"/>
    <x v="0"/>
    <n v="3"/>
    <n v="80"/>
    <x v="1"/>
    <n v="5"/>
    <x v="1"/>
    <n v="3"/>
    <n v="2"/>
    <n v="2"/>
    <n v="2"/>
    <n v="2"/>
  </r>
  <r>
    <n v="22"/>
    <x v="1"/>
    <x v="0"/>
    <n v="581"/>
    <x v="1"/>
    <n v="1"/>
    <n v="2"/>
    <s v="Life Sciences"/>
    <n v="1"/>
    <n v="2007"/>
    <n v="4"/>
    <x v="1"/>
    <n v="63"/>
    <x v="0"/>
    <n v="1"/>
    <x v="1"/>
    <n v="3"/>
    <x v="0"/>
    <n v="3375"/>
    <n v="17624"/>
    <n v="0"/>
    <s v="Y"/>
    <s v="No"/>
    <n v="12"/>
    <x v="0"/>
    <n v="4"/>
    <n v="80"/>
    <x v="0"/>
    <n v="4"/>
    <x v="2"/>
    <n v="4"/>
    <n v="3"/>
    <n v="2"/>
    <n v="1"/>
    <n v="2"/>
  </r>
  <r>
    <n v="35"/>
    <x v="1"/>
    <x v="0"/>
    <n v="1395"/>
    <x v="1"/>
    <n v="9"/>
    <n v="4"/>
    <s v="Medical"/>
    <n v="1"/>
    <n v="2008"/>
    <n v="2"/>
    <x v="1"/>
    <n v="48"/>
    <x v="0"/>
    <n v="2"/>
    <x v="1"/>
    <n v="3"/>
    <x v="0"/>
    <n v="5098"/>
    <n v="18698"/>
    <n v="1"/>
    <s v="Y"/>
    <s v="No"/>
    <n v="19"/>
    <x v="0"/>
    <n v="2"/>
    <n v="80"/>
    <x v="0"/>
    <n v="10"/>
    <x v="3"/>
    <n v="3"/>
    <n v="10"/>
    <n v="7"/>
    <n v="0"/>
    <n v="8"/>
  </r>
  <r>
    <n v="33"/>
    <x v="1"/>
    <x v="0"/>
    <n v="501"/>
    <x v="1"/>
    <n v="15"/>
    <n v="2"/>
    <s v="Medical"/>
    <n v="1"/>
    <n v="2009"/>
    <n v="2"/>
    <x v="0"/>
    <n v="95"/>
    <x v="0"/>
    <n v="2"/>
    <x v="4"/>
    <n v="4"/>
    <x v="1"/>
    <n v="4878"/>
    <n v="21653"/>
    <n v="0"/>
    <s v="Y"/>
    <s v="Yes"/>
    <n v="13"/>
    <x v="0"/>
    <n v="1"/>
    <n v="80"/>
    <x v="1"/>
    <n v="10"/>
    <x v="6"/>
    <n v="3"/>
    <n v="9"/>
    <n v="7"/>
    <n v="8"/>
    <n v="1"/>
  </r>
  <r>
    <n v="32"/>
    <x v="1"/>
    <x v="0"/>
    <n v="267"/>
    <x v="1"/>
    <n v="29"/>
    <n v="4"/>
    <s v="Life Sciences"/>
    <n v="1"/>
    <n v="2010"/>
    <n v="3"/>
    <x v="0"/>
    <n v="49"/>
    <x v="1"/>
    <n v="1"/>
    <x v="2"/>
    <n v="2"/>
    <x v="0"/>
    <n v="2837"/>
    <n v="15919"/>
    <n v="1"/>
    <s v="Y"/>
    <s v="No"/>
    <n v="13"/>
    <x v="0"/>
    <n v="3"/>
    <n v="80"/>
    <x v="0"/>
    <n v="6"/>
    <x v="1"/>
    <n v="3"/>
    <n v="6"/>
    <n v="2"/>
    <n v="4"/>
    <n v="1"/>
  </r>
  <r>
    <n v="40"/>
    <x v="1"/>
    <x v="0"/>
    <n v="543"/>
    <x v="1"/>
    <n v="1"/>
    <n v="4"/>
    <s v="Life Sciences"/>
    <n v="1"/>
    <n v="2012"/>
    <n v="1"/>
    <x v="1"/>
    <n v="83"/>
    <x v="0"/>
    <n v="1"/>
    <x v="2"/>
    <n v="4"/>
    <x v="1"/>
    <n v="2406"/>
    <n v="4060"/>
    <n v="8"/>
    <s v="Y"/>
    <s v="No"/>
    <n v="19"/>
    <x v="0"/>
    <n v="3"/>
    <n v="80"/>
    <x v="3"/>
    <n v="8"/>
    <x v="1"/>
    <n v="2"/>
    <n v="1"/>
    <n v="0"/>
    <n v="0"/>
    <n v="0"/>
  </r>
  <r>
    <n v="32"/>
    <x v="1"/>
    <x v="0"/>
    <n v="234"/>
    <x v="0"/>
    <n v="1"/>
    <n v="4"/>
    <s v="Medical"/>
    <n v="1"/>
    <n v="2013"/>
    <n v="2"/>
    <x v="1"/>
    <n v="68"/>
    <x v="1"/>
    <n v="1"/>
    <x v="6"/>
    <n v="2"/>
    <x v="1"/>
    <n v="2269"/>
    <n v="18024"/>
    <n v="0"/>
    <s v="Y"/>
    <s v="No"/>
    <n v="14"/>
    <x v="0"/>
    <n v="2"/>
    <n v="80"/>
    <x v="1"/>
    <n v="3"/>
    <x v="2"/>
    <n v="3"/>
    <n v="2"/>
    <n v="2"/>
    <n v="2"/>
    <n v="2"/>
  </r>
  <r>
    <n v="39"/>
    <x v="1"/>
    <x v="0"/>
    <n v="116"/>
    <x v="1"/>
    <n v="24"/>
    <n v="1"/>
    <s v="Life Sciences"/>
    <n v="1"/>
    <n v="2014"/>
    <n v="1"/>
    <x v="1"/>
    <n v="52"/>
    <x v="0"/>
    <n v="2"/>
    <x v="1"/>
    <n v="4"/>
    <x v="0"/>
    <n v="4108"/>
    <n v="5340"/>
    <n v="7"/>
    <s v="Y"/>
    <s v="No"/>
    <n v="13"/>
    <x v="0"/>
    <n v="1"/>
    <n v="80"/>
    <x v="0"/>
    <n v="18"/>
    <x v="2"/>
    <n v="3"/>
    <n v="7"/>
    <n v="7"/>
    <n v="1"/>
    <n v="7"/>
  </r>
  <r>
    <n v="38"/>
    <x v="1"/>
    <x v="0"/>
    <n v="201"/>
    <x v="1"/>
    <n v="10"/>
    <n v="3"/>
    <s v="Medical"/>
    <n v="1"/>
    <n v="2015"/>
    <n v="2"/>
    <x v="0"/>
    <n v="99"/>
    <x v="3"/>
    <n v="3"/>
    <x v="7"/>
    <n v="3"/>
    <x v="1"/>
    <n v="13206"/>
    <n v="3376"/>
    <n v="3"/>
    <s v="Y"/>
    <s v="No"/>
    <n v="12"/>
    <x v="0"/>
    <n v="1"/>
    <n v="80"/>
    <x v="1"/>
    <n v="20"/>
    <x v="1"/>
    <n v="3"/>
    <n v="18"/>
    <n v="16"/>
    <n v="1"/>
    <n v="11"/>
  </r>
  <r>
    <n v="32"/>
    <x v="1"/>
    <x v="0"/>
    <n v="801"/>
    <x v="0"/>
    <n v="1"/>
    <n v="4"/>
    <s v="Marketing"/>
    <n v="1"/>
    <n v="2016"/>
    <n v="3"/>
    <x v="0"/>
    <n v="48"/>
    <x v="0"/>
    <n v="3"/>
    <x v="0"/>
    <n v="4"/>
    <x v="1"/>
    <n v="10422"/>
    <n v="24032"/>
    <n v="1"/>
    <s v="Y"/>
    <s v="No"/>
    <n v="19"/>
    <x v="0"/>
    <n v="3"/>
    <n v="80"/>
    <x v="3"/>
    <n v="14"/>
    <x v="1"/>
    <n v="3"/>
    <n v="14"/>
    <n v="10"/>
    <n v="5"/>
    <n v="7"/>
  </r>
  <r>
    <n v="37"/>
    <x v="1"/>
    <x v="0"/>
    <n v="161"/>
    <x v="1"/>
    <n v="10"/>
    <n v="3"/>
    <s v="Life Sciences"/>
    <n v="1"/>
    <n v="2017"/>
    <n v="3"/>
    <x v="0"/>
    <n v="42"/>
    <x v="2"/>
    <n v="3"/>
    <x v="7"/>
    <n v="4"/>
    <x v="1"/>
    <n v="13744"/>
    <n v="15471"/>
    <n v="1"/>
    <s v="Y"/>
    <s v="Yes"/>
    <n v="25"/>
    <x v="1"/>
    <n v="1"/>
    <n v="80"/>
    <x v="1"/>
    <n v="16"/>
    <x v="2"/>
    <n v="3"/>
    <n v="16"/>
    <n v="11"/>
    <n v="6"/>
    <n v="8"/>
  </r>
  <r>
    <n v="25"/>
    <x v="1"/>
    <x v="0"/>
    <n v="1382"/>
    <x v="0"/>
    <n v="8"/>
    <n v="2"/>
    <s v="Other"/>
    <n v="1"/>
    <n v="2018"/>
    <n v="1"/>
    <x v="0"/>
    <n v="85"/>
    <x v="0"/>
    <n v="2"/>
    <x v="0"/>
    <n v="3"/>
    <x v="2"/>
    <n v="4907"/>
    <n v="13684"/>
    <n v="0"/>
    <s v="Y"/>
    <s v="Yes"/>
    <n v="22"/>
    <x v="1"/>
    <n v="2"/>
    <n v="80"/>
    <x v="1"/>
    <n v="6"/>
    <x v="1"/>
    <n v="2"/>
    <n v="5"/>
    <n v="3"/>
    <n v="0"/>
    <n v="4"/>
  </r>
  <r>
    <n v="52"/>
    <x v="1"/>
    <x v="2"/>
    <n v="585"/>
    <x v="0"/>
    <n v="29"/>
    <n v="4"/>
    <s v="Life Sciences"/>
    <n v="1"/>
    <n v="2019"/>
    <n v="1"/>
    <x v="1"/>
    <n v="40"/>
    <x v="0"/>
    <n v="1"/>
    <x v="6"/>
    <n v="4"/>
    <x v="2"/>
    <n v="3482"/>
    <n v="19788"/>
    <n v="2"/>
    <s v="Y"/>
    <s v="No"/>
    <n v="15"/>
    <x v="0"/>
    <n v="2"/>
    <n v="80"/>
    <x v="3"/>
    <n v="16"/>
    <x v="1"/>
    <n v="2"/>
    <n v="9"/>
    <n v="8"/>
    <n v="0"/>
    <n v="0"/>
  </r>
  <r>
    <n v="44"/>
    <x v="1"/>
    <x v="0"/>
    <n v="1037"/>
    <x v="1"/>
    <n v="1"/>
    <n v="3"/>
    <s v="Medical"/>
    <n v="1"/>
    <n v="2020"/>
    <n v="2"/>
    <x v="1"/>
    <n v="42"/>
    <x v="0"/>
    <n v="1"/>
    <x v="1"/>
    <n v="4"/>
    <x v="0"/>
    <n v="2436"/>
    <n v="13422"/>
    <n v="6"/>
    <s v="Y"/>
    <s v="Yes"/>
    <n v="12"/>
    <x v="0"/>
    <n v="3"/>
    <n v="80"/>
    <x v="0"/>
    <n v="6"/>
    <x v="2"/>
    <n v="3"/>
    <n v="4"/>
    <n v="3"/>
    <n v="1"/>
    <n v="2"/>
  </r>
  <r>
    <n v="21"/>
    <x v="1"/>
    <x v="0"/>
    <n v="501"/>
    <x v="0"/>
    <n v="5"/>
    <n v="1"/>
    <s v="Medical"/>
    <n v="1"/>
    <n v="2021"/>
    <n v="3"/>
    <x v="1"/>
    <n v="58"/>
    <x v="0"/>
    <n v="1"/>
    <x v="6"/>
    <n v="1"/>
    <x v="0"/>
    <n v="2380"/>
    <n v="25479"/>
    <n v="1"/>
    <s v="Y"/>
    <s v="Yes"/>
    <n v="11"/>
    <x v="0"/>
    <n v="4"/>
    <n v="80"/>
    <x v="0"/>
    <n v="2"/>
    <x v="6"/>
    <n v="3"/>
    <n v="2"/>
    <n v="2"/>
    <n v="1"/>
    <n v="2"/>
  </r>
  <r>
    <n v="39"/>
    <x v="1"/>
    <x v="2"/>
    <n v="105"/>
    <x v="1"/>
    <n v="9"/>
    <n v="3"/>
    <s v="Life Sciences"/>
    <n v="1"/>
    <n v="2022"/>
    <n v="4"/>
    <x v="1"/>
    <n v="87"/>
    <x v="0"/>
    <n v="5"/>
    <x v="5"/>
    <n v="4"/>
    <x v="0"/>
    <n v="19431"/>
    <n v="15302"/>
    <n v="2"/>
    <s v="Y"/>
    <s v="No"/>
    <n v="13"/>
    <x v="0"/>
    <n v="3"/>
    <n v="80"/>
    <x v="0"/>
    <n v="21"/>
    <x v="1"/>
    <n v="2"/>
    <n v="6"/>
    <n v="0"/>
    <n v="1"/>
    <n v="3"/>
  </r>
  <r>
    <n v="23"/>
    <x v="0"/>
    <x v="1"/>
    <n v="638"/>
    <x v="0"/>
    <n v="9"/>
    <n v="3"/>
    <s v="Marketing"/>
    <n v="1"/>
    <n v="2023"/>
    <n v="4"/>
    <x v="1"/>
    <n v="33"/>
    <x v="0"/>
    <n v="1"/>
    <x v="6"/>
    <n v="1"/>
    <x v="1"/>
    <n v="1790"/>
    <n v="26956"/>
    <n v="1"/>
    <s v="Y"/>
    <s v="No"/>
    <n v="19"/>
    <x v="0"/>
    <n v="1"/>
    <n v="80"/>
    <x v="1"/>
    <n v="1"/>
    <x v="1"/>
    <n v="2"/>
    <n v="1"/>
    <n v="0"/>
    <n v="1"/>
    <n v="0"/>
  </r>
  <r>
    <n v="36"/>
    <x v="1"/>
    <x v="0"/>
    <n v="557"/>
    <x v="0"/>
    <n v="3"/>
    <n v="3"/>
    <s v="Medical"/>
    <n v="1"/>
    <n v="2024"/>
    <n v="1"/>
    <x v="0"/>
    <n v="94"/>
    <x v="1"/>
    <n v="3"/>
    <x v="0"/>
    <n v="4"/>
    <x v="1"/>
    <n v="7644"/>
    <n v="12695"/>
    <n v="0"/>
    <s v="Y"/>
    <s v="No"/>
    <n v="19"/>
    <x v="0"/>
    <n v="3"/>
    <n v="80"/>
    <x v="3"/>
    <n v="10"/>
    <x v="2"/>
    <n v="3"/>
    <n v="9"/>
    <n v="7"/>
    <n v="3"/>
    <n v="4"/>
  </r>
  <r>
    <n v="36"/>
    <x v="1"/>
    <x v="1"/>
    <n v="688"/>
    <x v="1"/>
    <n v="4"/>
    <n v="2"/>
    <s v="Life Sciences"/>
    <n v="1"/>
    <n v="2025"/>
    <n v="4"/>
    <x v="0"/>
    <n v="97"/>
    <x v="0"/>
    <n v="2"/>
    <x v="3"/>
    <n v="2"/>
    <x v="2"/>
    <n v="5131"/>
    <n v="9192"/>
    <n v="7"/>
    <s v="Y"/>
    <s v="No"/>
    <n v="13"/>
    <x v="0"/>
    <n v="2"/>
    <n v="80"/>
    <x v="2"/>
    <n v="18"/>
    <x v="1"/>
    <n v="3"/>
    <n v="4"/>
    <n v="2"/>
    <n v="0"/>
    <n v="2"/>
  </r>
  <r>
    <n v="56"/>
    <x v="1"/>
    <x v="2"/>
    <n v="667"/>
    <x v="1"/>
    <n v="1"/>
    <n v="4"/>
    <s v="Life Sciences"/>
    <n v="1"/>
    <n v="2026"/>
    <n v="3"/>
    <x v="1"/>
    <n v="57"/>
    <x v="0"/>
    <n v="2"/>
    <x v="4"/>
    <n v="3"/>
    <x v="2"/>
    <n v="6306"/>
    <n v="26236"/>
    <n v="1"/>
    <s v="Y"/>
    <s v="No"/>
    <n v="21"/>
    <x v="1"/>
    <n v="1"/>
    <n v="80"/>
    <x v="1"/>
    <n v="13"/>
    <x v="2"/>
    <n v="2"/>
    <n v="13"/>
    <n v="12"/>
    <n v="1"/>
    <n v="9"/>
  </r>
  <r>
    <n v="29"/>
    <x v="0"/>
    <x v="0"/>
    <n v="1092"/>
    <x v="1"/>
    <n v="1"/>
    <n v="4"/>
    <s v="Medical"/>
    <n v="1"/>
    <n v="2027"/>
    <n v="1"/>
    <x v="1"/>
    <n v="36"/>
    <x v="0"/>
    <n v="1"/>
    <x v="1"/>
    <n v="4"/>
    <x v="1"/>
    <n v="4787"/>
    <n v="26124"/>
    <n v="9"/>
    <s v="Y"/>
    <s v="Yes"/>
    <n v="14"/>
    <x v="0"/>
    <n v="2"/>
    <n v="80"/>
    <x v="2"/>
    <n v="4"/>
    <x v="1"/>
    <n v="4"/>
    <n v="2"/>
    <n v="2"/>
    <n v="2"/>
    <n v="2"/>
  </r>
  <r>
    <n v="42"/>
    <x v="1"/>
    <x v="0"/>
    <n v="300"/>
    <x v="1"/>
    <n v="2"/>
    <n v="3"/>
    <s v="Life Sciences"/>
    <n v="1"/>
    <n v="2031"/>
    <n v="1"/>
    <x v="1"/>
    <n v="56"/>
    <x v="0"/>
    <n v="5"/>
    <x v="5"/>
    <n v="3"/>
    <x v="1"/>
    <n v="18880"/>
    <n v="17312"/>
    <n v="5"/>
    <s v="Y"/>
    <s v="No"/>
    <n v="11"/>
    <x v="0"/>
    <n v="1"/>
    <n v="80"/>
    <x v="0"/>
    <n v="24"/>
    <x v="2"/>
    <n v="2"/>
    <n v="22"/>
    <n v="6"/>
    <n v="4"/>
    <n v="14"/>
  </r>
  <r>
    <n v="56"/>
    <x v="0"/>
    <x v="0"/>
    <n v="310"/>
    <x v="1"/>
    <n v="7"/>
    <n v="2"/>
    <s v="Technical Degree"/>
    <n v="1"/>
    <n v="2032"/>
    <n v="4"/>
    <x v="1"/>
    <n v="72"/>
    <x v="0"/>
    <n v="1"/>
    <x v="2"/>
    <n v="3"/>
    <x v="1"/>
    <n v="2339"/>
    <n v="3666"/>
    <n v="8"/>
    <s v="Y"/>
    <s v="No"/>
    <n v="11"/>
    <x v="0"/>
    <n v="4"/>
    <n v="80"/>
    <x v="1"/>
    <n v="14"/>
    <x v="5"/>
    <n v="1"/>
    <n v="10"/>
    <n v="9"/>
    <n v="9"/>
    <n v="8"/>
  </r>
  <r>
    <n v="41"/>
    <x v="1"/>
    <x v="0"/>
    <n v="582"/>
    <x v="1"/>
    <n v="28"/>
    <n v="4"/>
    <s v="Life Sciences"/>
    <n v="1"/>
    <n v="2034"/>
    <n v="1"/>
    <x v="0"/>
    <n v="60"/>
    <x v="1"/>
    <n v="4"/>
    <x v="3"/>
    <n v="2"/>
    <x v="1"/>
    <n v="13570"/>
    <n v="5640"/>
    <n v="0"/>
    <s v="Y"/>
    <s v="No"/>
    <n v="23"/>
    <x v="1"/>
    <n v="3"/>
    <n v="80"/>
    <x v="1"/>
    <n v="21"/>
    <x v="1"/>
    <n v="3"/>
    <n v="20"/>
    <n v="7"/>
    <n v="0"/>
    <n v="10"/>
  </r>
  <r>
    <n v="34"/>
    <x v="1"/>
    <x v="0"/>
    <n v="704"/>
    <x v="0"/>
    <n v="28"/>
    <n v="3"/>
    <s v="Marketing"/>
    <n v="1"/>
    <n v="2035"/>
    <n v="4"/>
    <x v="0"/>
    <n v="95"/>
    <x v="1"/>
    <n v="2"/>
    <x v="0"/>
    <n v="3"/>
    <x v="1"/>
    <n v="6712"/>
    <n v="8978"/>
    <n v="1"/>
    <s v="Y"/>
    <s v="No"/>
    <n v="21"/>
    <x v="1"/>
    <n v="4"/>
    <n v="80"/>
    <x v="3"/>
    <n v="8"/>
    <x v="2"/>
    <n v="3"/>
    <n v="8"/>
    <n v="7"/>
    <n v="1"/>
    <n v="7"/>
  </r>
  <r>
    <n v="36"/>
    <x v="1"/>
    <x v="2"/>
    <n v="301"/>
    <x v="0"/>
    <n v="15"/>
    <n v="4"/>
    <s v="Marketing"/>
    <n v="1"/>
    <n v="2036"/>
    <n v="4"/>
    <x v="1"/>
    <n v="88"/>
    <x v="3"/>
    <n v="2"/>
    <x v="0"/>
    <n v="4"/>
    <x v="2"/>
    <n v="5406"/>
    <n v="10436"/>
    <n v="1"/>
    <s v="Y"/>
    <s v="No"/>
    <n v="24"/>
    <x v="1"/>
    <n v="1"/>
    <n v="80"/>
    <x v="1"/>
    <n v="15"/>
    <x v="5"/>
    <n v="2"/>
    <n v="15"/>
    <n v="12"/>
    <n v="11"/>
    <n v="11"/>
  </r>
  <r>
    <n v="41"/>
    <x v="1"/>
    <x v="0"/>
    <n v="930"/>
    <x v="0"/>
    <n v="3"/>
    <n v="3"/>
    <s v="Life Sciences"/>
    <n v="1"/>
    <n v="2037"/>
    <n v="3"/>
    <x v="1"/>
    <n v="57"/>
    <x v="1"/>
    <n v="2"/>
    <x v="0"/>
    <n v="2"/>
    <x v="2"/>
    <n v="8938"/>
    <n v="12227"/>
    <n v="2"/>
    <s v="Y"/>
    <s v="No"/>
    <n v="11"/>
    <x v="0"/>
    <n v="3"/>
    <n v="80"/>
    <x v="1"/>
    <n v="14"/>
    <x v="3"/>
    <n v="3"/>
    <n v="5"/>
    <n v="4"/>
    <n v="0"/>
    <n v="4"/>
  </r>
  <r>
    <n v="32"/>
    <x v="1"/>
    <x v="0"/>
    <n v="529"/>
    <x v="1"/>
    <n v="2"/>
    <n v="3"/>
    <s v="Technical Degree"/>
    <n v="1"/>
    <n v="2038"/>
    <n v="4"/>
    <x v="1"/>
    <n v="78"/>
    <x v="0"/>
    <n v="1"/>
    <x v="1"/>
    <n v="1"/>
    <x v="0"/>
    <n v="2439"/>
    <n v="11288"/>
    <n v="1"/>
    <s v="Y"/>
    <s v="No"/>
    <n v="14"/>
    <x v="0"/>
    <n v="4"/>
    <n v="80"/>
    <x v="0"/>
    <n v="4"/>
    <x v="5"/>
    <n v="3"/>
    <n v="4"/>
    <n v="2"/>
    <n v="1"/>
    <n v="2"/>
  </r>
  <r>
    <n v="35"/>
    <x v="1"/>
    <x v="0"/>
    <n v="1146"/>
    <x v="2"/>
    <n v="26"/>
    <n v="4"/>
    <s v="Life Sciences"/>
    <n v="1"/>
    <n v="2040"/>
    <n v="3"/>
    <x v="0"/>
    <n v="31"/>
    <x v="0"/>
    <n v="3"/>
    <x v="8"/>
    <n v="4"/>
    <x v="0"/>
    <n v="8837"/>
    <n v="16642"/>
    <n v="1"/>
    <s v="Y"/>
    <s v="Yes"/>
    <n v="16"/>
    <x v="0"/>
    <n v="3"/>
    <n v="80"/>
    <x v="0"/>
    <n v="9"/>
    <x v="2"/>
    <n v="3"/>
    <n v="9"/>
    <n v="0"/>
    <n v="1"/>
    <n v="7"/>
  </r>
  <r>
    <n v="38"/>
    <x v="1"/>
    <x v="0"/>
    <n v="345"/>
    <x v="0"/>
    <n v="10"/>
    <n v="2"/>
    <s v="Life Sciences"/>
    <n v="1"/>
    <n v="2041"/>
    <n v="1"/>
    <x v="0"/>
    <n v="100"/>
    <x v="0"/>
    <n v="2"/>
    <x v="0"/>
    <n v="4"/>
    <x v="1"/>
    <n v="5343"/>
    <n v="5982"/>
    <n v="1"/>
    <s v="Y"/>
    <s v="No"/>
    <n v="11"/>
    <x v="0"/>
    <n v="3"/>
    <n v="80"/>
    <x v="1"/>
    <n v="10"/>
    <x v="4"/>
    <n v="3"/>
    <n v="10"/>
    <n v="7"/>
    <n v="1"/>
    <n v="9"/>
  </r>
  <r>
    <n v="50"/>
    <x v="0"/>
    <x v="1"/>
    <n v="878"/>
    <x v="0"/>
    <n v="1"/>
    <n v="4"/>
    <s v="Life Sciences"/>
    <n v="1"/>
    <n v="2044"/>
    <n v="2"/>
    <x v="1"/>
    <n v="94"/>
    <x v="0"/>
    <n v="2"/>
    <x v="0"/>
    <n v="3"/>
    <x v="2"/>
    <n v="6728"/>
    <n v="14255"/>
    <n v="7"/>
    <s v="Y"/>
    <s v="No"/>
    <n v="12"/>
    <x v="0"/>
    <n v="4"/>
    <n v="80"/>
    <x v="3"/>
    <n v="12"/>
    <x v="1"/>
    <n v="3"/>
    <n v="6"/>
    <n v="3"/>
    <n v="0"/>
    <n v="1"/>
  </r>
  <r>
    <n v="36"/>
    <x v="1"/>
    <x v="0"/>
    <n v="1120"/>
    <x v="0"/>
    <n v="11"/>
    <n v="4"/>
    <s v="Marketing"/>
    <n v="1"/>
    <n v="2045"/>
    <n v="2"/>
    <x v="0"/>
    <n v="100"/>
    <x v="1"/>
    <n v="2"/>
    <x v="0"/>
    <n v="4"/>
    <x v="1"/>
    <n v="6652"/>
    <n v="14369"/>
    <n v="4"/>
    <s v="Y"/>
    <s v="No"/>
    <n v="13"/>
    <x v="0"/>
    <n v="1"/>
    <n v="80"/>
    <x v="1"/>
    <n v="8"/>
    <x v="2"/>
    <n v="2"/>
    <n v="6"/>
    <n v="3"/>
    <n v="0"/>
    <n v="0"/>
  </r>
  <r>
    <n v="45"/>
    <x v="1"/>
    <x v="0"/>
    <n v="374"/>
    <x v="0"/>
    <n v="20"/>
    <n v="3"/>
    <s v="Life Sciences"/>
    <n v="1"/>
    <n v="2046"/>
    <n v="4"/>
    <x v="0"/>
    <n v="50"/>
    <x v="0"/>
    <n v="2"/>
    <x v="0"/>
    <n v="3"/>
    <x v="0"/>
    <n v="4850"/>
    <n v="23333"/>
    <n v="8"/>
    <s v="Y"/>
    <s v="No"/>
    <n v="15"/>
    <x v="0"/>
    <n v="3"/>
    <n v="80"/>
    <x v="0"/>
    <n v="8"/>
    <x v="1"/>
    <n v="3"/>
    <n v="5"/>
    <n v="3"/>
    <n v="0"/>
    <n v="1"/>
  </r>
  <r>
    <n v="40"/>
    <x v="1"/>
    <x v="0"/>
    <n v="1322"/>
    <x v="1"/>
    <n v="2"/>
    <n v="4"/>
    <s v="Life Sciences"/>
    <n v="1"/>
    <n v="2048"/>
    <n v="3"/>
    <x v="1"/>
    <n v="52"/>
    <x v="1"/>
    <n v="1"/>
    <x v="1"/>
    <n v="3"/>
    <x v="0"/>
    <n v="2809"/>
    <n v="2725"/>
    <n v="2"/>
    <s v="Y"/>
    <s v="No"/>
    <n v="14"/>
    <x v="0"/>
    <n v="4"/>
    <n v="80"/>
    <x v="0"/>
    <n v="8"/>
    <x v="2"/>
    <n v="3"/>
    <n v="2"/>
    <n v="2"/>
    <n v="2"/>
    <n v="2"/>
  </r>
  <r>
    <n v="35"/>
    <x v="1"/>
    <x v="1"/>
    <n v="1199"/>
    <x v="1"/>
    <n v="18"/>
    <n v="4"/>
    <s v="Life Sciences"/>
    <n v="1"/>
    <n v="2049"/>
    <n v="3"/>
    <x v="1"/>
    <n v="80"/>
    <x v="0"/>
    <n v="2"/>
    <x v="4"/>
    <n v="3"/>
    <x v="1"/>
    <n v="5689"/>
    <n v="24594"/>
    <n v="1"/>
    <s v="Y"/>
    <s v="Yes"/>
    <n v="14"/>
    <x v="0"/>
    <n v="4"/>
    <n v="80"/>
    <x v="3"/>
    <n v="10"/>
    <x v="2"/>
    <n v="4"/>
    <n v="10"/>
    <n v="2"/>
    <n v="0"/>
    <n v="2"/>
  </r>
  <r>
    <n v="40"/>
    <x v="1"/>
    <x v="0"/>
    <n v="1194"/>
    <x v="1"/>
    <n v="2"/>
    <n v="4"/>
    <s v="Medical"/>
    <n v="1"/>
    <n v="2051"/>
    <n v="3"/>
    <x v="0"/>
    <n v="98"/>
    <x v="0"/>
    <n v="1"/>
    <x v="1"/>
    <n v="3"/>
    <x v="1"/>
    <n v="2001"/>
    <n v="12549"/>
    <n v="2"/>
    <s v="Y"/>
    <s v="No"/>
    <n v="14"/>
    <x v="0"/>
    <n v="2"/>
    <n v="80"/>
    <x v="2"/>
    <n v="20"/>
    <x v="2"/>
    <n v="3"/>
    <n v="5"/>
    <n v="3"/>
    <n v="0"/>
    <n v="2"/>
  </r>
  <r>
    <n v="35"/>
    <x v="1"/>
    <x v="0"/>
    <n v="287"/>
    <x v="1"/>
    <n v="1"/>
    <n v="4"/>
    <s v="Life Sciences"/>
    <n v="1"/>
    <n v="2052"/>
    <n v="3"/>
    <x v="0"/>
    <n v="62"/>
    <x v="3"/>
    <n v="1"/>
    <x v="1"/>
    <n v="4"/>
    <x v="1"/>
    <n v="2977"/>
    <n v="8952"/>
    <n v="1"/>
    <s v="Y"/>
    <s v="No"/>
    <n v="12"/>
    <x v="0"/>
    <n v="4"/>
    <n v="80"/>
    <x v="1"/>
    <n v="4"/>
    <x v="3"/>
    <n v="3"/>
    <n v="4"/>
    <n v="3"/>
    <n v="1"/>
    <n v="1"/>
  </r>
  <r>
    <n v="29"/>
    <x v="1"/>
    <x v="0"/>
    <n v="1378"/>
    <x v="1"/>
    <n v="13"/>
    <n v="2"/>
    <s v="Other"/>
    <n v="1"/>
    <n v="2053"/>
    <n v="4"/>
    <x v="1"/>
    <n v="46"/>
    <x v="1"/>
    <n v="2"/>
    <x v="2"/>
    <n v="2"/>
    <x v="1"/>
    <n v="4025"/>
    <n v="23679"/>
    <n v="4"/>
    <s v="Y"/>
    <s v="Yes"/>
    <n v="13"/>
    <x v="0"/>
    <n v="1"/>
    <n v="80"/>
    <x v="1"/>
    <n v="10"/>
    <x v="2"/>
    <n v="3"/>
    <n v="4"/>
    <n v="3"/>
    <n v="0"/>
    <n v="3"/>
  </r>
  <r>
    <n v="29"/>
    <x v="1"/>
    <x v="0"/>
    <n v="468"/>
    <x v="1"/>
    <n v="28"/>
    <n v="4"/>
    <s v="Medical"/>
    <n v="1"/>
    <n v="2054"/>
    <n v="4"/>
    <x v="0"/>
    <n v="73"/>
    <x v="1"/>
    <n v="1"/>
    <x v="1"/>
    <n v="1"/>
    <x v="0"/>
    <n v="3785"/>
    <n v="8489"/>
    <n v="1"/>
    <s v="Y"/>
    <s v="No"/>
    <n v="14"/>
    <x v="0"/>
    <n v="2"/>
    <n v="80"/>
    <x v="0"/>
    <n v="5"/>
    <x v="1"/>
    <n v="1"/>
    <n v="5"/>
    <n v="4"/>
    <n v="0"/>
    <n v="4"/>
  </r>
  <r>
    <n v="50"/>
    <x v="0"/>
    <x v="0"/>
    <n v="410"/>
    <x v="0"/>
    <n v="28"/>
    <n v="3"/>
    <s v="Marketing"/>
    <n v="1"/>
    <n v="2055"/>
    <n v="4"/>
    <x v="1"/>
    <n v="39"/>
    <x v="1"/>
    <n v="3"/>
    <x v="0"/>
    <n v="1"/>
    <x v="2"/>
    <n v="10854"/>
    <n v="16586"/>
    <n v="4"/>
    <s v="Y"/>
    <s v="Yes"/>
    <n v="13"/>
    <x v="0"/>
    <n v="2"/>
    <n v="80"/>
    <x v="1"/>
    <n v="20"/>
    <x v="1"/>
    <n v="3"/>
    <n v="3"/>
    <n v="2"/>
    <n v="2"/>
    <n v="0"/>
  </r>
  <r>
    <n v="39"/>
    <x v="1"/>
    <x v="0"/>
    <n v="722"/>
    <x v="0"/>
    <n v="24"/>
    <n v="1"/>
    <s v="Marketing"/>
    <n v="1"/>
    <n v="2056"/>
    <n v="2"/>
    <x v="0"/>
    <n v="60"/>
    <x v="1"/>
    <n v="4"/>
    <x v="0"/>
    <n v="4"/>
    <x v="1"/>
    <n v="12031"/>
    <n v="8828"/>
    <n v="0"/>
    <s v="Y"/>
    <s v="No"/>
    <n v="11"/>
    <x v="0"/>
    <n v="1"/>
    <n v="80"/>
    <x v="1"/>
    <n v="21"/>
    <x v="2"/>
    <n v="2"/>
    <n v="20"/>
    <n v="9"/>
    <n v="9"/>
    <n v="6"/>
  </r>
  <r>
    <n v="31"/>
    <x v="1"/>
    <x v="2"/>
    <n v="325"/>
    <x v="1"/>
    <n v="5"/>
    <n v="3"/>
    <s v="Medical"/>
    <n v="1"/>
    <n v="2057"/>
    <n v="2"/>
    <x v="1"/>
    <n v="74"/>
    <x v="0"/>
    <n v="2"/>
    <x v="3"/>
    <n v="1"/>
    <x v="0"/>
    <n v="9936"/>
    <n v="3787"/>
    <n v="0"/>
    <s v="Y"/>
    <s v="No"/>
    <n v="19"/>
    <x v="0"/>
    <n v="2"/>
    <n v="80"/>
    <x v="0"/>
    <n v="10"/>
    <x v="2"/>
    <n v="3"/>
    <n v="9"/>
    <n v="4"/>
    <n v="1"/>
    <n v="7"/>
  </r>
  <r>
    <n v="26"/>
    <x v="1"/>
    <x v="0"/>
    <n v="1167"/>
    <x v="0"/>
    <n v="5"/>
    <n v="3"/>
    <s v="Other"/>
    <n v="1"/>
    <n v="2060"/>
    <n v="4"/>
    <x v="0"/>
    <n v="30"/>
    <x v="1"/>
    <n v="1"/>
    <x v="6"/>
    <n v="3"/>
    <x v="0"/>
    <n v="2966"/>
    <n v="21378"/>
    <n v="0"/>
    <s v="Y"/>
    <s v="No"/>
    <n v="18"/>
    <x v="0"/>
    <n v="4"/>
    <n v="80"/>
    <x v="0"/>
    <n v="5"/>
    <x v="2"/>
    <n v="3"/>
    <n v="4"/>
    <n v="2"/>
    <n v="0"/>
    <n v="0"/>
  </r>
  <r>
    <n v="36"/>
    <x v="1"/>
    <x v="1"/>
    <n v="884"/>
    <x v="1"/>
    <n v="23"/>
    <n v="2"/>
    <s v="Medical"/>
    <n v="1"/>
    <n v="2061"/>
    <n v="3"/>
    <x v="1"/>
    <n v="41"/>
    <x v="2"/>
    <n v="2"/>
    <x v="2"/>
    <n v="4"/>
    <x v="1"/>
    <n v="2571"/>
    <n v="12290"/>
    <n v="4"/>
    <s v="Y"/>
    <s v="No"/>
    <n v="17"/>
    <x v="0"/>
    <n v="3"/>
    <n v="80"/>
    <x v="1"/>
    <n v="17"/>
    <x v="1"/>
    <n v="3"/>
    <n v="5"/>
    <n v="2"/>
    <n v="0"/>
    <n v="3"/>
  </r>
  <r>
    <n v="39"/>
    <x v="1"/>
    <x v="0"/>
    <n v="613"/>
    <x v="1"/>
    <n v="6"/>
    <n v="1"/>
    <s v="Medical"/>
    <n v="1"/>
    <n v="2062"/>
    <n v="4"/>
    <x v="1"/>
    <n v="42"/>
    <x v="1"/>
    <n v="3"/>
    <x v="4"/>
    <n v="1"/>
    <x v="1"/>
    <n v="9991"/>
    <n v="21457"/>
    <n v="4"/>
    <s v="Y"/>
    <s v="No"/>
    <n v="15"/>
    <x v="0"/>
    <n v="1"/>
    <n v="80"/>
    <x v="1"/>
    <n v="9"/>
    <x v="3"/>
    <n v="3"/>
    <n v="7"/>
    <n v="7"/>
    <n v="1"/>
    <n v="7"/>
  </r>
  <r>
    <n v="27"/>
    <x v="1"/>
    <x v="0"/>
    <n v="155"/>
    <x v="1"/>
    <n v="4"/>
    <n v="3"/>
    <s v="Life Sciences"/>
    <n v="1"/>
    <n v="2064"/>
    <n v="2"/>
    <x v="1"/>
    <n v="87"/>
    <x v="2"/>
    <n v="2"/>
    <x v="3"/>
    <n v="2"/>
    <x v="1"/>
    <n v="6142"/>
    <n v="5174"/>
    <n v="1"/>
    <s v="Y"/>
    <s v="Yes"/>
    <n v="20"/>
    <x v="1"/>
    <n v="2"/>
    <n v="80"/>
    <x v="1"/>
    <n v="6"/>
    <x v="0"/>
    <n v="3"/>
    <n v="6"/>
    <n v="2"/>
    <n v="0"/>
    <n v="3"/>
  </r>
  <r>
    <n v="49"/>
    <x v="1"/>
    <x v="1"/>
    <n v="1023"/>
    <x v="0"/>
    <n v="2"/>
    <n v="3"/>
    <s v="Medical"/>
    <n v="1"/>
    <n v="2065"/>
    <n v="4"/>
    <x v="1"/>
    <n v="63"/>
    <x v="1"/>
    <n v="2"/>
    <x v="0"/>
    <n v="2"/>
    <x v="1"/>
    <n v="5390"/>
    <n v="13243"/>
    <n v="2"/>
    <s v="Y"/>
    <s v="No"/>
    <n v="14"/>
    <x v="0"/>
    <n v="4"/>
    <n v="80"/>
    <x v="0"/>
    <n v="17"/>
    <x v="1"/>
    <n v="2"/>
    <n v="9"/>
    <n v="6"/>
    <n v="0"/>
    <n v="8"/>
  </r>
  <r>
    <n v="34"/>
    <x v="1"/>
    <x v="0"/>
    <n v="628"/>
    <x v="1"/>
    <n v="8"/>
    <n v="3"/>
    <s v="Medical"/>
    <n v="1"/>
    <n v="2068"/>
    <n v="2"/>
    <x v="1"/>
    <n v="82"/>
    <x v="2"/>
    <n v="2"/>
    <x v="2"/>
    <n v="3"/>
    <x v="1"/>
    <n v="4404"/>
    <n v="10228"/>
    <n v="2"/>
    <s v="Y"/>
    <s v="No"/>
    <n v="12"/>
    <x v="0"/>
    <n v="1"/>
    <n v="80"/>
    <x v="0"/>
    <n v="6"/>
    <x v="1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ABC34-D8D3-4591-AEFA-6314180DBFE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epartment" colHeaderCaption="Attrition">
  <location ref="O23:R2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Count" fld="8" subtotal="count" baseField="4" baseItem="0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6BC90-5B77-4CD2-940F-638F81B4DD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ender">
  <location ref="B85:E8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formats count="10"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1" type="button" dataOnly="0" labelOnly="1" outline="0" axis="axisCol" fieldPosition="0"/>
    </format>
    <format dxfId="48">
      <pivotArea type="topRight" dataOnly="0" labelOnly="1" outline="0" fieldPosition="0"/>
    </format>
    <format dxfId="47">
      <pivotArea field="11" type="button" dataOnly="0" labelOnly="1" outline="0" axis="axisRow" fieldPosition="0"/>
    </format>
    <format dxfId="46">
      <pivotArea dataOnly="0" labelOnly="1" fieldPosition="0">
        <references count="1">
          <reference field="11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C4DA7-4DF6-4863-94B5-B974801B4FB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Job Role">
  <location ref="B64:C74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6" subtotal="average" baseField="15" baseItem="0"/>
  </dataFields>
  <formats count="6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5" type="button" dataOnly="0" labelOnly="1" outline="0" axis="axisRow" fieldPosition="0"/>
    </format>
    <format dxfId="55">
      <pivotArea dataOnly="0" labelOnly="1" fieldPosition="0">
        <references count="1">
          <reference field="15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</formats>
  <chartFormats count="20"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1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0" format="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0" format="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0" format="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0" format="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0" format="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10" format="3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10" format="39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10" format="40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94076-269B-48D1-89BC-BBD8DB5956F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erformance Rating">
  <location ref="B133:C136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PerformanceRating" fld="24" subtotal="count" baseField="24" baseItem="0"/>
  </dataFields>
  <formats count="6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24" type="button" dataOnly="0" labelOnly="1" outline="0" axis="axisRow" fieldPosition="0"/>
    </format>
    <format dxfId="61">
      <pivotArea dataOnly="0" labelOnly="1" fieldPosition="0">
        <references count="1">
          <reference field="24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42C1F-8B97-4ADB-B34B-942FFF9752A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Involvement">
  <location ref="C11:F1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C4055-1F51-4E86-AF77-DFC5C2A471C7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arrital Status" colHeaderCaption="Attrition">
  <location ref="C43:F4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90FD9-88EF-4547-A4DF-EBE0FF2F690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Business Travel">
  <location ref="B138:C142" firstHeaderRow="1" firstDataRow="1" firstDataCol="1"/>
  <pivotFields count="35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6" subtotal="average" baseField="2" baseItem="0"/>
  </dataFields>
  <chartFormats count="8"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98755-6547-427A-9E6E-E44D0EF4201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tock Option Level" colHeaderCaption="Attrition">
  <location ref="B95:E101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7" baseItem="0"/>
  </dataFields>
  <chartFormats count="4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BA105-29B8-4A1A-94BA-A450EAF38C5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Training Time Last Year" colHeaderCaption="Attrition">
  <location ref="B53:E62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9" baseItem="0"/>
  </dataFields>
  <formats count="6">
    <format dxfId="5">
      <pivotArea outline="0" collapsedLevelsAreSubtotals="1" fieldPosition="0"/>
    </format>
    <format dxfId="4">
      <pivotArea field="29" type="button" dataOnly="0" labelOnly="1" outline="0" axis="axisRow" fieldPosition="0"/>
    </format>
    <format dxfId="3">
      <pivotArea dataOnly="0" labelOnly="1" fieldPosition="0">
        <references count="1">
          <reference field="29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hartFormats count="2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F1B0C-5726-4887-A7C1-F45F32B322CA}" name="Table1" displayName="Table1" ref="A1:AI1471" totalsRowShown="0" headerRowDxfId="42" dataDxfId="41">
  <autoFilter ref="A1:AI1471" xr:uid="{A8EF1B0C-5726-4887-A7C1-F45F32B322CA}"/>
  <tableColumns count="35">
    <tableColumn id="1" xr3:uid="{8079741D-C402-4662-BBE0-DC65DFCDC6C6}" name="Age" dataDxfId="40"/>
    <tableColumn id="2" xr3:uid="{15DC756E-A4A2-49A0-9430-8C86D14A5D35}" name="Attrition" dataDxfId="39"/>
    <tableColumn id="3" xr3:uid="{E624F790-18B6-455B-ACF1-A434426354DB}" name="BusinessTravel" dataDxfId="38"/>
    <tableColumn id="4" xr3:uid="{293C2CA9-C52D-44D8-8371-CFDA95BCB5BD}" name="DailyRate" dataDxfId="37"/>
    <tableColumn id="5" xr3:uid="{E3F3B5CB-51DD-45D1-87C1-CBD9E1462DA0}" name="Department" dataDxfId="36"/>
    <tableColumn id="6" xr3:uid="{F28903D3-8E0E-4AE4-8433-659155A9355F}" name="DistanceFromHome" dataDxfId="35"/>
    <tableColumn id="7" xr3:uid="{F5D36F04-C1CC-477C-B4E7-4CAF60FE2CCA}" name="Education" dataDxfId="34"/>
    <tableColumn id="8" xr3:uid="{6DC6185E-1006-4302-B28E-189F3348C320}" name="EducationField" dataDxfId="33"/>
    <tableColumn id="9" xr3:uid="{BB49724A-442F-48F2-9E0B-E575D4558F98}" name="EmployeeCount" dataDxfId="32"/>
    <tableColumn id="10" xr3:uid="{77731471-623A-4498-8365-E2ECDB0B3EE3}" name="EmployeeNumber" dataDxfId="31"/>
    <tableColumn id="11" xr3:uid="{23468B36-7BE8-4536-A5D2-89A3C87CE886}" name="EnvironmentSatisfaction" dataDxfId="30"/>
    <tableColumn id="12" xr3:uid="{6F602F5C-1DBA-408F-BE3E-682F111AD8DF}" name="Gender" dataDxfId="29"/>
    <tableColumn id="13" xr3:uid="{359A4061-52D8-4361-8648-AC2778BE2D5B}" name="HourlyRate" dataDxfId="28"/>
    <tableColumn id="14" xr3:uid="{D14060C8-059D-413B-AEB9-7F5A89592C4B}" name="JobInvolvement" dataDxfId="27"/>
    <tableColumn id="15" xr3:uid="{581B8E4B-3BFE-4432-B722-5CD3676F3FFE}" name="JobLevel" dataDxfId="26"/>
    <tableColumn id="16" xr3:uid="{CB389CC8-FCB4-4B73-B073-4CCE35622B54}" name="JobRole" dataDxfId="25"/>
    <tableColumn id="17" xr3:uid="{F5A324E9-8B48-4D19-BBE5-1BABB5B23A17}" name="JobSatisfaction" dataDxfId="24"/>
    <tableColumn id="18" xr3:uid="{1DCDC882-2F73-4686-B3A0-34DD25280068}" name="MaritalStatus" dataDxfId="23"/>
    <tableColumn id="19" xr3:uid="{9C84CF70-5E3F-4F74-B884-AEAF2F36EC89}" name="MonthlyIncome" dataDxfId="22"/>
    <tableColumn id="20" xr3:uid="{423F7C78-511E-4A92-BB4A-74A78EBE22C8}" name="MonthlyRate" dataDxfId="21"/>
    <tableColumn id="21" xr3:uid="{63577FE9-5F33-42D3-BAA6-426162A40470}" name="NumCompaniesWorked" dataDxfId="20"/>
    <tableColumn id="22" xr3:uid="{DF39FF56-AC34-4C8F-B4D9-3BB5206D0F2C}" name="Over18" dataDxfId="19"/>
    <tableColumn id="23" xr3:uid="{8A12EA66-2417-459C-BB52-068C9C37059C}" name="OverTime" dataDxfId="18"/>
    <tableColumn id="24" xr3:uid="{E27DBDB0-647A-44A7-A912-AC987E335CA5}" name="PercentSalaryHike" dataDxfId="17"/>
    <tableColumn id="25" xr3:uid="{14B1BFBE-9DF4-4FE6-B6D6-307F7F293090}" name="PerformanceRating" dataDxfId="16"/>
    <tableColumn id="26" xr3:uid="{FE3824AC-E408-4880-82AF-BDD86C44B086}" name="RelationshipSatisfaction" dataDxfId="15"/>
    <tableColumn id="27" xr3:uid="{10668C79-13BF-4B61-B72C-45B4EE7798E0}" name="StandardHours" dataDxfId="14"/>
    <tableColumn id="28" xr3:uid="{779F3A03-93EC-45A4-A362-DCD336A9BA92}" name="StockOptionLevel" dataDxfId="13"/>
    <tableColumn id="29" xr3:uid="{CBBBF6CC-5834-438E-B9A4-179D9BF58A3F}" name="TotalWorkingYears" dataDxfId="12"/>
    <tableColumn id="30" xr3:uid="{23E39650-6046-42F4-A686-05083E420590}" name="TrainingTimesLastYear" dataDxfId="11"/>
    <tableColumn id="31" xr3:uid="{2D0F9A25-F5BC-4BAA-970D-3C736674F030}" name="WorkLifeBalance" dataDxfId="10"/>
    <tableColumn id="32" xr3:uid="{48BF7925-EB52-4BCB-BBC1-0DD1C6D22BF8}" name="YearsAtCompany" dataDxfId="9"/>
    <tableColumn id="33" xr3:uid="{210B849E-A436-4599-92AC-1F3EC845F4C0}" name="YearsInCurrentRole" dataDxfId="8"/>
    <tableColumn id="34" xr3:uid="{1EDB1BBB-8956-4ECD-BC8A-4CDF73212AF6}" name="YearsSinceLastPromotion" dataDxfId="7"/>
    <tableColumn id="35" xr3:uid="{E791E7B9-60EE-4585-BD12-C3B44DE7D372}" name="YearsWithCurrManager" dataDxfId="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6445-B7D0-4960-B7E0-61F46677D9A2}">
  <sheetPr>
    <tabColor theme="5" tint="-0.249977111117893"/>
  </sheetPr>
  <dimension ref="A1:AY1471"/>
  <sheetViews>
    <sheetView topLeftCell="AG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.5703125" customWidth="1"/>
    <col min="2" max="2" width="10.7109375" customWidth="1"/>
    <col min="3" max="3" width="17.42578125" bestFit="1" customWidth="1"/>
    <col min="4" max="4" width="11.5703125" customWidth="1"/>
    <col min="5" max="5" width="23.85546875" bestFit="1" customWidth="1"/>
    <col min="6" max="6" width="20.5703125" customWidth="1"/>
    <col min="7" max="7" width="11.85546875" customWidth="1"/>
    <col min="8" max="8" width="16.85546875" bestFit="1" customWidth="1"/>
    <col min="9" max="9" width="17.28515625" customWidth="1"/>
    <col min="10" max="10" width="19.28515625" customWidth="1"/>
    <col min="11" max="11" width="24.85546875" customWidth="1"/>
    <col min="12" max="12" width="9.85546875" customWidth="1"/>
    <col min="13" max="13" width="13" customWidth="1"/>
    <col min="14" max="14" width="17.42578125" customWidth="1"/>
    <col min="15" max="15" width="10.85546875" customWidth="1"/>
    <col min="16" max="16" width="25" bestFit="1" customWidth="1"/>
    <col min="17" max="17" width="16.42578125" customWidth="1"/>
    <col min="18" max="18" width="15" customWidth="1"/>
    <col min="19" max="19" width="17.28515625" customWidth="1"/>
    <col min="20" max="20" width="14.7109375" customWidth="1"/>
    <col min="21" max="21" width="24.42578125" customWidth="1"/>
    <col min="22" max="22" width="9.42578125" customWidth="1"/>
    <col min="23" max="23" width="13.28515625" customWidth="1"/>
    <col min="24" max="24" width="19.28515625" customWidth="1"/>
    <col min="25" max="25" width="20.140625" customWidth="1"/>
    <col min="26" max="26" width="24.5703125" customWidth="1"/>
    <col min="27" max="27" width="16.140625" customWidth="1"/>
    <col min="28" max="28" width="18.7109375" customWidth="1"/>
    <col min="29" max="29" width="20" customWidth="1"/>
    <col min="30" max="30" width="23" customWidth="1"/>
    <col min="31" max="31" width="18.140625" customWidth="1"/>
    <col min="32" max="32" width="18.28515625" customWidth="1"/>
    <col min="33" max="33" width="20.42578125" customWidth="1"/>
    <col min="34" max="34" width="25.5703125" customWidth="1"/>
    <col min="35" max="35" width="24" customWidth="1"/>
    <col min="37" max="37" width="29" style="4" customWidth="1"/>
    <col min="38" max="38" width="25.28515625" customWidth="1"/>
    <col min="39" max="39" width="25.5703125" customWidth="1"/>
    <col min="40" max="40" width="27.42578125" customWidth="1"/>
    <col min="45" max="45" width="16.85546875" customWidth="1"/>
    <col min="49" max="49" width="21.4257812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K1" s="4" t="s">
        <v>76</v>
      </c>
      <c r="AL1" s="17" t="s">
        <v>81</v>
      </c>
      <c r="AM1" s="17" t="s">
        <v>82</v>
      </c>
      <c r="AN1" s="17" t="s">
        <v>83</v>
      </c>
      <c r="AO1" s="17" t="s">
        <v>84</v>
      </c>
    </row>
    <row r="2" spans="1:51" x14ac:dyDescent="0.25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  <c r="AK2" s="4">
        <f>IF(Table1[[#This Row],[Attrition]]="Yes", 1,0)</f>
        <v>1</v>
      </c>
      <c r="AL2">
        <f>CORREL(Table1[Age],AK2:AK1471)</f>
        <v>-0.15920500686577846</v>
      </c>
      <c r="AM2">
        <f>CORREL(Table1[MonthlyIncome],AK2:AK1471)</f>
        <v>-0.15983958238498774</v>
      </c>
      <c r="AN2">
        <f>CORREL(Table1[YearsAtCompany],AK2:AK1471)</f>
        <v>-0.13439221398997619</v>
      </c>
      <c r="AO2">
        <f>ABS(AK2)</f>
        <v>1</v>
      </c>
      <c r="AS2" s="31" t="s">
        <v>64</v>
      </c>
      <c r="AW2" t="str" cm="1">
        <f t="array" ref="AW2:AY8">_xlfn.PIVOTBY(Table1[Department],Table1[EmployeeCount],Table1[MonthlyIncome],_xleta.AVERAGE,3)</f>
        <v/>
      </c>
      <c r="AX2" t="str">
        <v>1</v>
      </c>
      <c r="AY2" t="str">
        <v/>
      </c>
    </row>
    <row r="3" spans="1:51" x14ac:dyDescent="0.25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  <c r="AK3" s="4">
        <f>IF(Table1[[#This Row],[Attrition]]="Yes", 1,0)</f>
        <v>0</v>
      </c>
      <c r="AL3">
        <f>CORREL(Table1[Age],AK3:AK1472)</f>
        <v>-3.0741973118681803E-2</v>
      </c>
      <c r="AM3">
        <f>CORREL(Table1[MonthlyIncome],AK3:AK1472)</f>
        <v>-1.4991346473022594E-3</v>
      </c>
      <c r="AN3">
        <f>CORREL(Table1[YearsAtCompany],AK3:AK1472)</f>
        <v>-2.544894043606377E-3</v>
      </c>
      <c r="AO3">
        <f t="shared" ref="AO3:AO66" si="0">ABS(AK3)</f>
        <v>0</v>
      </c>
      <c r="AS3" s="31">
        <f>COUNTA(Table1[EmployeeNumber])-1</f>
        <v>1469</v>
      </c>
      <c r="AW3" t="str">
        <v/>
      </c>
      <c r="AX3">
        <v>1</v>
      </c>
      <c r="AY3" t="str">
        <v>Total</v>
      </c>
    </row>
    <row r="4" spans="1:51" x14ac:dyDescent="0.25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  <c r="AK4" s="4">
        <f>IF(Table1[[#This Row],[Attrition]]="Yes", 1,0)</f>
        <v>1</v>
      </c>
      <c r="AL4">
        <f>CORREL(Table1[Age],AK4:AK1473)</f>
        <v>4.4563404284107752E-2</v>
      </c>
      <c r="AM4">
        <f>CORREL(Table1[MonthlyIncome],AK4:AK1473)</f>
        <v>2.823869546338114E-2</v>
      </c>
      <c r="AN4">
        <f>CORREL(Table1[YearsAtCompany],AK4:AK1473)</f>
        <v>4.6276866585160961E-2</v>
      </c>
      <c r="AO4">
        <f t="shared" si="0"/>
        <v>1</v>
      </c>
      <c r="AW4" t="str">
        <v>Sales</v>
      </c>
      <c r="AX4">
        <v>5993</v>
      </c>
      <c r="AY4">
        <v>5993</v>
      </c>
    </row>
    <row r="5" spans="1:51" x14ac:dyDescent="0.25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  <c r="AK5" s="4">
        <f>IF(Table1[[#This Row],[Attrition]]="Yes", 1,0)</f>
        <v>0</v>
      </c>
      <c r="AL5">
        <f>CORREL(Table1[Age],AK5:AK1474)</f>
        <v>1.9288970814047166E-2</v>
      </c>
      <c r="AM5">
        <f>CORREL(Table1[MonthlyIncome],AK5:AK1474)</f>
        <v>2.8564487972407258E-2</v>
      </c>
      <c r="AN5">
        <f>CORREL(Table1[YearsAtCompany],AK5:AK1474)</f>
        <v>2.1452472788450149E-2</v>
      </c>
      <c r="AO5">
        <f t="shared" si="0"/>
        <v>0</v>
      </c>
      <c r="AW5" t="str">
        <v>Human Resources</v>
      </c>
      <c r="AX5">
        <v>6654.5079365079364</v>
      </c>
      <c r="AY5">
        <v>6654.5079365079364</v>
      </c>
    </row>
    <row r="6" spans="1:51" x14ac:dyDescent="0.25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  <c r="AK6" s="4">
        <f>IF(Table1[[#This Row],[Attrition]]="Yes", 1,0)</f>
        <v>0</v>
      </c>
      <c r="AL6">
        <f>CORREL(Table1[Age],AK6:AK1475)</f>
        <v>-3.7222324163438653E-2</v>
      </c>
      <c r="AM6">
        <f>CORREL(Table1[MonthlyIncome],AK6:AK1475)</f>
        <v>-3.7135994017307564E-2</v>
      </c>
      <c r="AN6">
        <f>CORREL(Table1[YearsAtCompany],AK6:AK1475)</f>
        <v>-4.1309717158810107E-2</v>
      </c>
      <c r="AO6">
        <f t="shared" si="0"/>
        <v>0</v>
      </c>
      <c r="AS6" s="31" t="s">
        <v>93</v>
      </c>
      <c r="AW6" t="str">
        <v>Research &amp; Development</v>
      </c>
      <c r="AX6">
        <v>6281.2528616024974</v>
      </c>
      <c r="AY6">
        <v>6281.2528616024974</v>
      </c>
    </row>
    <row r="7" spans="1:51" x14ac:dyDescent="0.25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  <c r="AK7" s="4">
        <f>IF(Table1[[#This Row],[Attrition]]="Yes", 1,0)</f>
        <v>0</v>
      </c>
      <c r="AL7">
        <f>CORREL(Table1[Age],AK7:AK1476)</f>
        <v>-1.1608803353127299E-2</v>
      </c>
      <c r="AM7">
        <f>CORREL(Table1[MonthlyIncome],AK7:AK1476)</f>
        <v>4.3168777933217009E-2</v>
      </c>
      <c r="AN7">
        <f>CORREL(Table1[YearsAtCompany],AK7:AK1476)</f>
        <v>3.1637796467901417E-3</v>
      </c>
      <c r="AO7">
        <f t="shared" si="0"/>
        <v>0</v>
      </c>
      <c r="AS7" s="31" cm="1">
        <f t="array" ref="AS7">SUMPRODUCT((Table1[Department]&lt;&gt;"")/COUNTIF(Table1[Department],Table1[Department]&amp;""))</f>
        <v>3.0000000000000258</v>
      </c>
      <c r="AW7" t="str">
        <v>Sales</v>
      </c>
      <c r="AX7">
        <v>6961.3438202247189</v>
      </c>
      <c r="AY7">
        <v>6961.3438202247189</v>
      </c>
    </row>
    <row r="8" spans="1:51" x14ac:dyDescent="0.25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  <c r="AK8" s="4">
        <f>IF(Table1[[#This Row],[Attrition]]="Yes", 1,0)</f>
        <v>0</v>
      </c>
      <c r="AL8">
        <f>CORREL(Table1[Age],AK8:AK1477)</f>
        <v>3.5479064929063005E-2</v>
      </c>
      <c r="AM8">
        <f>CORREL(Table1[MonthlyIncome],AK8:AK1477)</f>
        <v>4.7782129739822009E-2</v>
      </c>
      <c r="AN8">
        <f>CORREL(Table1[YearsAtCompany],AK8:AK1477)</f>
        <v>7.5668551337352737E-3</v>
      </c>
      <c r="AO8">
        <f t="shared" si="0"/>
        <v>0</v>
      </c>
      <c r="AW8" t="str">
        <v>Total</v>
      </c>
      <c r="AX8">
        <v>6503.2784206943497</v>
      </c>
      <c r="AY8">
        <v>6503.2784206943497</v>
      </c>
    </row>
    <row r="9" spans="1:51" x14ac:dyDescent="0.25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  <c r="AK9" s="4">
        <f>IF(Table1[[#This Row],[Attrition]]="Yes", 1,0)</f>
        <v>0</v>
      </c>
      <c r="AL9">
        <f>CORREL(Table1[Age],AK9:AK1478)</f>
        <v>3.4273950927928794E-2</v>
      </c>
      <c r="AM9">
        <f>CORREL(Table1[MonthlyIncome],AK9:AK1478)</f>
        <v>5.9874954037471131E-2</v>
      </c>
      <c r="AN9">
        <f>CORREL(Table1[YearsAtCompany],AK9:AK1478)</f>
        <v>2.2048528513754152E-3</v>
      </c>
      <c r="AO9">
        <f t="shared" si="0"/>
        <v>0</v>
      </c>
    </row>
    <row r="10" spans="1:51" x14ac:dyDescent="0.25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  <c r="AJ10" t="s">
        <v>62</v>
      </c>
      <c r="AK10" s="4">
        <f>IF(Table1[[#This Row],[Attrition]]="Yes", 1,0)</f>
        <v>0</v>
      </c>
      <c r="AL10">
        <f>CORREL(Table1[Age],AK10:AK1479)</f>
        <v>-3.614048770160571E-2</v>
      </c>
      <c r="AM10">
        <f>CORREL(Table1[MonthlyIncome],AK10:AK1479)</f>
        <v>-5.6491476615306062E-2</v>
      </c>
      <c r="AN10">
        <f>CORREL(Table1[YearsAtCompany],AK10:AK1479)</f>
        <v>-2.9663473763568062E-2</v>
      </c>
      <c r="AO10">
        <f t="shared" si="0"/>
        <v>0</v>
      </c>
      <c r="AS10" s="31" t="s">
        <v>94</v>
      </c>
    </row>
    <row r="11" spans="1:51" x14ac:dyDescent="0.25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  <c r="AK11" s="4">
        <f>IF(Table1[[#This Row],[Attrition]]="Yes", 1,0)</f>
        <v>0</v>
      </c>
      <c r="AL11">
        <f>CORREL(Table1[Age],AK11:AK1480)</f>
        <v>2.970243477723819E-2</v>
      </c>
      <c r="AM11">
        <f>CORREL(Table1[MonthlyIncome],AK11:AK1480)</f>
        <v>-2.3376654565621543E-2</v>
      </c>
      <c r="AN11">
        <f>CORREL(Table1[YearsAtCompany],AK11:AK1480)</f>
        <v>-2.5611349148414116E-2</v>
      </c>
      <c r="AO11">
        <f t="shared" si="0"/>
        <v>0</v>
      </c>
      <c r="AS11" s="31">
        <f>COUNTIF(Table1[Gender],"Female")</f>
        <v>588</v>
      </c>
    </row>
    <row r="12" spans="1:51" x14ac:dyDescent="0.25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  <c r="AK12" s="4">
        <f>IF(Table1[[#This Row],[Attrition]]="Yes", 1,0)</f>
        <v>0</v>
      </c>
      <c r="AL12">
        <f>CORREL(Table1[Age],AK12:AK1481)</f>
        <v>1.2321331552984427E-2</v>
      </c>
      <c r="AM12">
        <f>CORREL(Table1[MonthlyIncome],AK12:AK1481)</f>
        <v>3.8028324327665838E-3</v>
      </c>
      <c r="AN12">
        <f>CORREL(Table1[YearsAtCompany],AK12:AK1481)</f>
        <v>-1.355643790862578E-2</v>
      </c>
      <c r="AO12">
        <f t="shared" si="0"/>
        <v>0</v>
      </c>
    </row>
    <row r="13" spans="1:51" x14ac:dyDescent="0.25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  <c r="AK13" s="4">
        <f>IF(Table1[[#This Row],[Attrition]]="Yes", 1,0)</f>
        <v>0</v>
      </c>
      <c r="AL13">
        <f>CORREL(Table1[Age],AK13:AK1482)</f>
        <v>7.9847214295051799E-3</v>
      </c>
      <c r="AM13">
        <f>CORREL(Table1[MonthlyIncome],AK13:AK1482)</f>
        <v>-3.9503981423969388E-3</v>
      </c>
      <c r="AN13">
        <f>CORREL(Table1[YearsAtCompany],AK13:AK1482)</f>
        <v>8.8326752174176825E-4</v>
      </c>
      <c r="AO13">
        <f t="shared" si="0"/>
        <v>0</v>
      </c>
      <c r="AS13" s="31" t="s">
        <v>95</v>
      </c>
    </row>
    <row r="14" spans="1:51" x14ac:dyDescent="0.25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  <c r="AK14" s="4">
        <f>IF(Table1[[#This Row],[Attrition]]="Yes", 1,0)</f>
        <v>0</v>
      </c>
      <c r="AL14">
        <f>CORREL(Table1[Age],AK14:AK1483)</f>
        <v>1.2614136684730541E-2</v>
      </c>
      <c r="AM14">
        <f>CORREL(Table1[MonthlyIncome],AK14:AK1483)</f>
        <v>-3.5805422487756484E-2</v>
      </c>
      <c r="AN14">
        <f>CORREL(Table1[YearsAtCompany],AK14:AK1483)</f>
        <v>-3.823736282244479E-3</v>
      </c>
      <c r="AO14">
        <f t="shared" si="0"/>
        <v>0</v>
      </c>
      <c r="AS14" s="31">
        <f>COUNTIF(Table1[Gender],"Male")</f>
        <v>882</v>
      </c>
    </row>
    <row r="15" spans="1:51" x14ac:dyDescent="0.25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  <c r="AK15" s="4">
        <f>IF(Table1[[#This Row],[Attrition]]="Yes", 1,0)</f>
        <v>0</v>
      </c>
      <c r="AL15">
        <f>CORREL(Table1[Age],AK15:AK1484)</f>
        <v>2.1898031247696643E-2</v>
      </c>
      <c r="AM15">
        <f>CORREL(Table1[MonthlyIncome],AK15:AK1484)</f>
        <v>1.770666094723522E-2</v>
      </c>
      <c r="AN15">
        <f>CORREL(Table1[YearsAtCompany],AK15:AK1484)</f>
        <v>2.6478467235099581E-2</v>
      </c>
      <c r="AO15">
        <f t="shared" si="0"/>
        <v>0</v>
      </c>
    </row>
    <row r="16" spans="1:51" x14ac:dyDescent="0.25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  <c r="AK16" s="4">
        <f>IF(Table1[[#This Row],[Attrition]]="Yes", 1,0)</f>
        <v>1</v>
      </c>
      <c r="AL16">
        <f>CORREL(Table1[Age],AK16:AK1485)</f>
        <v>1.0408957082918212E-2</v>
      </c>
      <c r="AM16">
        <f>CORREL(Table1[MonthlyIncome],AK16:AK1485)</f>
        <v>2.6117542728851997E-2</v>
      </c>
      <c r="AN16">
        <f>CORREL(Table1[YearsAtCompany],AK16:AK1485)</f>
        <v>1.6899170532715845E-2</v>
      </c>
      <c r="AO16">
        <f t="shared" si="0"/>
        <v>1</v>
      </c>
    </row>
    <row r="17" spans="1:41" x14ac:dyDescent="0.25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  <c r="AK17" s="4">
        <f>IF(Table1[[#This Row],[Attrition]]="Yes", 1,0)</f>
        <v>0</v>
      </c>
      <c r="AL17">
        <f>CORREL(Table1[Age],AK17:AK1486)</f>
        <v>-1.1358253465068821E-2</v>
      </c>
      <c r="AM17">
        <f>CORREL(Table1[MonthlyIncome],AK17:AK1486)</f>
        <v>-9.2870378225043612E-3</v>
      </c>
      <c r="AN17">
        <f>CORREL(Table1[YearsAtCompany],AK17:AK1486)</f>
        <v>-7.9874036445475166E-3</v>
      </c>
      <c r="AO17">
        <f t="shared" si="0"/>
        <v>0</v>
      </c>
    </row>
    <row r="18" spans="1:41" x14ac:dyDescent="0.25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  <c r="AK18" s="4">
        <f>IF(Table1[[#This Row],[Attrition]]="Yes", 1,0)</f>
        <v>0</v>
      </c>
      <c r="AL18">
        <f>CORREL(Table1[Age],AK18:AK1487)</f>
        <v>-4.3202653071333467E-2</v>
      </c>
      <c r="AM18">
        <f>CORREL(Table1[MonthlyIncome],AK18:AK1487)</f>
        <v>2.6303525014390794E-3</v>
      </c>
      <c r="AN18">
        <f>CORREL(Table1[YearsAtCompany],AK18:AK1487)</f>
        <v>7.4528415286597705E-3</v>
      </c>
      <c r="AO18">
        <f t="shared" si="0"/>
        <v>0</v>
      </c>
    </row>
    <row r="19" spans="1:41" x14ac:dyDescent="0.25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  <c r="AK19" s="4">
        <f>IF(Table1[[#This Row],[Attrition]]="Yes", 1,0)</f>
        <v>0</v>
      </c>
      <c r="AL19">
        <f>CORREL(Table1[Age],AK19:AK1488)</f>
        <v>2.1653165972714827E-3</v>
      </c>
      <c r="AM19">
        <f>CORREL(Table1[MonthlyIncome],AK19:AK1488)</f>
        <v>5.7628381869461081E-3</v>
      </c>
      <c r="AN19">
        <f>CORREL(Table1[YearsAtCompany],AK19:AK1488)</f>
        <v>-2.6523470198420392E-3</v>
      </c>
      <c r="AO19">
        <f t="shared" si="0"/>
        <v>0</v>
      </c>
    </row>
    <row r="20" spans="1:41" x14ac:dyDescent="0.25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  <c r="AK20" s="4">
        <f>IF(Table1[[#This Row],[Attrition]]="Yes", 1,0)</f>
        <v>0</v>
      </c>
      <c r="AL20">
        <f>CORREL(Table1[Age],AK20:AK1489)</f>
        <v>3.1865737495126646E-2</v>
      </c>
      <c r="AM20">
        <f>CORREL(Table1[MonthlyIncome],AK20:AK1489)</f>
        <v>-5.0865697211264294E-3</v>
      </c>
      <c r="AN20">
        <f>CORREL(Table1[YearsAtCompany],AK20:AK1489)</f>
        <v>-5.1404231623439229E-3</v>
      </c>
      <c r="AO20">
        <f t="shared" si="0"/>
        <v>0</v>
      </c>
    </row>
    <row r="21" spans="1:41" x14ac:dyDescent="0.25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  <c r="AK21" s="4">
        <f>IF(Table1[[#This Row],[Attrition]]="Yes", 1,0)</f>
        <v>0</v>
      </c>
      <c r="AL21">
        <f>CORREL(Table1[Age],AK21:AK1490)</f>
        <v>-7.1908574042540132E-3</v>
      </c>
      <c r="AM21">
        <f>CORREL(Table1[MonthlyIncome],AK21:AK1490)</f>
        <v>-2.999370885516512E-2</v>
      </c>
      <c r="AN21">
        <f>CORREL(Table1[YearsAtCompany],AK21:AK1490)</f>
        <v>-1.3833535507589572E-2</v>
      </c>
      <c r="AO21">
        <f t="shared" si="0"/>
        <v>0</v>
      </c>
    </row>
    <row r="22" spans="1:41" x14ac:dyDescent="0.25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  <c r="AK22" s="4">
        <f>IF(Table1[[#This Row],[Attrition]]="Yes", 1,0)</f>
        <v>0</v>
      </c>
      <c r="AL22">
        <f>CORREL(Table1[Age],AK22:AK1491)</f>
        <v>2.8977041064328253E-2</v>
      </c>
      <c r="AM22">
        <f>CORREL(Table1[MonthlyIncome],AK22:AK1491)</f>
        <v>1.3812776800552133E-3</v>
      </c>
      <c r="AN22">
        <f>CORREL(Table1[YearsAtCompany],AK22:AK1491)</f>
        <v>-2.5625427619300253E-2</v>
      </c>
      <c r="AO22">
        <f t="shared" si="0"/>
        <v>0</v>
      </c>
    </row>
    <row r="23" spans="1:41" x14ac:dyDescent="0.25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  <c r="AK23" s="4">
        <f>IF(Table1[[#This Row],[Attrition]]="Yes", 1,0)</f>
        <v>1</v>
      </c>
      <c r="AL23">
        <f>CORREL(Table1[Age],AK23:AK1492)</f>
        <v>5.0700259427610772E-3</v>
      </c>
      <c r="AM23">
        <f>CORREL(Table1[MonthlyIncome],AK23:AK1492)</f>
        <v>1.1653171509833759E-5</v>
      </c>
      <c r="AN23">
        <f>CORREL(Table1[YearsAtCompany],AK23:AK1492)</f>
        <v>-4.6813618330791014E-2</v>
      </c>
      <c r="AO23">
        <f t="shared" si="0"/>
        <v>1</v>
      </c>
    </row>
    <row r="24" spans="1:41" x14ac:dyDescent="0.25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  <c r="AK24" s="4">
        <f>IF(Table1[[#This Row],[Attrition]]="Yes", 1,0)</f>
        <v>0</v>
      </c>
      <c r="AL24">
        <f>CORREL(Table1[Age],AK24:AK1493)</f>
        <v>-3.7875918709637732E-2</v>
      </c>
      <c r="AM24">
        <f>CORREL(Table1[MonthlyIncome],AK24:AK1493)</f>
        <v>2.2370975493324056E-2</v>
      </c>
      <c r="AN24">
        <f>CORREL(Table1[YearsAtCompany],AK24:AK1493)</f>
        <v>-2.3170437075958724E-2</v>
      </c>
      <c r="AO24">
        <f t="shared" si="0"/>
        <v>0</v>
      </c>
    </row>
    <row r="25" spans="1:41" x14ac:dyDescent="0.25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  <c r="AK25" s="4">
        <f>IF(Table1[[#This Row],[Attrition]]="Yes", 1,0)</f>
        <v>0</v>
      </c>
      <c r="AL25">
        <f>CORREL(Table1[Age],AK25:AK1494)</f>
        <v>-7.7548335530978159E-3</v>
      </c>
      <c r="AM25">
        <f>CORREL(Table1[MonthlyIncome],AK25:AK1494)</f>
        <v>-3.1878489541929166E-3</v>
      </c>
      <c r="AN25">
        <f>CORREL(Table1[YearsAtCompany],AK25:AK1494)</f>
        <v>1.6633348935540158E-2</v>
      </c>
      <c r="AO25">
        <f t="shared" si="0"/>
        <v>0</v>
      </c>
    </row>
    <row r="26" spans="1:41" x14ac:dyDescent="0.25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  <c r="AK26" s="4">
        <f>IF(Table1[[#This Row],[Attrition]]="Yes", 1,0)</f>
        <v>1</v>
      </c>
      <c r="AL26">
        <f>CORREL(Table1[Age],AK26:AK1495)</f>
        <v>2.6818334179746564E-2</v>
      </c>
      <c r="AM26">
        <f>CORREL(Table1[MonthlyIncome],AK26:AK1495)</f>
        <v>5.1431079433000917E-2</v>
      </c>
      <c r="AN26">
        <f>CORREL(Table1[YearsAtCompany],AK26:AK1495)</f>
        <v>7.9341623521141214E-2</v>
      </c>
      <c r="AO26">
        <f t="shared" si="0"/>
        <v>1</v>
      </c>
    </row>
    <row r="27" spans="1:41" x14ac:dyDescent="0.25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  <c r="AK27" s="4">
        <f>IF(Table1[[#This Row],[Attrition]]="Yes", 1,0)</f>
        <v>0</v>
      </c>
      <c r="AL27">
        <f>CORREL(Table1[Age],AK27:AK1496)</f>
        <v>-4.2539501969096373E-3</v>
      </c>
      <c r="AM27">
        <f>CORREL(Table1[MonthlyIncome],AK27:AK1496)</f>
        <v>-1.7116463083667162E-2</v>
      </c>
      <c r="AN27">
        <f>CORREL(Table1[YearsAtCompany],AK27:AK1496)</f>
        <v>-8.0720396072050879E-3</v>
      </c>
      <c r="AO27">
        <f t="shared" si="0"/>
        <v>0</v>
      </c>
    </row>
    <row r="28" spans="1:41" x14ac:dyDescent="0.25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  <c r="AK28" s="4">
        <f>IF(Table1[[#This Row],[Attrition]]="Yes", 1,0)</f>
        <v>1</v>
      </c>
      <c r="AL28">
        <f>CORREL(Table1[Age],AK28:AK1497)</f>
        <v>1.5309339472438142E-2</v>
      </c>
      <c r="AM28">
        <f>CORREL(Table1[MonthlyIncome],AK28:AK1497)</f>
        <v>5.2773925098608043E-3</v>
      </c>
      <c r="AN28">
        <f>CORREL(Table1[YearsAtCompany],AK28:AK1497)</f>
        <v>5.8769806028075005E-3</v>
      </c>
      <c r="AO28">
        <f t="shared" si="0"/>
        <v>1</v>
      </c>
    </row>
    <row r="29" spans="1:41" x14ac:dyDescent="0.25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  <c r="AK29" s="4">
        <f>IF(Table1[[#This Row],[Attrition]]="Yes", 1,0)</f>
        <v>0</v>
      </c>
      <c r="AL29">
        <f>CORREL(Table1[Age],AK29:AK1498)</f>
        <v>-2.0436707340180352E-3</v>
      </c>
      <c r="AM29">
        <f>CORREL(Table1[MonthlyIncome],AK29:AK1498)</f>
        <v>4.0613565753931213E-2</v>
      </c>
      <c r="AN29">
        <f>CORREL(Table1[YearsAtCompany],AK29:AK1498)</f>
        <v>2.4190101550166109E-2</v>
      </c>
      <c r="AO29">
        <f t="shared" si="0"/>
        <v>0</v>
      </c>
    </row>
    <row r="30" spans="1:41" x14ac:dyDescent="0.25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  <c r="AK30" s="4">
        <f>IF(Table1[[#This Row],[Attrition]]="Yes", 1,0)</f>
        <v>0</v>
      </c>
      <c r="AL30">
        <f>CORREL(Table1[Age],AK30:AK1499)</f>
        <v>3.565742104172584E-2</v>
      </c>
      <c r="AM30">
        <f>CORREL(Table1[MonthlyIncome],AK30:AK1499)</f>
        <v>2.9938261990246344E-2</v>
      </c>
      <c r="AN30">
        <f>CORREL(Table1[YearsAtCompany],AK30:AK1499)</f>
        <v>7.318845027726912E-3</v>
      </c>
      <c r="AO30">
        <f t="shared" si="0"/>
        <v>0</v>
      </c>
    </row>
    <row r="31" spans="1:41" x14ac:dyDescent="0.25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  <c r="AK31" s="4">
        <f>IF(Table1[[#This Row],[Attrition]]="Yes", 1,0)</f>
        <v>0</v>
      </c>
      <c r="AL31">
        <f>CORREL(Table1[Age],AK31:AK1500)</f>
        <v>1.0928562234465627E-2</v>
      </c>
      <c r="AM31">
        <f>CORREL(Table1[MonthlyIncome],AK31:AK1500)</f>
        <v>-7.6032669237917619E-3</v>
      </c>
      <c r="AN31">
        <f>CORREL(Table1[YearsAtCompany],AK31:AK1500)</f>
        <v>1.9327344813668112E-2</v>
      </c>
      <c r="AO31">
        <f t="shared" si="0"/>
        <v>0</v>
      </c>
    </row>
    <row r="32" spans="1:41" x14ac:dyDescent="0.25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  <c r="AK32" s="4">
        <f>IF(Table1[[#This Row],[Attrition]]="Yes", 1,0)</f>
        <v>0</v>
      </c>
      <c r="AL32">
        <f>CORREL(Table1[Age],AK32:AK1501)</f>
        <v>2.5572468062765103E-2</v>
      </c>
      <c r="AM32">
        <f>CORREL(Table1[MonthlyIncome],AK32:AK1501)</f>
        <v>2.8053665447727527E-2</v>
      </c>
      <c r="AN32">
        <f>CORREL(Table1[YearsAtCompany],AK32:AK1501)</f>
        <v>-1.2559337959875527E-2</v>
      </c>
      <c r="AO32">
        <f t="shared" si="0"/>
        <v>0</v>
      </c>
    </row>
    <row r="33" spans="1:41" x14ac:dyDescent="0.25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  <c r="AK33" s="4">
        <f>IF(Table1[[#This Row],[Attrition]]="Yes", 1,0)</f>
        <v>0</v>
      </c>
      <c r="AL33">
        <f>CORREL(Table1[Age],AK33:AK1502)</f>
        <v>-3.0670989148944301E-2</v>
      </c>
      <c r="AM33">
        <f>CORREL(Table1[MonthlyIncome],AK33:AK1502)</f>
        <v>8.7664201437227512E-3</v>
      </c>
      <c r="AN33">
        <f>CORREL(Table1[YearsAtCompany],AK33:AK1502)</f>
        <v>9.1131452848452719E-3</v>
      </c>
      <c r="AO33">
        <f t="shared" si="0"/>
        <v>0</v>
      </c>
    </row>
    <row r="34" spans="1:41" x14ac:dyDescent="0.25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  <c r="AK34" s="4">
        <f>IF(Table1[[#This Row],[Attrition]]="Yes", 1,0)</f>
        <v>0</v>
      </c>
      <c r="AL34">
        <f>CORREL(Table1[Age],AK34:AK1503)</f>
        <v>5.8674303970247558E-3</v>
      </c>
      <c r="AM34">
        <f>CORREL(Table1[MonthlyIncome],AK34:AK1503)</f>
        <v>-2.6010688683817326E-2</v>
      </c>
      <c r="AN34">
        <f>CORREL(Table1[YearsAtCompany],AK34:AK1503)</f>
        <v>2.9786406247856497E-2</v>
      </c>
      <c r="AO34">
        <f t="shared" si="0"/>
        <v>0</v>
      </c>
    </row>
    <row r="35" spans="1:41" x14ac:dyDescent="0.25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  <c r="AK35" s="4">
        <f>IF(Table1[[#This Row],[Attrition]]="Yes", 1,0)</f>
        <v>1</v>
      </c>
      <c r="AL35">
        <f>CORREL(Table1[Age],AK35:AK1504)</f>
        <v>8.2130994824215851E-3</v>
      </c>
      <c r="AM35">
        <f>CORREL(Table1[MonthlyIncome],AK35:AK1504)</f>
        <v>-4.1805627678416564E-2</v>
      </c>
      <c r="AN35">
        <f>CORREL(Table1[YearsAtCompany],AK35:AK1504)</f>
        <v>-4.3956405588095715E-2</v>
      </c>
      <c r="AO35">
        <f t="shared" si="0"/>
        <v>1</v>
      </c>
    </row>
    <row r="36" spans="1:41" x14ac:dyDescent="0.25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  <c r="AK36" s="4">
        <f>IF(Table1[[#This Row],[Attrition]]="Yes", 1,0)</f>
        <v>1</v>
      </c>
      <c r="AL36">
        <f>CORREL(Table1[Age],AK36:AK1505)</f>
        <v>4.1298270153495902E-2</v>
      </c>
      <c r="AM36">
        <f>CORREL(Table1[MonthlyIncome],AK36:AK1505)</f>
        <v>2.2932845935760855E-2</v>
      </c>
      <c r="AN36">
        <f>CORREL(Table1[YearsAtCompany],AK36:AK1505)</f>
        <v>4.5237314553639605E-3</v>
      </c>
      <c r="AO36">
        <f t="shared" si="0"/>
        <v>1</v>
      </c>
    </row>
    <row r="37" spans="1:41" x14ac:dyDescent="0.25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  <c r="AK37" s="4">
        <f>IF(Table1[[#This Row],[Attrition]]="Yes", 1,0)</f>
        <v>0</v>
      </c>
      <c r="AL37">
        <f>CORREL(Table1[Age],AK37:AK1506)</f>
        <v>-3.3240094871880045E-2</v>
      </c>
      <c r="AM37">
        <f>CORREL(Table1[MonthlyIncome],AK37:AK1506)</f>
        <v>-3.6917919416018692E-2</v>
      </c>
      <c r="AN37">
        <f>CORREL(Table1[YearsAtCompany],AK37:AK1506)</f>
        <v>-6.3413608985702891E-2</v>
      </c>
      <c r="AO37">
        <f t="shared" si="0"/>
        <v>0</v>
      </c>
    </row>
    <row r="38" spans="1:41" x14ac:dyDescent="0.25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  <c r="AK38" s="4">
        <f>IF(Table1[[#This Row],[Attrition]]="Yes", 1,0)</f>
        <v>1</v>
      </c>
      <c r="AL38">
        <f>CORREL(Table1[Age],AK38:AK1507)</f>
        <v>-4.470689506439968E-3</v>
      </c>
      <c r="AM38">
        <f>CORREL(Table1[MonthlyIncome],AK38:AK1507)</f>
        <v>-1.2076272808270647E-2</v>
      </c>
      <c r="AN38">
        <f>CORREL(Table1[YearsAtCompany],AK38:AK1507)</f>
        <v>5.4116558911009209E-3</v>
      </c>
      <c r="AO38">
        <f t="shared" si="0"/>
        <v>1</v>
      </c>
    </row>
    <row r="39" spans="1:41" x14ac:dyDescent="0.25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  <c r="AK39" s="4">
        <f>IF(Table1[[#This Row],[Attrition]]="Yes", 1,0)</f>
        <v>0</v>
      </c>
      <c r="AL39">
        <f>CORREL(Table1[Age],AK39:AK1508)</f>
        <v>3.1400584085200869E-2</v>
      </c>
      <c r="AM39">
        <f>CORREL(Table1[MonthlyIncome],AK39:AK1508)</f>
        <v>9.9435652326897907E-3</v>
      </c>
      <c r="AN39">
        <f>CORREL(Table1[YearsAtCompany],AK39:AK1508)</f>
        <v>-4.2932934276352381E-3</v>
      </c>
      <c r="AO39">
        <f t="shared" si="0"/>
        <v>0</v>
      </c>
    </row>
    <row r="40" spans="1:41" x14ac:dyDescent="0.25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  <c r="AK40" s="4">
        <f>IF(Table1[[#This Row],[Attrition]]="Yes", 1,0)</f>
        <v>0</v>
      </c>
      <c r="AL40">
        <f>CORREL(Table1[Age],AK40:AK1509)</f>
        <v>1.6176301903260339E-2</v>
      </c>
      <c r="AM40">
        <f>CORREL(Table1[MonthlyIncome],AK40:AK1509)</f>
        <v>-3.9605405823697057E-3</v>
      </c>
      <c r="AN40">
        <f>CORREL(Table1[YearsAtCompany],AK40:AK1509)</f>
        <v>-1.6788135208524126E-3</v>
      </c>
      <c r="AO40">
        <f t="shared" si="0"/>
        <v>0</v>
      </c>
    </row>
    <row r="41" spans="1:41" x14ac:dyDescent="0.25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  <c r="AK41" s="4">
        <f>IF(Table1[[#This Row],[Attrition]]="Yes", 1,0)</f>
        <v>0</v>
      </c>
      <c r="AL41">
        <f>CORREL(Table1[Age],AK41:AK1510)</f>
        <v>4.7314172271730841E-2</v>
      </c>
      <c r="AM41">
        <f>CORREL(Table1[MonthlyIncome],AK41:AK1510)</f>
        <v>2.739818032346944E-2</v>
      </c>
      <c r="AN41">
        <f>CORREL(Table1[YearsAtCompany],AK41:AK1510)</f>
        <v>1.7924480121956649E-2</v>
      </c>
      <c r="AO41">
        <f t="shared" si="0"/>
        <v>0</v>
      </c>
    </row>
    <row r="42" spans="1:41" x14ac:dyDescent="0.25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  <c r="AK42" s="4">
        <f>IF(Table1[[#This Row],[Attrition]]="Yes", 1,0)</f>
        <v>0</v>
      </c>
      <c r="AL42">
        <f>CORREL(Table1[Age],AK42:AK1511)</f>
        <v>-3.3533262709943314E-3</v>
      </c>
      <c r="AM42">
        <f>CORREL(Table1[MonthlyIncome],AK42:AK1511)</f>
        <v>-4.8740802238170823E-3</v>
      </c>
      <c r="AN42">
        <f>CORREL(Table1[YearsAtCompany],AK42:AK1511)</f>
        <v>1.0773147615593763E-3</v>
      </c>
      <c r="AO42">
        <f t="shared" si="0"/>
        <v>0</v>
      </c>
    </row>
    <row r="43" spans="1:41" x14ac:dyDescent="0.25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  <c r="AK43" s="4">
        <f>IF(Table1[[#This Row],[Attrition]]="Yes", 1,0)</f>
        <v>0</v>
      </c>
      <c r="AL43">
        <f>CORREL(Table1[Age],AK43:AK1512)</f>
        <v>1.8836876827172541E-2</v>
      </c>
      <c r="AM43">
        <f>CORREL(Table1[MonthlyIncome],AK43:AK1512)</f>
        <v>-2.5926172008311765E-2</v>
      </c>
      <c r="AN43">
        <f>CORREL(Table1[YearsAtCompany],AK43:AK1512)</f>
        <v>-3.8106837695413141E-2</v>
      </c>
      <c r="AO43">
        <f t="shared" si="0"/>
        <v>0</v>
      </c>
    </row>
    <row r="44" spans="1:41" x14ac:dyDescent="0.25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  <c r="AK44" s="4">
        <f>IF(Table1[[#This Row],[Attrition]]="Yes", 1,0)</f>
        <v>1</v>
      </c>
      <c r="AL44">
        <f>CORREL(Table1[Age],AK44:AK1513)</f>
        <v>2.8068913906857812E-2</v>
      </c>
      <c r="AM44">
        <f>CORREL(Table1[MonthlyIncome],AK44:AK1513)</f>
        <v>1.8484822093375944E-2</v>
      </c>
      <c r="AN44">
        <f>CORREL(Table1[YearsAtCompany],AK44:AK1513)</f>
        <v>3.0089060097951139E-3</v>
      </c>
      <c r="AO44">
        <f t="shared" si="0"/>
        <v>1</v>
      </c>
    </row>
    <row r="45" spans="1:41" x14ac:dyDescent="0.25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  <c r="AK45" s="4">
        <f>IF(Table1[[#This Row],[Attrition]]="Yes", 1,0)</f>
        <v>0</v>
      </c>
      <c r="AL45">
        <f>CORREL(Table1[Age],AK45:AK1514)</f>
        <v>-6.9242141034787263E-2</v>
      </c>
      <c r="AM45">
        <f>CORREL(Table1[MonthlyIncome],AK45:AK1514)</f>
        <v>5.5136254150973205E-3</v>
      </c>
      <c r="AN45">
        <f>CORREL(Table1[YearsAtCompany],AK45:AK1514)</f>
        <v>-3.1268667768624213E-2</v>
      </c>
      <c r="AO45">
        <f t="shared" si="0"/>
        <v>0</v>
      </c>
    </row>
    <row r="46" spans="1:41" x14ac:dyDescent="0.25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  <c r="AK46" s="4">
        <f>IF(Table1[[#This Row],[Attrition]]="Yes", 1,0)</f>
        <v>0</v>
      </c>
      <c r="AL46">
        <f>CORREL(Table1[Age],AK46:AK1515)</f>
        <v>-8.5538451825805176E-3</v>
      </c>
      <c r="AM46">
        <f>CORREL(Table1[MonthlyIncome],AK46:AK1515)</f>
        <v>-4.4404299440710818E-3</v>
      </c>
      <c r="AN46">
        <f>CORREL(Table1[YearsAtCompany],AK46:AK1515)</f>
        <v>1.3577436684719448E-2</v>
      </c>
      <c r="AO46">
        <f t="shared" si="0"/>
        <v>0</v>
      </c>
    </row>
    <row r="47" spans="1:41" x14ac:dyDescent="0.25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  <c r="AK47" s="4">
        <f>IF(Table1[[#This Row],[Attrition]]="Yes", 1,0)</f>
        <v>1</v>
      </c>
      <c r="AL47">
        <f>CORREL(Table1[Age],AK47:AK1516)</f>
        <v>1.8717128989955732E-2</v>
      </c>
      <c r="AM47">
        <f>CORREL(Table1[MonthlyIncome],AK47:AK1516)</f>
        <v>-2.5238640195156554E-2</v>
      </c>
      <c r="AN47">
        <f>CORREL(Table1[YearsAtCompany],AK47:AK1516)</f>
        <v>9.3132619694491318E-3</v>
      </c>
      <c r="AO47">
        <f t="shared" si="0"/>
        <v>1</v>
      </c>
    </row>
    <row r="48" spans="1:41" x14ac:dyDescent="0.25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  <c r="AK48" s="4">
        <f>IF(Table1[[#This Row],[Attrition]]="Yes", 1,0)</f>
        <v>0</v>
      </c>
      <c r="AL48">
        <f>CORREL(Table1[Age],AK48:AK1517)</f>
        <v>4.1514659952450655E-2</v>
      </c>
      <c r="AM48">
        <f>CORREL(Table1[MonthlyIncome],AK48:AK1517)</f>
        <v>4.2898472007250464E-2</v>
      </c>
      <c r="AN48">
        <f>CORREL(Table1[YearsAtCompany],AK48:AK1517)</f>
        <v>3.1346636278575583E-2</v>
      </c>
      <c r="AO48">
        <f t="shared" si="0"/>
        <v>0</v>
      </c>
    </row>
    <row r="49" spans="1:41" x14ac:dyDescent="0.25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  <c r="AK49" s="4">
        <f>IF(Table1[[#This Row],[Attrition]]="Yes", 1,0)</f>
        <v>0</v>
      </c>
      <c r="AL49">
        <f>CORREL(Table1[Age],AK49:AK1518)</f>
        <v>1.0011403257043314E-2</v>
      </c>
      <c r="AM49">
        <f>CORREL(Table1[MonthlyIncome],AK49:AK1518)</f>
        <v>4.182492564673479E-2</v>
      </c>
      <c r="AN49">
        <f>CORREL(Table1[YearsAtCompany],AK49:AK1518)</f>
        <v>-5.7186476261501147E-3</v>
      </c>
      <c r="AO49">
        <f t="shared" si="0"/>
        <v>0</v>
      </c>
    </row>
    <row r="50" spans="1:41" x14ac:dyDescent="0.25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  <c r="AK50" s="4">
        <f>IF(Table1[[#This Row],[Attrition]]="Yes", 1,0)</f>
        <v>0</v>
      </c>
      <c r="AL50">
        <f>CORREL(Table1[Age],AK50:AK1519)</f>
        <v>3.0717877601278355E-2</v>
      </c>
      <c r="AM50">
        <f>CORREL(Table1[MonthlyIncome],AK50:AK1519)</f>
        <v>4.9194234767305549E-2</v>
      </c>
      <c r="AN50">
        <f>CORREL(Table1[YearsAtCompany],AK50:AK1519)</f>
        <v>3.6230983127171733E-2</v>
      </c>
      <c r="AO50">
        <f t="shared" si="0"/>
        <v>0</v>
      </c>
    </row>
    <row r="51" spans="1:41" x14ac:dyDescent="0.25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  <c r="AK51" s="4">
        <f>IF(Table1[[#This Row],[Attrition]]="Yes", 1,0)</f>
        <v>0</v>
      </c>
      <c r="AL51">
        <f>CORREL(Table1[Age],AK51:AK1520)</f>
        <v>-3.9844305124772427E-3</v>
      </c>
      <c r="AM51">
        <f>CORREL(Table1[MonthlyIncome],AK51:AK1520)</f>
        <v>1.08949161702922E-2</v>
      </c>
      <c r="AN51">
        <f>CORREL(Table1[YearsAtCompany],AK51:AK1520)</f>
        <v>-1.0049693989730291E-2</v>
      </c>
      <c r="AO51">
        <f t="shared" si="0"/>
        <v>0</v>
      </c>
    </row>
    <row r="52" spans="1:41" x14ac:dyDescent="0.25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  <c r="AK52" s="4">
        <f>IF(Table1[[#This Row],[Attrition]]="Yes", 1,0)</f>
        <v>1</v>
      </c>
      <c r="AL52">
        <f>CORREL(Table1[Age],AK52:AK1521)</f>
        <v>1.1056205115246007E-2</v>
      </c>
      <c r="AM52">
        <f>CORREL(Table1[MonthlyIncome],AK52:AK1521)</f>
        <v>-5.6057343593787163E-3</v>
      </c>
      <c r="AN52">
        <f>CORREL(Table1[YearsAtCompany],AK52:AK1521)</f>
        <v>-1.6717280339749594E-2</v>
      </c>
      <c r="AO52">
        <f t="shared" si="0"/>
        <v>1</v>
      </c>
    </row>
    <row r="53" spans="1:41" x14ac:dyDescent="0.25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  <c r="AK53" s="4">
        <f>IF(Table1[[#This Row],[Attrition]]="Yes", 1,0)</f>
        <v>1</v>
      </c>
      <c r="AL53">
        <f>CORREL(Table1[Age],AK53:AK1522)</f>
        <v>2.4061981454600496E-2</v>
      </c>
      <c r="AM53">
        <f>CORREL(Table1[MonthlyIncome],AK53:AK1522)</f>
        <v>2.3528506086833691E-2</v>
      </c>
      <c r="AN53">
        <f>CORREL(Table1[YearsAtCompany],AK53:AK1522)</f>
        <v>3.1667975495765333E-2</v>
      </c>
      <c r="AO53">
        <f t="shared" si="0"/>
        <v>1</v>
      </c>
    </row>
    <row r="54" spans="1:41" x14ac:dyDescent="0.25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  <c r="AK54" s="4">
        <f>IF(Table1[[#This Row],[Attrition]]="Yes", 1,0)</f>
        <v>0</v>
      </c>
      <c r="AL54">
        <f>CORREL(Table1[Age],AK54:AK1523)</f>
        <v>-2.1604583800286604E-2</v>
      </c>
      <c r="AM54">
        <f>CORREL(Table1[MonthlyIncome],AK54:AK1523)</f>
        <v>-2.6698093182573112E-2</v>
      </c>
      <c r="AN54">
        <f>CORREL(Table1[YearsAtCompany],AK54:AK1523)</f>
        <v>1.419394771079573E-2</v>
      </c>
      <c r="AO54">
        <f t="shared" si="0"/>
        <v>0</v>
      </c>
    </row>
    <row r="55" spans="1:41" x14ac:dyDescent="0.25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  <c r="AK55" s="4">
        <f>IF(Table1[[#This Row],[Attrition]]="Yes", 1,0)</f>
        <v>0</v>
      </c>
      <c r="AL55">
        <f>CORREL(Table1[Age],AK55:AK1524)</f>
        <v>3.2576185347612689E-2</v>
      </c>
      <c r="AM55">
        <f>CORREL(Table1[MonthlyIncome],AK55:AK1524)</f>
        <v>6.8177900657375914E-3</v>
      </c>
      <c r="AN55">
        <f>CORREL(Table1[YearsAtCompany],AK55:AK1524)</f>
        <v>2.7140070638404196E-2</v>
      </c>
      <c r="AO55">
        <f t="shared" si="0"/>
        <v>0</v>
      </c>
    </row>
    <row r="56" spans="1:41" x14ac:dyDescent="0.25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  <c r="AK56" s="4">
        <f>IF(Table1[[#This Row],[Attrition]]="Yes", 1,0)</f>
        <v>0</v>
      </c>
      <c r="AL56">
        <f>CORREL(Table1[Age],AK56:AK1525)</f>
        <v>-1.123195192482232E-2</v>
      </c>
      <c r="AM56">
        <f>CORREL(Table1[MonthlyIncome],AK56:AK1525)</f>
        <v>-2.8867582253629894E-2</v>
      </c>
      <c r="AN56">
        <f>CORREL(Table1[YearsAtCompany],AK56:AK1525)</f>
        <v>-1.6124240700898705E-2</v>
      </c>
      <c r="AO56">
        <f t="shared" si="0"/>
        <v>0</v>
      </c>
    </row>
    <row r="57" spans="1:41" x14ac:dyDescent="0.25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  <c r="AK57" s="4">
        <f>IF(Table1[[#This Row],[Attrition]]="Yes", 1,0)</f>
        <v>0</v>
      </c>
      <c r="AL57">
        <f>CORREL(Table1[Age],AK57:AK1526)</f>
        <v>4.9354085079255462E-2</v>
      </c>
      <c r="AM57">
        <f>CORREL(Table1[MonthlyIncome],AK57:AK1526)</f>
        <v>7.3395179598675338E-3</v>
      </c>
      <c r="AN57">
        <f>CORREL(Table1[YearsAtCompany],AK57:AK1526)</f>
        <v>-1.1713109843221492E-2</v>
      </c>
      <c r="AO57">
        <f t="shared" si="0"/>
        <v>0</v>
      </c>
    </row>
    <row r="58" spans="1:41" x14ac:dyDescent="0.25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  <c r="AK58" s="4">
        <f>IF(Table1[[#This Row],[Attrition]]="Yes", 1,0)</f>
        <v>0</v>
      </c>
      <c r="AL58">
        <f>CORREL(Table1[Age],AK58:AK1527)</f>
        <v>1.3434874917932872E-2</v>
      </c>
      <c r="AM58">
        <f>CORREL(Table1[MonthlyIncome],AK58:AK1527)</f>
        <v>1.742613219395512E-2</v>
      </c>
      <c r="AN58">
        <f>CORREL(Table1[YearsAtCompany],AK58:AK1527)</f>
        <v>1.8040019673620407E-2</v>
      </c>
      <c r="AO58">
        <f t="shared" si="0"/>
        <v>0</v>
      </c>
    </row>
    <row r="59" spans="1:41" x14ac:dyDescent="0.25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  <c r="AK59" s="4">
        <f>IF(Table1[[#This Row],[Attrition]]="Yes", 1,0)</f>
        <v>0</v>
      </c>
      <c r="AL59">
        <f>CORREL(Table1[Age],AK59:AK1528)</f>
        <v>2.6764687505905879E-2</v>
      </c>
      <c r="AM59">
        <f>CORREL(Table1[MonthlyIncome],AK59:AK1528)</f>
        <v>5.9635960935752619E-3</v>
      </c>
      <c r="AN59">
        <f>CORREL(Table1[YearsAtCompany],AK59:AK1528)</f>
        <v>5.520154056552486E-3</v>
      </c>
      <c r="AO59">
        <f t="shared" si="0"/>
        <v>0</v>
      </c>
    </row>
    <row r="60" spans="1:41" x14ac:dyDescent="0.25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  <c r="AK60" s="4">
        <f>IF(Table1[[#This Row],[Attrition]]="Yes", 1,0)</f>
        <v>0</v>
      </c>
      <c r="AL60">
        <f>CORREL(Table1[Age],AK60:AK1529)</f>
        <v>-9.5629623603053649E-3</v>
      </c>
      <c r="AM60">
        <f>CORREL(Table1[MonthlyIncome],AK60:AK1529)</f>
        <v>4.4933778426687219E-3</v>
      </c>
      <c r="AN60">
        <f>CORREL(Table1[YearsAtCompany],AK60:AK1529)</f>
        <v>2.0571348821804517E-2</v>
      </c>
      <c r="AO60">
        <f t="shared" si="0"/>
        <v>0</v>
      </c>
    </row>
    <row r="61" spans="1:41" x14ac:dyDescent="0.25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  <c r="AK61" s="4">
        <f>IF(Table1[[#This Row],[Attrition]]="Yes", 1,0)</f>
        <v>0</v>
      </c>
      <c r="AL61">
        <f>CORREL(Table1[Age],AK61:AK1530)</f>
        <v>1.439051703167568E-3</v>
      </c>
      <c r="AM61">
        <f>CORREL(Table1[MonthlyIncome],AK61:AK1530)</f>
        <v>-1.0251756515009813E-2</v>
      </c>
      <c r="AN61">
        <f>CORREL(Table1[YearsAtCompany],AK61:AK1530)</f>
        <v>7.0994578943755987E-3</v>
      </c>
      <c r="AO61">
        <f t="shared" si="0"/>
        <v>0</v>
      </c>
    </row>
    <row r="62" spans="1:41" x14ac:dyDescent="0.25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  <c r="AK62" s="4">
        <f>IF(Table1[[#This Row],[Attrition]]="Yes", 1,0)</f>
        <v>0</v>
      </c>
      <c r="AL62">
        <f>CORREL(Table1[Age],AK62:AK1531)</f>
        <v>-9.0225759455686907E-3</v>
      </c>
      <c r="AM62">
        <f>CORREL(Table1[MonthlyIncome],AK62:AK1531)</f>
        <v>1.8463617527289717E-2</v>
      </c>
      <c r="AN62">
        <f>CORREL(Table1[YearsAtCompany],AK62:AK1531)</f>
        <v>-1.0970521597721741E-2</v>
      </c>
      <c r="AO62">
        <f t="shared" si="0"/>
        <v>0</v>
      </c>
    </row>
    <row r="63" spans="1:41" x14ac:dyDescent="0.25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  <c r="AK63" s="4">
        <f>IF(Table1[[#This Row],[Attrition]]="Yes", 1,0)</f>
        <v>0</v>
      </c>
      <c r="AL63">
        <f>CORREL(Table1[Age],AK63:AK1532)</f>
        <v>2.5523494682571264E-2</v>
      </c>
      <c r="AM63">
        <f>CORREL(Table1[MonthlyIncome],AK63:AK1532)</f>
        <v>1.1113942587763895E-2</v>
      </c>
      <c r="AN63">
        <f>CORREL(Table1[YearsAtCompany],AK63:AK1532)</f>
        <v>-5.4647188645607072E-3</v>
      </c>
      <c r="AO63">
        <f t="shared" si="0"/>
        <v>0</v>
      </c>
    </row>
    <row r="64" spans="1:41" x14ac:dyDescent="0.25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  <c r="AK64" s="4">
        <f>IF(Table1[[#This Row],[Attrition]]="Yes", 1,0)</f>
        <v>0</v>
      </c>
      <c r="AL64">
        <f>CORREL(Table1[Age],AK64:AK1533)</f>
        <v>3.0999262405271167E-2</v>
      </c>
      <c r="AM64">
        <f>CORREL(Table1[MonthlyIncome],AK64:AK1533)</f>
        <v>1.8143184256510222E-2</v>
      </c>
      <c r="AN64">
        <f>CORREL(Table1[YearsAtCompany],AK64:AK1533)</f>
        <v>-1.7854417205575967E-2</v>
      </c>
      <c r="AO64">
        <f t="shared" si="0"/>
        <v>0</v>
      </c>
    </row>
    <row r="65" spans="1:41" x14ac:dyDescent="0.25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  <c r="AK65" s="4">
        <f>IF(Table1[[#This Row],[Attrition]]="Yes", 1,0)</f>
        <v>0</v>
      </c>
      <c r="AL65">
        <f>CORREL(Table1[Age],AK65:AK1534)</f>
        <v>2.741212110686455E-2</v>
      </c>
      <c r="AM65">
        <f>CORREL(Table1[MonthlyIncome],AK65:AK1534)</f>
        <v>-1.3742081398008922E-3</v>
      </c>
      <c r="AN65">
        <f>CORREL(Table1[YearsAtCompany],AK65:AK1534)</f>
        <v>4.3135618644843943E-2</v>
      </c>
      <c r="AO65">
        <f t="shared" si="0"/>
        <v>0</v>
      </c>
    </row>
    <row r="66" spans="1:41" x14ac:dyDescent="0.25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  <c r="AK66" s="4">
        <f>IF(Table1[[#This Row],[Attrition]]="Yes", 1,0)</f>
        <v>0</v>
      </c>
      <c r="AL66">
        <f>CORREL(Table1[Age],AK66:AK1535)</f>
        <v>-1.8179409268008501E-2</v>
      </c>
      <c r="AM66">
        <f>CORREL(Table1[MonthlyIncome],AK66:AK1535)</f>
        <v>-5.058991233514383E-2</v>
      </c>
      <c r="AN66">
        <f>CORREL(Table1[YearsAtCompany],AK66:AK1535)</f>
        <v>-4.3009389769259679E-2</v>
      </c>
      <c r="AO66">
        <f t="shared" si="0"/>
        <v>0</v>
      </c>
    </row>
    <row r="67" spans="1:41" x14ac:dyDescent="0.25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  <c r="AK67" s="4">
        <f>IF(Table1[[#This Row],[Attrition]]="Yes", 1,0)</f>
        <v>0</v>
      </c>
      <c r="AL67">
        <f>CORREL(Table1[Age],AK67:AK1536)</f>
        <v>-3.9158649893668782E-2</v>
      </c>
      <c r="AM67">
        <f>CORREL(Table1[MonthlyIncome],AK67:AK1536)</f>
        <v>-1.0035101943047442E-2</v>
      </c>
      <c r="AN67">
        <f>CORREL(Table1[YearsAtCompany],AK67:AK1536)</f>
        <v>-2.4846801688045227E-2</v>
      </c>
      <c r="AO67">
        <f t="shared" ref="AO67:AO130" si="1">ABS(AK67)</f>
        <v>0</v>
      </c>
    </row>
    <row r="68" spans="1:41" x14ac:dyDescent="0.25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  <c r="AK68" s="4">
        <f>IF(Table1[[#This Row],[Attrition]]="Yes", 1,0)</f>
        <v>0</v>
      </c>
      <c r="AL68">
        <f>CORREL(Table1[Age],AK68:AK1537)</f>
        <v>-2.139671179793776E-2</v>
      </c>
      <c r="AM68">
        <f>CORREL(Table1[MonthlyIncome],AK68:AK1537)</f>
        <v>-3.0659807919555651E-2</v>
      </c>
      <c r="AN68">
        <f>CORREL(Table1[YearsAtCompany],AK68:AK1537)</f>
        <v>1.1136381479710163E-2</v>
      </c>
      <c r="AO68">
        <f t="shared" si="1"/>
        <v>0</v>
      </c>
    </row>
    <row r="69" spans="1:41" x14ac:dyDescent="0.25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  <c r="AK69" s="4">
        <f>IF(Table1[[#This Row],[Attrition]]="Yes", 1,0)</f>
        <v>0</v>
      </c>
      <c r="AL69">
        <f>CORREL(Table1[Age],AK69:AK1538)</f>
        <v>-2.3025180168548324E-2</v>
      </c>
      <c r="AM69">
        <f>CORREL(Table1[MonthlyIncome],AK69:AK1538)</f>
        <v>-2.8520802117082411E-2</v>
      </c>
      <c r="AN69">
        <f>CORREL(Table1[YearsAtCompany],AK69:AK1538)</f>
        <v>2.4781659482347715E-2</v>
      </c>
      <c r="AO69">
        <f t="shared" si="1"/>
        <v>0</v>
      </c>
    </row>
    <row r="70" spans="1:41" x14ac:dyDescent="0.25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  <c r="AK70" s="4">
        <f>IF(Table1[[#This Row],[Attrition]]="Yes", 1,0)</f>
        <v>0</v>
      </c>
      <c r="AL70">
        <f>CORREL(Table1[Age],AK70:AK1539)</f>
        <v>-9.2337708365718453E-3</v>
      </c>
      <c r="AM70">
        <f>CORREL(Table1[MonthlyIncome],AK70:AK1539)</f>
        <v>-9.2805358375776439E-3</v>
      </c>
      <c r="AN70">
        <f>CORREL(Table1[YearsAtCompany],AK70:AK1539)</f>
        <v>-1.1268335290659544E-2</v>
      </c>
      <c r="AO70">
        <f t="shared" si="1"/>
        <v>0</v>
      </c>
    </row>
    <row r="71" spans="1:41" x14ac:dyDescent="0.25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  <c r="AK71" s="4">
        <f>IF(Table1[[#This Row],[Attrition]]="Yes", 1,0)</f>
        <v>1</v>
      </c>
      <c r="AL71">
        <f>CORREL(Table1[Age],AK71:AK1540)</f>
        <v>-1.1607546842112218E-2</v>
      </c>
      <c r="AM71">
        <f>CORREL(Table1[MonthlyIncome],AK71:AK1540)</f>
        <v>-5.0197577003058937E-3</v>
      </c>
      <c r="AN71">
        <f>CORREL(Table1[YearsAtCompany],AK71:AK1540)</f>
        <v>-2.5042557242280911E-2</v>
      </c>
      <c r="AO71">
        <f t="shared" si="1"/>
        <v>1</v>
      </c>
    </row>
    <row r="72" spans="1:41" x14ac:dyDescent="0.25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  <c r="AK72" s="4">
        <f>IF(Table1[[#This Row],[Attrition]]="Yes", 1,0)</f>
        <v>0</v>
      </c>
      <c r="AL72">
        <f>CORREL(Table1[Age],AK72:AK1541)</f>
        <v>3.6058251131353532E-2</v>
      </c>
      <c r="AM72">
        <f>CORREL(Table1[MonthlyIncome],AK72:AK1541)</f>
        <v>3.3064281723915893E-2</v>
      </c>
      <c r="AN72">
        <f>CORREL(Table1[YearsAtCompany],AK72:AK1541)</f>
        <v>-1.0245255096280822E-2</v>
      </c>
      <c r="AO72">
        <f t="shared" si="1"/>
        <v>0</v>
      </c>
    </row>
    <row r="73" spans="1:41" x14ac:dyDescent="0.25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  <c r="AK73" s="4">
        <f>IF(Table1[[#This Row],[Attrition]]="Yes", 1,0)</f>
        <v>0</v>
      </c>
      <c r="AL73">
        <f>CORREL(Table1[Age],AK73:AK1542)</f>
        <v>3.0312655770470712E-2</v>
      </c>
      <c r="AM73">
        <f>CORREL(Table1[MonthlyIncome],AK73:AK1542)</f>
        <v>1.4665442260997927E-2</v>
      </c>
      <c r="AN73">
        <f>CORREL(Table1[YearsAtCompany],AK73:AK1542)</f>
        <v>9.2519578124715899E-3</v>
      </c>
      <c r="AO73">
        <f t="shared" si="1"/>
        <v>0</v>
      </c>
    </row>
    <row r="74" spans="1:41" x14ac:dyDescent="0.25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  <c r="AK74" s="4">
        <f>IF(Table1[[#This Row],[Attrition]]="Yes", 1,0)</f>
        <v>0</v>
      </c>
      <c r="AL74">
        <f>CORREL(Table1[Age],AK74:AK1543)</f>
        <v>-3.1762091692935479E-2</v>
      </c>
      <c r="AM74">
        <f>CORREL(Table1[MonthlyIncome],AK74:AK1543)</f>
        <v>-1.3498417590451709E-2</v>
      </c>
      <c r="AN74">
        <f>CORREL(Table1[YearsAtCompany],AK74:AK1543)</f>
        <v>2.1725593324237794E-2</v>
      </c>
      <c r="AO74">
        <f t="shared" si="1"/>
        <v>0</v>
      </c>
    </row>
    <row r="75" spans="1:41" x14ac:dyDescent="0.25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  <c r="AK75" s="4">
        <f>IF(Table1[[#This Row],[Attrition]]="Yes", 1,0)</f>
        <v>0</v>
      </c>
      <c r="AL75">
        <f>CORREL(Table1[Age],AK75:AK1544)</f>
        <v>-2.1417949755979573E-2</v>
      </c>
      <c r="AM75">
        <f>CORREL(Table1[MonthlyIncome],AK75:AK1544)</f>
        <v>1.2702797748662164E-2</v>
      </c>
      <c r="AN75">
        <f>CORREL(Table1[YearsAtCompany],AK75:AK1544)</f>
        <v>-6.9714142493824309E-3</v>
      </c>
      <c r="AO75">
        <f t="shared" si="1"/>
        <v>0</v>
      </c>
    </row>
    <row r="76" spans="1:41" x14ac:dyDescent="0.25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  <c r="AK76" s="4">
        <f>IF(Table1[[#This Row],[Attrition]]="Yes", 1,0)</f>
        <v>0</v>
      </c>
      <c r="AL76">
        <f>CORREL(Table1[Age],AK76:AK1545)</f>
        <v>1.5169700716415992E-2</v>
      </c>
      <c r="AM76">
        <f>CORREL(Table1[MonthlyIncome],AK76:AK1545)</f>
        <v>-1.829020027943885E-2</v>
      </c>
      <c r="AN76">
        <f>CORREL(Table1[YearsAtCompany],AK76:AK1545)</f>
        <v>-2.9120344765728296E-2</v>
      </c>
      <c r="AO76">
        <f t="shared" si="1"/>
        <v>0</v>
      </c>
    </row>
    <row r="77" spans="1:41" x14ac:dyDescent="0.25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  <c r="AK77" s="4">
        <f>IF(Table1[[#This Row],[Attrition]]="Yes", 1,0)</f>
        <v>0</v>
      </c>
      <c r="AL77">
        <f>CORREL(Table1[Age],AK77:AK1546)</f>
        <v>2.9058913442531972E-2</v>
      </c>
      <c r="AM77">
        <f>CORREL(Table1[MonthlyIncome],AK77:AK1546)</f>
        <v>-8.5012507746664364E-4</v>
      </c>
      <c r="AN77">
        <f>CORREL(Table1[YearsAtCompany],AK77:AK1546)</f>
        <v>1.6094977703788222E-2</v>
      </c>
      <c r="AO77">
        <f t="shared" si="1"/>
        <v>0</v>
      </c>
    </row>
    <row r="78" spans="1:41" x14ac:dyDescent="0.25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  <c r="AK78" s="4">
        <f>IF(Table1[[#This Row],[Attrition]]="Yes", 1,0)</f>
        <v>0</v>
      </c>
      <c r="AL78">
        <f>CORREL(Table1[Age],AK78:AK1547)</f>
        <v>2.0356927803491104E-2</v>
      </c>
      <c r="AM78">
        <f>CORREL(Table1[MonthlyIncome],AK78:AK1547)</f>
        <v>2.1492080386062564E-2</v>
      </c>
      <c r="AN78">
        <f>CORREL(Table1[YearsAtCompany],AK78:AK1547)</f>
        <v>-1.6268833282922959E-2</v>
      </c>
      <c r="AO78">
        <f t="shared" si="1"/>
        <v>0</v>
      </c>
    </row>
    <row r="79" spans="1:41" x14ac:dyDescent="0.25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  <c r="AK79" s="4">
        <f>IF(Table1[[#This Row],[Attrition]]="Yes", 1,0)</f>
        <v>0</v>
      </c>
      <c r="AL79">
        <f>CORREL(Table1[Age],AK79:AK1548)</f>
        <v>-5.6024685178123895E-3</v>
      </c>
      <c r="AM79">
        <f>CORREL(Table1[MonthlyIncome],AK79:AK1548)</f>
        <v>3.3115943807388438E-3</v>
      </c>
      <c r="AN79">
        <f>CORREL(Table1[YearsAtCompany],AK79:AK1548)</f>
        <v>-7.0606135571844178E-3</v>
      </c>
      <c r="AO79">
        <f t="shared" si="1"/>
        <v>0</v>
      </c>
    </row>
    <row r="80" spans="1:41" x14ac:dyDescent="0.25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  <c r="AK80" s="4">
        <f>IF(Table1[[#This Row],[Attrition]]="Yes", 1,0)</f>
        <v>0</v>
      </c>
      <c r="AL80">
        <f>CORREL(Table1[Age],AK80:AK1549)</f>
        <v>3.9401903477550126E-2</v>
      </c>
      <c r="AM80">
        <f>CORREL(Table1[MonthlyIncome],AK80:AK1549)</f>
        <v>4.6304825515262285E-2</v>
      </c>
      <c r="AN80">
        <f>CORREL(Table1[YearsAtCompany],AK80:AK1549)</f>
        <v>1.6274630489577745E-2</v>
      </c>
      <c r="AO80">
        <f t="shared" si="1"/>
        <v>0</v>
      </c>
    </row>
    <row r="81" spans="1:41" x14ac:dyDescent="0.25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  <c r="AK81" s="4">
        <f>IF(Table1[[#This Row],[Attrition]]="Yes", 1,0)</f>
        <v>0</v>
      </c>
      <c r="AL81">
        <f>CORREL(Table1[Age],AK81:AK1550)</f>
        <v>1.6309467921717976E-3</v>
      </c>
      <c r="AM81">
        <f>CORREL(Table1[MonthlyIncome],AK81:AK1550)</f>
        <v>1.2812573903449793E-2</v>
      </c>
      <c r="AN81">
        <f>CORREL(Table1[YearsAtCompany],AK81:AK1550)</f>
        <v>5.4735981331001798E-2</v>
      </c>
      <c r="AO81">
        <f t="shared" si="1"/>
        <v>0</v>
      </c>
    </row>
    <row r="82" spans="1:41" x14ac:dyDescent="0.25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  <c r="AK82" s="4">
        <f>IF(Table1[[#This Row],[Attrition]]="Yes", 1,0)</f>
        <v>0</v>
      </c>
      <c r="AL82">
        <f>CORREL(Table1[Age],AK82:AK1551)</f>
        <v>-2.4960284096266314E-2</v>
      </c>
      <c r="AM82">
        <f>CORREL(Table1[MonthlyIncome],AK82:AK1551)</f>
        <v>-3.8989054432390077E-2</v>
      </c>
      <c r="AN82">
        <f>CORREL(Table1[YearsAtCompany],AK82:AK1551)</f>
        <v>-2.4525755160680986E-2</v>
      </c>
      <c r="AO82">
        <f t="shared" si="1"/>
        <v>0</v>
      </c>
    </row>
    <row r="83" spans="1:41" x14ac:dyDescent="0.25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  <c r="AK83" s="4">
        <f>IF(Table1[[#This Row],[Attrition]]="Yes", 1,0)</f>
        <v>0</v>
      </c>
      <c r="AL83">
        <f>CORREL(Table1[Age],AK83:AK1552)</f>
        <v>-2.0836829675143303E-3</v>
      </c>
      <c r="AM83">
        <f>CORREL(Table1[MonthlyIncome],AK83:AK1552)</f>
        <v>2.7689267000381757E-2</v>
      </c>
      <c r="AN83">
        <f>CORREL(Table1[YearsAtCompany],AK83:AK1552)</f>
        <v>2.6153806212665515E-2</v>
      </c>
      <c r="AO83">
        <f t="shared" si="1"/>
        <v>0</v>
      </c>
    </row>
    <row r="84" spans="1:41" x14ac:dyDescent="0.25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  <c r="AK84" s="4">
        <f>IF(Table1[[#This Row],[Attrition]]="Yes", 1,0)</f>
        <v>0</v>
      </c>
      <c r="AL84">
        <f>CORREL(Table1[Age],AK84:AK1553)</f>
        <v>-1.4867132105138976E-2</v>
      </c>
      <c r="AM84">
        <f>CORREL(Table1[MonthlyIncome],AK84:AK1553)</f>
        <v>1.4020880661526841E-2</v>
      </c>
      <c r="AN84">
        <f>CORREL(Table1[YearsAtCompany],AK84:AK1553)</f>
        <v>-1.5261896215764854E-2</v>
      </c>
      <c r="AO84">
        <f t="shared" si="1"/>
        <v>0</v>
      </c>
    </row>
    <row r="85" spans="1:41" x14ac:dyDescent="0.25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  <c r="AK85" s="4">
        <f>IF(Table1[[#This Row],[Attrition]]="Yes", 1,0)</f>
        <v>0</v>
      </c>
      <c r="AL85">
        <f>CORREL(Table1[Age],AK85:AK1554)</f>
        <v>-2.5196617339621492E-2</v>
      </c>
      <c r="AM85">
        <f>CORREL(Table1[MonthlyIncome],AK85:AK1554)</f>
        <v>-4.3196539947090093E-2</v>
      </c>
      <c r="AN85">
        <f>CORREL(Table1[YearsAtCompany],AK85:AK1554)</f>
        <v>-5.7322243767471817E-2</v>
      </c>
      <c r="AO85">
        <f t="shared" si="1"/>
        <v>0</v>
      </c>
    </row>
    <row r="86" spans="1:41" x14ac:dyDescent="0.25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  <c r="AK86" s="4">
        <f>IF(Table1[[#This Row],[Attrition]]="Yes", 1,0)</f>
        <v>0</v>
      </c>
      <c r="AL86">
        <f>CORREL(Table1[Age],AK86:AK1555)</f>
        <v>1.5711780561680901E-2</v>
      </c>
      <c r="AM86">
        <f>CORREL(Table1[MonthlyIncome],AK86:AK1555)</f>
        <v>6.8242182649095023E-3</v>
      </c>
      <c r="AN86">
        <f>CORREL(Table1[YearsAtCompany],AK86:AK1555)</f>
        <v>3.1364230142575868E-2</v>
      </c>
      <c r="AO86">
        <f t="shared" si="1"/>
        <v>0</v>
      </c>
    </row>
    <row r="87" spans="1:41" x14ac:dyDescent="0.25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  <c r="AK87" s="4">
        <f>IF(Table1[[#This Row],[Attrition]]="Yes", 1,0)</f>
        <v>0</v>
      </c>
      <c r="AL87">
        <f>CORREL(Table1[Age],AK87:AK1556)</f>
        <v>-1.7345876245399218E-2</v>
      </c>
      <c r="AM87">
        <f>CORREL(Table1[MonthlyIncome],AK87:AK1556)</f>
        <v>1.5574428394459773E-2</v>
      </c>
      <c r="AN87">
        <f>CORREL(Table1[YearsAtCompany],AK87:AK1556)</f>
        <v>4.349947918014526E-2</v>
      </c>
      <c r="AO87">
        <f t="shared" si="1"/>
        <v>0</v>
      </c>
    </row>
    <row r="88" spans="1:41" x14ac:dyDescent="0.25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  <c r="AK88" s="4">
        <f>IF(Table1[[#This Row],[Attrition]]="Yes", 1,0)</f>
        <v>0</v>
      </c>
      <c r="AL88">
        <f>CORREL(Table1[Age],AK88:AK1557)</f>
        <v>-1.6379323534230841E-2</v>
      </c>
      <c r="AM88">
        <f>CORREL(Table1[MonthlyIncome],AK88:AK1557)</f>
        <v>-3.7304464705632694E-2</v>
      </c>
      <c r="AN88">
        <f>CORREL(Table1[YearsAtCompany],AK88:AK1557)</f>
        <v>-5.5357862530224122E-2</v>
      </c>
      <c r="AO88">
        <f t="shared" si="1"/>
        <v>0</v>
      </c>
    </row>
    <row r="89" spans="1:41" x14ac:dyDescent="0.25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  <c r="AK89" s="4">
        <f>IF(Table1[[#This Row],[Attrition]]="Yes", 1,0)</f>
        <v>0</v>
      </c>
      <c r="AL89">
        <f>CORREL(Table1[Age],AK89:AK1558)</f>
        <v>2.3399827075386952E-2</v>
      </c>
      <c r="AM89">
        <f>CORREL(Table1[MonthlyIncome],AK89:AK1558)</f>
        <v>1.7018610857490121E-2</v>
      </c>
      <c r="AN89">
        <f>CORREL(Table1[YearsAtCompany],AK89:AK1558)</f>
        <v>-2.8107293738492446E-2</v>
      </c>
      <c r="AO89">
        <f t="shared" si="1"/>
        <v>0</v>
      </c>
    </row>
    <row r="90" spans="1:41" x14ac:dyDescent="0.25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  <c r="AK90" s="4">
        <f>IF(Table1[[#This Row],[Attrition]]="Yes", 1,0)</f>
        <v>0</v>
      </c>
      <c r="AL90">
        <f>CORREL(Table1[Age],AK90:AK1559)</f>
        <v>2.2128844750580485E-2</v>
      </c>
      <c r="AM90">
        <f>CORREL(Table1[MonthlyIncome],AK90:AK1559)</f>
        <v>-2.8290043536702173E-2</v>
      </c>
      <c r="AN90">
        <f>CORREL(Table1[YearsAtCompany],AK90:AK1559)</f>
        <v>-2.730983770480953E-2</v>
      </c>
      <c r="AO90">
        <f t="shared" si="1"/>
        <v>0</v>
      </c>
    </row>
    <row r="91" spans="1:41" x14ac:dyDescent="0.25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  <c r="AK91" s="4">
        <f>IF(Table1[[#This Row],[Attrition]]="Yes", 1,0)</f>
        <v>1</v>
      </c>
      <c r="AL91">
        <f>CORREL(Table1[Age],AK91:AK1560)</f>
        <v>8.5486651415741625E-3</v>
      </c>
      <c r="AM91">
        <f>CORREL(Table1[MonthlyIncome],AK91:AK1560)</f>
        <v>-3.6472256348957531E-2</v>
      </c>
      <c r="AN91">
        <f>CORREL(Table1[YearsAtCompany],AK91:AK1560)</f>
        <v>-3.2314898800696623E-3</v>
      </c>
      <c r="AO91">
        <f t="shared" si="1"/>
        <v>1</v>
      </c>
    </row>
    <row r="92" spans="1:41" x14ac:dyDescent="0.25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  <c r="AK92" s="4">
        <f>IF(Table1[[#This Row],[Attrition]]="Yes", 1,0)</f>
        <v>0</v>
      </c>
      <c r="AL92">
        <f>CORREL(Table1[Age],AK92:AK1561)</f>
        <v>-2.0695207389791023E-2</v>
      </c>
      <c r="AM92">
        <f>CORREL(Table1[MonthlyIncome],AK92:AK1561)</f>
        <v>-1.6193846993509019E-2</v>
      </c>
      <c r="AN92">
        <f>CORREL(Table1[YearsAtCompany],AK92:AK1561)</f>
        <v>5.2617077960044932E-3</v>
      </c>
      <c r="AO92">
        <f t="shared" si="1"/>
        <v>0</v>
      </c>
    </row>
    <row r="93" spans="1:41" x14ac:dyDescent="0.25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  <c r="AK93" s="4">
        <f>IF(Table1[[#This Row],[Attrition]]="Yes", 1,0)</f>
        <v>0</v>
      </c>
      <c r="AL93">
        <f>CORREL(Table1[Age],AK93:AK1562)</f>
        <v>-1.0314938480719897E-2</v>
      </c>
      <c r="AM93">
        <f>CORREL(Table1[MonthlyIncome],AK93:AK1562)</f>
        <v>-2.0546661063468259E-2</v>
      </c>
      <c r="AN93">
        <f>CORREL(Table1[YearsAtCompany],AK93:AK1562)</f>
        <v>-3.0166084660307418E-3</v>
      </c>
      <c r="AO93">
        <f t="shared" si="1"/>
        <v>0</v>
      </c>
    </row>
    <row r="94" spans="1:41" x14ac:dyDescent="0.25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  <c r="AK94" s="4">
        <f>IF(Table1[[#This Row],[Attrition]]="Yes", 1,0)</f>
        <v>0</v>
      </c>
      <c r="AL94">
        <f>CORREL(Table1[Age],AK94:AK1563)</f>
        <v>7.0361822308947679E-3</v>
      </c>
      <c r="AM94">
        <f>CORREL(Table1[MonthlyIncome],AK94:AK1563)</f>
        <v>-7.5085647584217608E-3</v>
      </c>
      <c r="AN94">
        <f>CORREL(Table1[YearsAtCompany],AK94:AK1563)</f>
        <v>-1.9651735875821873E-2</v>
      </c>
      <c r="AO94">
        <f t="shared" si="1"/>
        <v>0</v>
      </c>
    </row>
    <row r="95" spans="1:41" x14ac:dyDescent="0.25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  <c r="AK95" s="4">
        <f>IF(Table1[[#This Row],[Attrition]]="Yes", 1,0)</f>
        <v>0</v>
      </c>
      <c r="AL95">
        <f>CORREL(Table1[Age],AK95:AK1564)</f>
        <v>1.1110914528935041E-2</v>
      </c>
      <c r="AM95">
        <f>CORREL(Table1[MonthlyIncome],AK95:AK1564)</f>
        <v>-1.2868356488219171E-2</v>
      </c>
      <c r="AN95">
        <f>CORREL(Table1[YearsAtCompany],AK95:AK1564)</f>
        <v>2.7795915314700017E-2</v>
      </c>
      <c r="AO95">
        <f t="shared" si="1"/>
        <v>0</v>
      </c>
    </row>
    <row r="96" spans="1:41" x14ac:dyDescent="0.25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  <c r="AK96" s="4">
        <f>IF(Table1[[#This Row],[Attrition]]="Yes", 1,0)</f>
        <v>0</v>
      </c>
      <c r="AL96">
        <f>CORREL(Table1[Age],AK96:AK1565)</f>
        <v>-1.3351152851876521E-2</v>
      </c>
      <c r="AM96">
        <f>CORREL(Table1[MonthlyIncome],AK96:AK1565)</f>
        <v>-1.082993052512937E-2</v>
      </c>
      <c r="AN96">
        <f>CORREL(Table1[YearsAtCompany],AK96:AK1565)</f>
        <v>1.3971833485573234E-2</v>
      </c>
      <c r="AO96">
        <f t="shared" si="1"/>
        <v>0</v>
      </c>
    </row>
    <row r="97" spans="1:41" x14ac:dyDescent="0.25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  <c r="AK97" s="4">
        <f>IF(Table1[[#This Row],[Attrition]]="Yes", 1,0)</f>
        <v>0</v>
      </c>
      <c r="AL97">
        <f>CORREL(Table1[Age],AK97:AK1566)</f>
        <v>-3.5879456851007324E-2</v>
      </c>
      <c r="AM97">
        <f>CORREL(Table1[MonthlyIncome],AK97:AK1566)</f>
        <v>2.4422188010624696E-2</v>
      </c>
      <c r="AN97">
        <f>CORREL(Table1[YearsAtCompany],AK97:AK1566)</f>
        <v>-7.8875367930212065E-3</v>
      </c>
      <c r="AO97">
        <f t="shared" si="1"/>
        <v>0</v>
      </c>
    </row>
    <row r="98" spans="1:41" x14ac:dyDescent="0.25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  <c r="AK98" s="4">
        <f>IF(Table1[[#This Row],[Attrition]]="Yes", 1,0)</f>
        <v>0</v>
      </c>
      <c r="AL98">
        <f>CORREL(Table1[Age],AK98:AK1567)</f>
        <v>-2.9618970332779618E-2</v>
      </c>
      <c r="AM98">
        <f>CORREL(Table1[MonthlyIncome],AK98:AK1567)</f>
        <v>2.310815335604316E-2</v>
      </c>
      <c r="AN98">
        <f>CORREL(Table1[YearsAtCompany],AK98:AK1567)</f>
        <v>-1.8129418843676967E-3</v>
      </c>
      <c r="AO98">
        <f t="shared" si="1"/>
        <v>0</v>
      </c>
    </row>
    <row r="99" spans="1:41" x14ac:dyDescent="0.25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  <c r="AK99" s="4">
        <f>IF(Table1[[#This Row],[Attrition]]="Yes", 1,0)</f>
        <v>0</v>
      </c>
      <c r="AL99">
        <f>CORREL(Table1[Age],AK99:AK1568)</f>
        <v>-7.400180899870986E-3</v>
      </c>
      <c r="AM99">
        <f>CORREL(Table1[MonthlyIncome],AK99:AK1568)</f>
        <v>-1.6344788781519285E-3</v>
      </c>
      <c r="AN99">
        <f>CORREL(Table1[YearsAtCompany],AK99:AK1568)</f>
        <v>-3.5372073011644592E-2</v>
      </c>
      <c r="AO99">
        <f t="shared" si="1"/>
        <v>0</v>
      </c>
    </row>
    <row r="100" spans="1:41" x14ac:dyDescent="0.25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  <c r="AK100" s="4">
        <f>IF(Table1[[#This Row],[Attrition]]="Yes", 1,0)</f>
        <v>0</v>
      </c>
      <c r="AL100">
        <f>CORREL(Table1[Age],AK100:AK1569)</f>
        <v>2.282690072584781E-2</v>
      </c>
      <c r="AM100">
        <f>CORREL(Table1[MonthlyIncome],AK100:AK1569)</f>
        <v>2.563775679184908E-2</v>
      </c>
      <c r="AN100">
        <f>CORREL(Table1[YearsAtCompany],AK100:AK1569)</f>
        <v>8.290541531219546E-3</v>
      </c>
      <c r="AO100">
        <f t="shared" si="1"/>
        <v>0</v>
      </c>
    </row>
    <row r="101" spans="1:41" x14ac:dyDescent="0.25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  <c r="AK101" s="4">
        <f>IF(Table1[[#This Row],[Attrition]]="Yes", 1,0)</f>
        <v>0</v>
      </c>
      <c r="AL101">
        <f>CORREL(Table1[Age],AK101:AK1570)</f>
        <v>-9.4804843031725729E-3</v>
      </c>
      <c r="AM101">
        <f>CORREL(Table1[MonthlyIncome],AK101:AK1570)</f>
        <v>2.8109559140282243E-2</v>
      </c>
      <c r="AN101">
        <f>CORREL(Table1[YearsAtCompany],AK101:AK1570)</f>
        <v>2.4578789846046802E-2</v>
      </c>
      <c r="AO101">
        <f t="shared" si="1"/>
        <v>0</v>
      </c>
    </row>
    <row r="102" spans="1:41" x14ac:dyDescent="0.25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  <c r="AK102" s="4">
        <f>IF(Table1[[#This Row],[Attrition]]="Yes", 1,0)</f>
        <v>1</v>
      </c>
      <c r="AL102">
        <f>CORREL(Table1[Age],AK102:AK1571)</f>
        <v>-5.0317101739683519E-3</v>
      </c>
      <c r="AM102">
        <f>CORREL(Table1[MonthlyIncome],AK102:AK1571)</f>
        <v>-6.2505908953390749E-3</v>
      </c>
      <c r="AN102">
        <f>CORREL(Table1[YearsAtCompany],AK102:AK1571)</f>
        <v>6.2729767161881153E-2</v>
      </c>
      <c r="AO102">
        <f t="shared" si="1"/>
        <v>1</v>
      </c>
    </row>
    <row r="103" spans="1:41" x14ac:dyDescent="0.25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  <c r="AK103" s="4">
        <f>IF(Table1[[#This Row],[Attrition]]="Yes", 1,0)</f>
        <v>0</v>
      </c>
      <c r="AL103">
        <f>CORREL(Table1[Age],AK103:AK1572)</f>
        <v>3.3139156192677578E-2</v>
      </c>
      <c r="AM103">
        <f>CORREL(Table1[MonthlyIncome],AK103:AK1572)</f>
        <v>3.1088905645659966E-2</v>
      </c>
      <c r="AN103">
        <f>CORREL(Table1[YearsAtCompany],AK103:AK1572)</f>
        <v>6.4581751552257906E-3</v>
      </c>
      <c r="AO103">
        <f t="shared" si="1"/>
        <v>0</v>
      </c>
    </row>
    <row r="104" spans="1:41" x14ac:dyDescent="0.25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  <c r="AK104" s="4">
        <f>IF(Table1[[#This Row],[Attrition]]="Yes", 1,0)</f>
        <v>1</v>
      </c>
      <c r="AL104">
        <f>CORREL(Table1[Age],AK104:AK1573)</f>
        <v>2.4385370878489427E-2</v>
      </c>
      <c r="AM104">
        <f>CORREL(Table1[MonthlyIncome],AK104:AK1573)</f>
        <v>3.8378513788376291E-2</v>
      </c>
      <c r="AN104">
        <f>CORREL(Table1[YearsAtCompany],AK104:AK1573)</f>
        <v>8.1619308706342188E-3</v>
      </c>
      <c r="AO104">
        <f t="shared" si="1"/>
        <v>1</v>
      </c>
    </row>
    <row r="105" spans="1:41" x14ac:dyDescent="0.25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  <c r="AK105" s="4">
        <f>IF(Table1[[#This Row],[Attrition]]="Yes", 1,0)</f>
        <v>0</v>
      </c>
      <c r="AL105">
        <f>CORREL(Table1[Age],AK105:AK1574)</f>
        <v>2.5382389237861007E-2</v>
      </c>
      <c r="AM105">
        <f>CORREL(Table1[MonthlyIncome],AK105:AK1574)</f>
        <v>3.0443431408142499E-2</v>
      </c>
      <c r="AN105">
        <f>CORREL(Table1[YearsAtCompany],AK105:AK1574)</f>
        <v>-2.8920236932732241E-2</v>
      </c>
      <c r="AO105">
        <f t="shared" si="1"/>
        <v>0</v>
      </c>
    </row>
    <row r="106" spans="1:41" x14ac:dyDescent="0.25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  <c r="AK106" s="4">
        <f>IF(Table1[[#This Row],[Attrition]]="Yes", 1,0)</f>
        <v>0</v>
      </c>
      <c r="AL106">
        <f>CORREL(Table1[Age],AK106:AK1575)</f>
        <v>-5.0240227791885507E-2</v>
      </c>
      <c r="AM106">
        <f>CORREL(Table1[MonthlyIncome],AK106:AK1575)</f>
        <v>-6.5515685185491696E-2</v>
      </c>
      <c r="AN106">
        <f>CORREL(Table1[YearsAtCompany],AK106:AK1575)</f>
        <v>-4.747245163520606E-2</v>
      </c>
      <c r="AO106">
        <f t="shared" si="1"/>
        <v>0</v>
      </c>
    </row>
    <row r="107" spans="1:41" x14ac:dyDescent="0.25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  <c r="AK107" s="4">
        <f>IF(Table1[[#This Row],[Attrition]]="Yes", 1,0)</f>
        <v>0</v>
      </c>
      <c r="AL107">
        <f>CORREL(Table1[Age],AK107:AK1576)</f>
        <v>2.1716169961961844E-2</v>
      </c>
      <c r="AM107">
        <f>CORREL(Table1[MonthlyIncome],AK107:AK1576)</f>
        <v>1.1730940283723009E-2</v>
      </c>
      <c r="AN107">
        <f>CORREL(Table1[YearsAtCompany],AK107:AK1576)</f>
        <v>4.6618112333481751E-3</v>
      </c>
      <c r="AO107">
        <f t="shared" si="1"/>
        <v>0</v>
      </c>
    </row>
    <row r="108" spans="1:41" x14ac:dyDescent="0.25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  <c r="AK108" s="4">
        <f>IF(Table1[[#This Row],[Attrition]]="Yes", 1,0)</f>
        <v>0</v>
      </c>
      <c r="AL108">
        <f>CORREL(Table1[Age],AK108:AK1577)</f>
        <v>2.6621573415035533E-2</v>
      </c>
      <c r="AM108">
        <f>CORREL(Table1[MonthlyIncome],AK108:AK1577)</f>
        <v>-3.3260376465765885E-2</v>
      </c>
      <c r="AN108">
        <f>CORREL(Table1[YearsAtCompany],AK108:AK1577)</f>
        <v>2.9447998978557065E-2</v>
      </c>
      <c r="AO108">
        <f t="shared" si="1"/>
        <v>0</v>
      </c>
    </row>
    <row r="109" spans="1:41" x14ac:dyDescent="0.25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  <c r="AK109" s="4">
        <f>IF(Table1[[#This Row],[Attrition]]="Yes", 1,0)</f>
        <v>1</v>
      </c>
      <c r="AL109">
        <f>CORREL(Table1[Age],AK109:AK1578)</f>
        <v>2.8237863030335748E-3</v>
      </c>
      <c r="AM109">
        <f>CORREL(Table1[MonthlyIncome],AK109:AK1578)</f>
        <v>-2.9497392358741E-3</v>
      </c>
      <c r="AN109">
        <f>CORREL(Table1[YearsAtCompany],AK109:AK1578)</f>
        <v>-2.6087561259999559E-2</v>
      </c>
      <c r="AO109">
        <f t="shared" si="1"/>
        <v>1</v>
      </c>
    </row>
    <row r="110" spans="1:41" x14ac:dyDescent="0.25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  <c r="AK110" s="4">
        <f>IF(Table1[[#This Row],[Attrition]]="Yes", 1,0)</f>
        <v>0</v>
      </c>
      <c r="AL110">
        <f>CORREL(Table1[Age],AK110:AK1579)</f>
        <v>4.1893885262352598E-3</v>
      </c>
      <c r="AM110">
        <f>CORREL(Table1[MonthlyIncome],AK110:AK1579)</f>
        <v>2.3894790101810309E-2</v>
      </c>
      <c r="AN110">
        <f>CORREL(Table1[YearsAtCompany],AK110:AK1579)</f>
        <v>2.5639963528098112E-2</v>
      </c>
      <c r="AO110">
        <f t="shared" si="1"/>
        <v>0</v>
      </c>
    </row>
    <row r="111" spans="1:41" x14ac:dyDescent="0.25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  <c r="AK111" s="4">
        <f>IF(Table1[[#This Row],[Attrition]]="Yes", 1,0)</f>
        <v>0</v>
      </c>
      <c r="AL111">
        <f>CORREL(Table1[Age],AK111:AK1580)</f>
        <v>-6.8467153503483674E-2</v>
      </c>
      <c r="AM111">
        <f>CORREL(Table1[MonthlyIncome],AK111:AK1580)</f>
        <v>-5.6090339042620244E-2</v>
      </c>
      <c r="AN111">
        <f>CORREL(Table1[YearsAtCompany],AK111:AK1580)</f>
        <v>-1.134703568476511E-3</v>
      </c>
      <c r="AO111">
        <f t="shared" si="1"/>
        <v>0</v>
      </c>
    </row>
    <row r="112" spans="1:41" x14ac:dyDescent="0.25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  <c r="AK112" s="4">
        <f>IF(Table1[[#This Row],[Attrition]]="Yes", 1,0)</f>
        <v>0</v>
      </c>
      <c r="AL112">
        <f>CORREL(Table1[Age],AK112:AK1581)</f>
        <v>-3.1021322309972406E-2</v>
      </c>
      <c r="AM112">
        <f>CORREL(Table1[MonthlyIncome],AK112:AK1581)</f>
        <v>-3.6417732535756052E-2</v>
      </c>
      <c r="AN112">
        <f>CORREL(Table1[YearsAtCompany],AK112:AK1581)</f>
        <v>-1.0430631203233639E-2</v>
      </c>
      <c r="AO112">
        <f t="shared" si="1"/>
        <v>0</v>
      </c>
    </row>
    <row r="113" spans="1:41" x14ac:dyDescent="0.25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  <c r="AK113" s="4">
        <f>IF(Table1[[#This Row],[Attrition]]="Yes", 1,0)</f>
        <v>1</v>
      </c>
      <c r="AL113">
        <f>CORREL(Table1[Age],AK113:AK1582)</f>
        <v>-3.5919550794877395E-2</v>
      </c>
      <c r="AM113">
        <f>CORREL(Table1[MonthlyIncome],AK113:AK1582)</f>
        <v>2.6055537503734842E-2</v>
      </c>
      <c r="AN113">
        <f>CORREL(Table1[YearsAtCompany],AK113:AK1582)</f>
        <v>3.8148379524293077E-2</v>
      </c>
      <c r="AO113">
        <f t="shared" si="1"/>
        <v>1</v>
      </c>
    </row>
    <row r="114" spans="1:41" x14ac:dyDescent="0.25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  <c r="AK114" s="4">
        <f>IF(Table1[[#This Row],[Attrition]]="Yes", 1,0)</f>
        <v>0</v>
      </c>
      <c r="AL114">
        <f>CORREL(Table1[Age],AK114:AK1583)</f>
        <v>-3.2064874608032742E-2</v>
      </c>
      <c r="AM114">
        <f>CORREL(Table1[MonthlyIncome],AK114:AK1583)</f>
        <v>2.2350300658193167E-2</v>
      </c>
      <c r="AN114">
        <f>CORREL(Table1[YearsAtCompany],AK114:AK1583)</f>
        <v>1.6776419188483167E-2</v>
      </c>
      <c r="AO114">
        <f t="shared" si="1"/>
        <v>0</v>
      </c>
    </row>
    <row r="115" spans="1:41" x14ac:dyDescent="0.25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  <c r="AK115" s="4">
        <f>IF(Table1[[#This Row],[Attrition]]="Yes", 1,0)</f>
        <v>0</v>
      </c>
      <c r="AL115">
        <f>CORREL(Table1[Age],AK115:AK1584)</f>
        <v>1.9363706137516957E-3</v>
      </c>
      <c r="AM115">
        <f>CORREL(Table1[MonthlyIncome],AK115:AK1584)</f>
        <v>-2.6061452769543171E-2</v>
      </c>
      <c r="AN115">
        <f>CORREL(Table1[YearsAtCompany],AK115:AK1584)</f>
        <v>2.5362416649897155E-3</v>
      </c>
      <c r="AO115">
        <f t="shared" si="1"/>
        <v>0</v>
      </c>
    </row>
    <row r="116" spans="1:41" x14ac:dyDescent="0.25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  <c r="AK116" s="4">
        <f>IF(Table1[[#This Row],[Attrition]]="Yes", 1,0)</f>
        <v>0</v>
      </c>
      <c r="AL116">
        <f>CORREL(Table1[Age],AK116:AK1585)</f>
        <v>1.888683542624035E-2</v>
      </c>
      <c r="AM116">
        <f>CORREL(Table1[MonthlyIncome],AK116:AK1585)</f>
        <v>5.0638633604282127E-2</v>
      </c>
      <c r="AN116">
        <f>CORREL(Table1[YearsAtCompany],AK116:AK1585)</f>
        <v>7.5557505236457601E-2</v>
      </c>
      <c r="AO116">
        <f t="shared" si="1"/>
        <v>0</v>
      </c>
    </row>
    <row r="117" spans="1:41" x14ac:dyDescent="0.25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  <c r="AK117" s="4">
        <f>IF(Table1[[#This Row],[Attrition]]="Yes", 1,0)</f>
        <v>0</v>
      </c>
      <c r="AL117">
        <f>CORREL(Table1[Age],AK117:AK1586)</f>
        <v>-7.5609067761726574E-3</v>
      </c>
      <c r="AM117">
        <f>CORREL(Table1[MonthlyIncome],AK117:AK1586)</f>
        <v>2.8469278193457657E-2</v>
      </c>
      <c r="AN117">
        <f>CORREL(Table1[YearsAtCompany],AK117:AK1586)</f>
        <v>1.2308520878691434E-2</v>
      </c>
      <c r="AO117">
        <f t="shared" si="1"/>
        <v>0</v>
      </c>
    </row>
    <row r="118" spans="1:41" x14ac:dyDescent="0.25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  <c r="AK118" s="4">
        <f>IF(Table1[[#This Row],[Attrition]]="Yes", 1,0)</f>
        <v>0</v>
      </c>
      <c r="AL118">
        <f>CORREL(Table1[Age],AK118:AK1587)</f>
        <v>-4.5170498794111891E-2</v>
      </c>
      <c r="AM118">
        <f>CORREL(Table1[MonthlyIncome],AK118:AK1587)</f>
        <v>-6.2720176986388362E-2</v>
      </c>
      <c r="AN118">
        <f>CORREL(Table1[YearsAtCompany],AK118:AK1587)</f>
        <v>-9.5315932199505887E-3</v>
      </c>
      <c r="AO118">
        <f t="shared" si="1"/>
        <v>0</v>
      </c>
    </row>
    <row r="119" spans="1:41" x14ac:dyDescent="0.25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  <c r="AK119" s="4">
        <f>IF(Table1[[#This Row],[Attrition]]="Yes", 1,0)</f>
        <v>0</v>
      </c>
      <c r="AL119">
        <f>CORREL(Table1[Age],AK119:AK1588)</f>
        <v>3.4106793909102456E-2</v>
      </c>
      <c r="AM119">
        <f>CORREL(Table1[MonthlyIncome],AK119:AK1588)</f>
        <v>9.0938052647847756E-3</v>
      </c>
      <c r="AN119">
        <f>CORREL(Table1[YearsAtCompany],AK119:AK1588)</f>
        <v>-2.5498566839316419E-2</v>
      </c>
      <c r="AO119">
        <f t="shared" si="1"/>
        <v>0</v>
      </c>
    </row>
    <row r="120" spans="1:41" x14ac:dyDescent="0.25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  <c r="AK120" s="4">
        <f>IF(Table1[[#This Row],[Attrition]]="Yes", 1,0)</f>
        <v>0</v>
      </c>
      <c r="AL120">
        <f>CORREL(Table1[Age],AK120:AK1589)</f>
        <v>-1.8792762552099024E-2</v>
      </c>
      <c r="AM120">
        <f>CORREL(Table1[MonthlyIncome],AK120:AK1589)</f>
        <v>1.2726172498905631E-3</v>
      </c>
      <c r="AN120">
        <f>CORREL(Table1[YearsAtCompany],AK120:AK1589)</f>
        <v>-2.1305676337456466E-3</v>
      </c>
      <c r="AO120">
        <f t="shared" si="1"/>
        <v>0</v>
      </c>
    </row>
    <row r="121" spans="1:41" x14ac:dyDescent="0.25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  <c r="AK121" s="4">
        <f>IF(Table1[[#This Row],[Attrition]]="Yes", 1,0)</f>
        <v>0</v>
      </c>
      <c r="AL121">
        <f>CORREL(Table1[Age],AK121:AK1590)</f>
        <v>4.5698005765738891E-3</v>
      </c>
      <c r="AM121">
        <f>CORREL(Table1[MonthlyIncome],AK121:AK1590)</f>
        <v>-3.1122893466911116E-2</v>
      </c>
      <c r="AN121">
        <f>CORREL(Table1[YearsAtCompany],AK121:AK1590)</f>
        <v>6.762626112159424E-3</v>
      </c>
      <c r="AO121">
        <f t="shared" si="1"/>
        <v>0</v>
      </c>
    </row>
    <row r="122" spans="1:41" x14ac:dyDescent="0.25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  <c r="AK122" s="4">
        <f>IF(Table1[[#This Row],[Attrition]]="Yes", 1,0)</f>
        <v>0</v>
      </c>
      <c r="AL122">
        <f>CORREL(Table1[Age],AK122:AK1591)</f>
        <v>-3.7389418293901071E-2</v>
      </c>
      <c r="AM122">
        <f>CORREL(Table1[MonthlyIncome],AK122:AK1591)</f>
        <v>-3.3551673624385069E-2</v>
      </c>
      <c r="AN122">
        <f>CORREL(Table1[YearsAtCompany],AK122:AK1591)</f>
        <v>-2.8884920833949456E-2</v>
      </c>
      <c r="AO122">
        <f t="shared" si="1"/>
        <v>0</v>
      </c>
    </row>
    <row r="123" spans="1:41" x14ac:dyDescent="0.25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  <c r="AK123" s="4">
        <f>IF(Table1[[#This Row],[Attrition]]="Yes", 1,0)</f>
        <v>0</v>
      </c>
      <c r="AL123">
        <f>CORREL(Table1[Age],AK123:AK1592)</f>
        <v>-2.4651397283627023E-2</v>
      </c>
      <c r="AM123">
        <f>CORREL(Table1[MonthlyIncome],AK123:AK1592)</f>
        <v>-1.5846931840467864E-2</v>
      </c>
      <c r="AN123">
        <f>CORREL(Table1[YearsAtCompany],AK123:AK1592)</f>
        <v>-2.2629301849836293E-3</v>
      </c>
      <c r="AO123">
        <f t="shared" si="1"/>
        <v>0</v>
      </c>
    </row>
    <row r="124" spans="1:41" x14ac:dyDescent="0.25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  <c r="AK124" s="4">
        <f>IF(Table1[[#This Row],[Attrition]]="Yes", 1,0)</f>
        <v>1</v>
      </c>
      <c r="AL124">
        <f>CORREL(Table1[Age],AK124:AK1593)</f>
        <v>2.4763987146600788E-2</v>
      </c>
      <c r="AM124">
        <f>CORREL(Table1[MonthlyIncome],AK124:AK1593)</f>
        <v>4.7323672910614747E-2</v>
      </c>
      <c r="AN124">
        <f>CORREL(Table1[YearsAtCompany],AK124:AK1593)</f>
        <v>2.0475437116709141E-2</v>
      </c>
      <c r="AO124">
        <f t="shared" si="1"/>
        <v>1</v>
      </c>
    </row>
    <row r="125" spans="1:41" x14ac:dyDescent="0.25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  <c r="AK125" s="4">
        <f>IF(Table1[[#This Row],[Attrition]]="Yes", 1,0)</f>
        <v>0</v>
      </c>
      <c r="AL125">
        <f>CORREL(Table1[Age],AK125:AK1594)</f>
        <v>-7.7306126123528546E-3</v>
      </c>
      <c r="AM125">
        <f>CORREL(Table1[MonthlyIncome],AK125:AK1594)</f>
        <v>-8.6243159382858245E-3</v>
      </c>
      <c r="AN125">
        <f>CORREL(Table1[YearsAtCompany],AK125:AK1594)</f>
        <v>-1.9728193514398296E-2</v>
      </c>
      <c r="AO125">
        <f t="shared" si="1"/>
        <v>0</v>
      </c>
    </row>
    <row r="126" spans="1:41" x14ac:dyDescent="0.25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  <c r="AK126" s="4">
        <f>IF(Table1[[#This Row],[Attrition]]="Yes", 1,0)</f>
        <v>1</v>
      </c>
      <c r="AL126">
        <f>CORREL(Table1[Age],AK126:AK1595)</f>
        <v>1.3199554861864325E-2</v>
      </c>
      <c r="AM126">
        <f>CORREL(Table1[MonthlyIncome],AK126:AK1595)</f>
        <v>-1.8783791439630385E-2</v>
      </c>
      <c r="AN126">
        <f>CORREL(Table1[YearsAtCompany],AK126:AK1595)</f>
        <v>-2.1254211117396629E-2</v>
      </c>
      <c r="AO126">
        <f t="shared" si="1"/>
        <v>1</v>
      </c>
    </row>
    <row r="127" spans="1:41" x14ac:dyDescent="0.25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  <c r="AK127" s="4">
        <f>IF(Table1[[#This Row],[Attrition]]="Yes", 1,0)</f>
        <v>0</v>
      </c>
      <c r="AL127">
        <f>CORREL(Table1[Age],AK127:AK1596)</f>
        <v>-3.1973598671114156E-2</v>
      </c>
      <c r="AM127">
        <f>CORREL(Table1[MonthlyIncome],AK127:AK1596)</f>
        <v>5.8780683296666663E-4</v>
      </c>
      <c r="AN127">
        <f>CORREL(Table1[YearsAtCompany],AK127:AK1596)</f>
        <v>-1.3673896792036729E-2</v>
      </c>
      <c r="AO127">
        <f t="shared" si="1"/>
        <v>0</v>
      </c>
    </row>
    <row r="128" spans="1:41" x14ac:dyDescent="0.25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  <c r="AK128" s="4">
        <f>IF(Table1[[#This Row],[Attrition]]="Yes", 1,0)</f>
        <v>1</v>
      </c>
      <c r="AL128">
        <f>CORREL(Table1[Age],AK128:AK1597)</f>
        <v>-3.6816230841402862E-2</v>
      </c>
      <c r="AM128">
        <f>CORREL(Table1[MonthlyIncome],AK128:AK1597)</f>
        <v>-1.4748954750840983E-2</v>
      </c>
      <c r="AN128">
        <f>CORREL(Table1[YearsAtCompany],AK128:AK1597)</f>
        <v>3.201553408969091E-3</v>
      </c>
      <c r="AO128">
        <f t="shared" si="1"/>
        <v>1</v>
      </c>
    </row>
    <row r="129" spans="1:41" x14ac:dyDescent="0.25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  <c r="AK129" s="4">
        <f>IF(Table1[[#This Row],[Attrition]]="Yes", 1,0)</f>
        <v>1</v>
      </c>
      <c r="AL129">
        <f>CORREL(Table1[Age],AK129:AK1598)</f>
        <v>6.7073338169496739E-3</v>
      </c>
      <c r="AM129">
        <f>CORREL(Table1[MonthlyIncome],AK129:AK1598)</f>
        <v>3.2492635479469435E-2</v>
      </c>
      <c r="AN129">
        <f>CORREL(Table1[YearsAtCompany],AK129:AK1598)</f>
        <v>2.9505562095919563E-2</v>
      </c>
      <c r="AO129">
        <f t="shared" si="1"/>
        <v>1</v>
      </c>
    </row>
    <row r="130" spans="1:41" x14ac:dyDescent="0.25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  <c r="AK130" s="4">
        <f>IF(Table1[[#This Row],[Attrition]]="Yes", 1,0)</f>
        <v>0</v>
      </c>
      <c r="AL130">
        <f>CORREL(Table1[Age],AK130:AK1599)</f>
        <v>3.5782598296230705E-2</v>
      </c>
      <c r="AM130">
        <f>CORREL(Table1[MonthlyIncome],AK130:AK1599)</f>
        <v>6.1753777510358404E-2</v>
      </c>
      <c r="AN130">
        <f>CORREL(Table1[YearsAtCompany],AK130:AK1599)</f>
        <v>-1.363936869554896E-3</v>
      </c>
      <c r="AO130">
        <f t="shared" si="1"/>
        <v>0</v>
      </c>
    </row>
    <row r="131" spans="1:41" x14ac:dyDescent="0.25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  <c r="AK131" s="4">
        <f>IF(Table1[[#This Row],[Attrition]]="Yes", 1,0)</f>
        <v>0</v>
      </c>
      <c r="AL131">
        <f>CORREL(Table1[Age],AK131:AK1600)</f>
        <v>-7.7519842405784451E-3</v>
      </c>
      <c r="AM131">
        <f>CORREL(Table1[MonthlyIncome],AK131:AK1600)</f>
        <v>-1.8290720773416758E-2</v>
      </c>
      <c r="AN131">
        <f>CORREL(Table1[YearsAtCompany],AK131:AK1600)</f>
        <v>-1.399775528833541E-2</v>
      </c>
      <c r="AO131">
        <f t="shared" ref="AO131:AO194" si="2">ABS(AK131)</f>
        <v>0</v>
      </c>
    </row>
    <row r="132" spans="1:41" x14ac:dyDescent="0.25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  <c r="AK132" s="4">
        <f>IF(Table1[[#This Row],[Attrition]]="Yes", 1,0)</f>
        <v>0</v>
      </c>
      <c r="AL132">
        <f>CORREL(Table1[Age],AK132:AK1601)</f>
        <v>1.3439337226696445E-2</v>
      </c>
      <c r="AM132">
        <f>CORREL(Table1[MonthlyIncome],AK132:AK1601)</f>
        <v>-3.1544938211964545E-2</v>
      </c>
      <c r="AN132">
        <f>CORREL(Table1[YearsAtCompany],AK132:AK1601)</f>
        <v>-3.1883579219502842E-2</v>
      </c>
      <c r="AO132">
        <f t="shared" si="2"/>
        <v>0</v>
      </c>
    </row>
    <row r="133" spans="1:41" x14ac:dyDescent="0.25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  <c r="AK133" s="4">
        <f>IF(Table1[[#This Row],[Attrition]]="Yes", 1,0)</f>
        <v>0</v>
      </c>
      <c r="AL133">
        <f>CORREL(Table1[Age],AK133:AK1602)</f>
        <v>-1.4623984971530407E-3</v>
      </c>
      <c r="AM133">
        <f>CORREL(Table1[MonthlyIncome],AK133:AK1602)</f>
        <v>-6.2399161320064647E-3</v>
      </c>
      <c r="AN133">
        <f>CORREL(Table1[YearsAtCompany],AK133:AK1602)</f>
        <v>6.8387642842814627E-3</v>
      </c>
      <c r="AO133">
        <f t="shared" si="2"/>
        <v>0</v>
      </c>
    </row>
    <row r="134" spans="1:41" x14ac:dyDescent="0.25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  <c r="AK134" s="4">
        <f>IF(Table1[[#This Row],[Attrition]]="Yes", 1,0)</f>
        <v>1</v>
      </c>
      <c r="AL134">
        <f>CORREL(Table1[Age],AK134:AK1603)</f>
        <v>-2.9384411495798721E-2</v>
      </c>
      <c r="AM134">
        <f>CORREL(Table1[MonthlyIncome],AK134:AK1603)</f>
        <v>-1.0143836758215761E-2</v>
      </c>
      <c r="AN134">
        <f>CORREL(Table1[YearsAtCompany],AK134:AK1603)</f>
        <v>-5.9459879244340548E-2</v>
      </c>
      <c r="AO134">
        <f t="shared" si="2"/>
        <v>1</v>
      </c>
    </row>
    <row r="135" spans="1:41" x14ac:dyDescent="0.25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  <c r="AK135" s="4">
        <f>IF(Table1[[#This Row],[Attrition]]="Yes", 1,0)</f>
        <v>0</v>
      </c>
      <c r="AL135">
        <f>CORREL(Table1[Age],AK135:AK1604)</f>
        <v>-1.5351184481363515E-2</v>
      </c>
      <c r="AM135">
        <f>CORREL(Table1[MonthlyIncome],AK135:AK1604)</f>
        <v>-8.8356867036381414E-3</v>
      </c>
      <c r="AN135">
        <f>CORREL(Table1[YearsAtCompany],AK135:AK1604)</f>
        <v>3.7488608185425029E-2</v>
      </c>
      <c r="AO135">
        <f t="shared" si="2"/>
        <v>0</v>
      </c>
    </row>
    <row r="136" spans="1:41" x14ac:dyDescent="0.25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  <c r="AK136" s="4">
        <f>IF(Table1[[#This Row],[Attrition]]="Yes", 1,0)</f>
        <v>0</v>
      </c>
      <c r="AL136">
        <f>CORREL(Table1[Age],AK136:AK1605)</f>
        <v>1.9267999473544961E-2</v>
      </c>
      <c r="AM136">
        <f>CORREL(Table1[MonthlyIncome],AK136:AK1605)</f>
        <v>-1.8017547827908469E-2</v>
      </c>
      <c r="AN136">
        <f>CORREL(Table1[YearsAtCompany],AK136:AK1605)</f>
        <v>-2.415230753345101E-2</v>
      </c>
      <c r="AO136">
        <f t="shared" si="2"/>
        <v>0</v>
      </c>
    </row>
    <row r="137" spans="1:41" x14ac:dyDescent="0.25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  <c r="AK137" s="4">
        <f>IF(Table1[[#This Row],[Attrition]]="Yes", 1,0)</f>
        <v>0</v>
      </c>
      <c r="AL137">
        <f>CORREL(Table1[Age],AK137:AK1606)</f>
        <v>2.2898039630564842E-2</v>
      </c>
      <c r="AM137">
        <f>CORREL(Table1[MonthlyIncome],AK137:AK1606)</f>
        <v>-6.7545001095610183E-3</v>
      </c>
      <c r="AN137">
        <f>CORREL(Table1[YearsAtCompany],AK137:AK1606)</f>
        <v>-3.3548030976185287E-3</v>
      </c>
      <c r="AO137">
        <f t="shared" si="2"/>
        <v>0</v>
      </c>
    </row>
    <row r="138" spans="1:41" x14ac:dyDescent="0.25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  <c r="AK138" s="4">
        <f>IF(Table1[[#This Row],[Attrition]]="Yes", 1,0)</f>
        <v>1</v>
      </c>
      <c r="AL138">
        <f>CORREL(Table1[Age],AK138:AK1607)</f>
        <v>5.2132512653798667E-2</v>
      </c>
      <c r="AM138">
        <f>CORREL(Table1[MonthlyIncome],AK138:AK1607)</f>
        <v>4.4412394812701444E-4</v>
      </c>
      <c r="AN138">
        <f>CORREL(Table1[YearsAtCompany],AK138:AK1607)</f>
        <v>3.0224181476594822E-2</v>
      </c>
      <c r="AO138">
        <f t="shared" si="2"/>
        <v>1</v>
      </c>
    </row>
    <row r="139" spans="1:41" x14ac:dyDescent="0.25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  <c r="AK139" s="4">
        <f>IF(Table1[[#This Row],[Attrition]]="Yes", 1,0)</f>
        <v>0</v>
      </c>
      <c r="AL139">
        <f>CORREL(Table1[Age],AK139:AK1608)</f>
        <v>1.7472621886994476E-3</v>
      </c>
      <c r="AM139">
        <f>CORREL(Table1[MonthlyIncome],AK139:AK1608)</f>
        <v>4.8937362647478375E-2</v>
      </c>
      <c r="AN139">
        <f>CORREL(Table1[YearsAtCompany],AK139:AK1608)</f>
        <v>1.912532585241207E-2</v>
      </c>
      <c r="AO139">
        <f t="shared" si="2"/>
        <v>0</v>
      </c>
    </row>
    <row r="140" spans="1:41" x14ac:dyDescent="0.25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  <c r="AK140" s="4">
        <f>IF(Table1[[#This Row],[Attrition]]="Yes", 1,0)</f>
        <v>0</v>
      </c>
      <c r="AL140">
        <f>CORREL(Table1[Age],AK140:AK1609)</f>
        <v>-1.9049083121370523E-2</v>
      </c>
      <c r="AM140">
        <f>CORREL(Table1[MonthlyIncome],AK140:AK1609)</f>
        <v>-2.0046052741962805E-2</v>
      </c>
      <c r="AN140">
        <f>CORREL(Table1[YearsAtCompany],AK140:AK1609)</f>
        <v>9.2472183820009376E-3</v>
      </c>
      <c r="AO140">
        <f t="shared" si="2"/>
        <v>0</v>
      </c>
    </row>
    <row r="141" spans="1:41" x14ac:dyDescent="0.25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  <c r="AK141" s="4">
        <f>IF(Table1[[#This Row],[Attrition]]="Yes", 1,0)</f>
        <v>0</v>
      </c>
      <c r="AL141">
        <f>CORREL(Table1[Age],AK141:AK1610)</f>
        <v>1.212121194999936E-2</v>
      </c>
      <c r="AM141">
        <f>CORREL(Table1[MonthlyIncome],AK141:AK1610)</f>
        <v>4.6354927908371237E-2</v>
      </c>
      <c r="AN141">
        <f>CORREL(Table1[YearsAtCompany],AK141:AK1610)</f>
        <v>1.9318501631275221E-2</v>
      </c>
      <c r="AO141">
        <f t="shared" si="2"/>
        <v>0</v>
      </c>
    </row>
    <row r="142" spans="1:41" x14ac:dyDescent="0.25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  <c r="AK142" s="4">
        <f>IF(Table1[[#This Row],[Attrition]]="Yes", 1,0)</f>
        <v>1</v>
      </c>
      <c r="AL142">
        <f>CORREL(Table1[Age],AK142:AK1611)</f>
        <v>-3.5062624724593251E-3</v>
      </c>
      <c r="AM142">
        <f>CORREL(Table1[MonthlyIncome],AK142:AK1611)</f>
        <v>-3.1473506750926222E-2</v>
      </c>
      <c r="AN142">
        <f>CORREL(Table1[YearsAtCompany],AK142:AK1611)</f>
        <v>-2.2232464318673126E-2</v>
      </c>
      <c r="AO142">
        <f t="shared" si="2"/>
        <v>1</v>
      </c>
    </row>
    <row r="143" spans="1:41" x14ac:dyDescent="0.25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  <c r="AK143" s="4">
        <f>IF(Table1[[#This Row],[Attrition]]="Yes", 1,0)</f>
        <v>0</v>
      </c>
      <c r="AL143">
        <f>CORREL(Table1[Age],AK143:AK1612)</f>
        <v>2.8403599282415724E-2</v>
      </c>
      <c r="AM143">
        <f>CORREL(Table1[MonthlyIncome],AK143:AK1612)</f>
        <v>2.42178989412941E-2</v>
      </c>
      <c r="AN143">
        <f>CORREL(Table1[YearsAtCompany],AK143:AK1612)</f>
        <v>6.2676233229414458E-2</v>
      </c>
      <c r="AO143">
        <f t="shared" si="2"/>
        <v>0</v>
      </c>
    </row>
    <row r="144" spans="1:41" x14ac:dyDescent="0.25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  <c r="AK144" s="4">
        <f>IF(Table1[[#This Row],[Attrition]]="Yes", 1,0)</f>
        <v>0</v>
      </c>
      <c r="AL144">
        <f>CORREL(Table1[Age],AK144:AK1613)</f>
        <v>3.8944225528954476E-3</v>
      </c>
      <c r="AM144">
        <f>CORREL(Table1[MonthlyIncome],AK144:AK1613)</f>
        <v>-2.1812635047949079E-2</v>
      </c>
      <c r="AN144">
        <f>CORREL(Table1[YearsAtCompany],AK144:AK1613)</f>
        <v>2.1638618239096775E-2</v>
      </c>
      <c r="AO144">
        <f t="shared" si="2"/>
        <v>0</v>
      </c>
    </row>
    <row r="145" spans="1:41" x14ac:dyDescent="0.25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  <c r="AK145" s="4">
        <f>IF(Table1[[#This Row],[Attrition]]="Yes", 1,0)</f>
        <v>0</v>
      </c>
      <c r="AL145">
        <f>CORREL(Table1[Age],AK145:AK1614)</f>
        <v>6.2324023823274628E-3</v>
      </c>
      <c r="AM145">
        <f>CORREL(Table1[MonthlyIncome],AK145:AK1614)</f>
        <v>4.4887496288903497E-2</v>
      </c>
      <c r="AN145">
        <f>CORREL(Table1[YearsAtCompany],AK145:AK1614)</f>
        <v>5.3544947175650552E-2</v>
      </c>
      <c r="AO145">
        <f t="shared" si="2"/>
        <v>0</v>
      </c>
    </row>
    <row r="146" spans="1:41" x14ac:dyDescent="0.25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  <c r="AK146" s="4">
        <f>IF(Table1[[#This Row],[Attrition]]="Yes", 1,0)</f>
        <v>0</v>
      </c>
      <c r="AL146">
        <f>CORREL(Table1[Age],AK146:AK1615)</f>
        <v>-1.476877041119878E-2</v>
      </c>
      <c r="AM146">
        <f>CORREL(Table1[MonthlyIncome],AK146:AK1615)</f>
        <v>-2.4203082324520144E-2</v>
      </c>
      <c r="AN146">
        <f>CORREL(Table1[YearsAtCompany],AK146:AK1615)</f>
        <v>1.3403762833577566E-2</v>
      </c>
      <c r="AO146">
        <f t="shared" si="2"/>
        <v>0</v>
      </c>
    </row>
    <row r="147" spans="1:41" x14ac:dyDescent="0.25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  <c r="AK147" s="4">
        <f>IF(Table1[[#This Row],[Attrition]]="Yes", 1,0)</f>
        <v>0</v>
      </c>
      <c r="AL147">
        <f>CORREL(Table1[Age],AK147:AK1616)</f>
        <v>1.6539568323230142E-2</v>
      </c>
      <c r="AM147">
        <f>CORREL(Table1[MonthlyIncome],AK147:AK1616)</f>
        <v>-2.1844674275541685E-2</v>
      </c>
      <c r="AN147">
        <f>CORREL(Table1[YearsAtCompany],AK147:AK1616)</f>
        <v>1.3983123889768476E-3</v>
      </c>
      <c r="AO147">
        <f t="shared" si="2"/>
        <v>0</v>
      </c>
    </row>
    <row r="148" spans="1:41" x14ac:dyDescent="0.25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  <c r="AK148" s="4">
        <f>IF(Table1[[#This Row],[Attrition]]="Yes", 1,0)</f>
        <v>0</v>
      </c>
      <c r="AL148">
        <f>CORREL(Table1[Age],AK148:AK1617)</f>
        <v>-2.1827294822868614E-2</v>
      </c>
      <c r="AM148">
        <f>CORREL(Table1[MonthlyIncome],AK148:AK1617)</f>
        <v>-7.5665716748196735E-3</v>
      </c>
      <c r="AN148">
        <f>CORREL(Table1[YearsAtCompany],AK148:AK1617)</f>
        <v>5.0574333733411211E-3</v>
      </c>
      <c r="AO148">
        <f t="shared" si="2"/>
        <v>0</v>
      </c>
    </row>
    <row r="149" spans="1:41" x14ac:dyDescent="0.25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  <c r="AK149" s="4">
        <f>IF(Table1[[#This Row],[Attrition]]="Yes", 1,0)</f>
        <v>0</v>
      </c>
      <c r="AL149">
        <f>CORREL(Table1[Age],AK149:AK1618)</f>
        <v>-2.8657684444416666E-2</v>
      </c>
      <c r="AM149">
        <f>CORREL(Table1[MonthlyIncome],AK149:AK1618)</f>
        <v>-1.5879587902822116E-2</v>
      </c>
      <c r="AN149">
        <f>CORREL(Table1[YearsAtCompany],AK149:AK1618)</f>
        <v>-3.6412725504644305E-2</v>
      </c>
      <c r="AO149">
        <f t="shared" si="2"/>
        <v>0</v>
      </c>
    </row>
    <row r="150" spans="1:41" x14ac:dyDescent="0.25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  <c r="AK150" s="4">
        <f>IF(Table1[[#This Row],[Attrition]]="Yes", 1,0)</f>
        <v>0</v>
      </c>
      <c r="AL150">
        <f>CORREL(Table1[Age],AK150:AK1619)</f>
        <v>-3.0813989824975019E-2</v>
      </c>
      <c r="AM150">
        <f>CORREL(Table1[MonthlyIncome],AK150:AK1619)</f>
        <v>8.1937991040010923E-3</v>
      </c>
      <c r="AN150">
        <f>CORREL(Table1[YearsAtCompany],AK150:AK1619)</f>
        <v>3.8562251906086246E-2</v>
      </c>
      <c r="AO150">
        <f t="shared" si="2"/>
        <v>0</v>
      </c>
    </row>
    <row r="151" spans="1:41" x14ac:dyDescent="0.25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  <c r="AK151" s="4">
        <f>IF(Table1[[#This Row],[Attrition]]="Yes", 1,0)</f>
        <v>0</v>
      </c>
      <c r="AL151">
        <f>CORREL(Table1[Age],AK151:AK1620)</f>
        <v>3.3247275238627097E-2</v>
      </c>
      <c r="AM151">
        <f>CORREL(Table1[MonthlyIncome],AK151:AK1620)</f>
        <v>1.8227583552627065E-3</v>
      </c>
      <c r="AN151">
        <f>CORREL(Table1[YearsAtCompany],AK151:AK1620)</f>
        <v>-7.2955407226490878E-3</v>
      </c>
      <c r="AO151">
        <f t="shared" si="2"/>
        <v>0</v>
      </c>
    </row>
    <row r="152" spans="1:41" x14ac:dyDescent="0.25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  <c r="AK152" s="4">
        <f>IF(Table1[[#This Row],[Attrition]]="Yes", 1,0)</f>
        <v>0</v>
      </c>
      <c r="AL152">
        <f>CORREL(Table1[Age],AK152:AK1621)</f>
        <v>-3.2539802558519182E-2</v>
      </c>
      <c r="AM152">
        <f>CORREL(Table1[MonthlyIncome],AK152:AK1621)</f>
        <v>5.0638527824529442E-3</v>
      </c>
      <c r="AN152">
        <f>CORREL(Table1[YearsAtCompany],AK152:AK1621)</f>
        <v>3.6359535051719736E-3</v>
      </c>
      <c r="AO152">
        <f t="shared" si="2"/>
        <v>0</v>
      </c>
    </row>
    <row r="153" spans="1:41" x14ac:dyDescent="0.25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  <c r="AK153" s="4">
        <f>IF(Table1[[#This Row],[Attrition]]="Yes", 1,0)</f>
        <v>0</v>
      </c>
      <c r="AL153">
        <f>CORREL(Table1[Age],AK153:AK1622)</f>
        <v>-5.5392488106648256E-2</v>
      </c>
      <c r="AM153">
        <f>CORREL(Table1[MonthlyIncome],AK153:AK1622)</f>
        <v>-2.1169301143436407E-2</v>
      </c>
      <c r="AN153">
        <f>CORREL(Table1[YearsAtCompany],AK153:AK1622)</f>
        <v>1.9321105511170148E-3</v>
      </c>
      <c r="AO153">
        <f t="shared" si="2"/>
        <v>0</v>
      </c>
    </row>
    <row r="154" spans="1:41" x14ac:dyDescent="0.25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  <c r="AK154" s="4">
        <f>IF(Table1[[#This Row],[Attrition]]="Yes", 1,0)</f>
        <v>0</v>
      </c>
      <c r="AL154">
        <f>CORREL(Table1[Age],AK154:AK1623)</f>
        <v>3.02931912301465E-2</v>
      </c>
      <c r="AM154">
        <f>CORREL(Table1[MonthlyIncome],AK154:AK1623)</f>
        <v>1.7775266691259946E-2</v>
      </c>
      <c r="AN154">
        <f>CORREL(Table1[YearsAtCompany],AK154:AK1623)</f>
        <v>-3.6835075428727999E-2</v>
      </c>
      <c r="AO154">
        <f t="shared" si="2"/>
        <v>0</v>
      </c>
    </row>
    <row r="155" spans="1:41" x14ac:dyDescent="0.25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  <c r="AK155" s="4">
        <f>IF(Table1[[#This Row],[Attrition]]="Yes", 1,0)</f>
        <v>0</v>
      </c>
      <c r="AL155">
        <f>CORREL(Table1[Age],AK155:AK1624)</f>
        <v>2.4109394848412981E-2</v>
      </c>
      <c r="AM155">
        <f>CORREL(Table1[MonthlyIncome],AK155:AK1624)</f>
        <v>-1.3511235456054486E-2</v>
      </c>
      <c r="AN155">
        <f>CORREL(Table1[YearsAtCompany],AK155:AK1624)</f>
        <v>-6.9585160442140158E-3</v>
      </c>
      <c r="AO155">
        <f t="shared" si="2"/>
        <v>0</v>
      </c>
    </row>
    <row r="156" spans="1:41" x14ac:dyDescent="0.25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  <c r="AK156" s="4">
        <f>IF(Table1[[#This Row],[Attrition]]="Yes", 1,0)</f>
        <v>0</v>
      </c>
      <c r="AL156">
        <f>CORREL(Table1[Age],AK156:AK1625)</f>
        <v>9.0530047456959077E-3</v>
      </c>
      <c r="AM156">
        <f>CORREL(Table1[MonthlyIncome],AK156:AK1625)</f>
        <v>2.0371581712362686E-2</v>
      </c>
      <c r="AN156">
        <f>CORREL(Table1[YearsAtCompany],AK156:AK1625)</f>
        <v>3.0694713684603279E-2</v>
      </c>
      <c r="AO156">
        <f t="shared" si="2"/>
        <v>0</v>
      </c>
    </row>
    <row r="157" spans="1:41" x14ac:dyDescent="0.25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  <c r="AK157" s="4">
        <f>IF(Table1[[#This Row],[Attrition]]="Yes", 1,0)</f>
        <v>0</v>
      </c>
      <c r="AL157">
        <f>CORREL(Table1[Age],AK157:AK1626)</f>
        <v>5.4232277331818365E-3</v>
      </c>
      <c r="AM157">
        <f>CORREL(Table1[MonthlyIncome],AK157:AK1626)</f>
        <v>-3.6532238258363318E-3</v>
      </c>
      <c r="AN157">
        <f>CORREL(Table1[YearsAtCompany],AK157:AK1626)</f>
        <v>9.717367420063237E-3</v>
      </c>
      <c r="AO157">
        <f t="shared" si="2"/>
        <v>0</v>
      </c>
    </row>
    <row r="158" spans="1:41" x14ac:dyDescent="0.25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  <c r="AK158" s="4">
        <f>IF(Table1[[#This Row],[Attrition]]="Yes", 1,0)</f>
        <v>0</v>
      </c>
      <c r="AL158">
        <f>CORREL(Table1[Age],AK158:AK1627)</f>
        <v>-3.2948825056887128E-2</v>
      </c>
      <c r="AM158">
        <f>CORREL(Table1[MonthlyIncome],AK158:AK1627)</f>
        <v>1.4437832075687058E-2</v>
      </c>
      <c r="AN158">
        <f>CORREL(Table1[YearsAtCompany],AK158:AK1627)</f>
        <v>8.7705385518387548E-3</v>
      </c>
      <c r="AO158">
        <f t="shared" si="2"/>
        <v>0</v>
      </c>
    </row>
    <row r="159" spans="1:41" x14ac:dyDescent="0.25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  <c r="AK159" s="4">
        <f>IF(Table1[[#This Row],[Attrition]]="Yes", 1,0)</f>
        <v>0</v>
      </c>
      <c r="AL159">
        <f>CORREL(Table1[Age],AK159:AK1628)</f>
        <v>3.4886730833645054E-2</v>
      </c>
      <c r="AM159">
        <f>CORREL(Table1[MonthlyIncome],AK159:AK1628)</f>
        <v>-8.1053745963662691E-3</v>
      </c>
      <c r="AN159">
        <f>CORREL(Table1[YearsAtCompany],AK159:AK1628)</f>
        <v>7.1704343246839506E-3</v>
      </c>
      <c r="AO159">
        <f t="shared" si="2"/>
        <v>0</v>
      </c>
    </row>
    <row r="160" spans="1:41" x14ac:dyDescent="0.25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  <c r="AK160" s="4">
        <f>IF(Table1[[#This Row],[Attrition]]="Yes", 1,0)</f>
        <v>0</v>
      </c>
      <c r="AL160">
        <f>CORREL(Table1[Age],AK160:AK1629)</f>
        <v>-2.7174695683037119E-2</v>
      </c>
      <c r="AM160">
        <f>CORREL(Table1[MonthlyIncome],AK160:AK1629)</f>
        <v>2.4798674533951636E-3</v>
      </c>
      <c r="AN160">
        <f>CORREL(Table1[YearsAtCompany],AK160:AK1629)</f>
        <v>-1.3501992418005225E-2</v>
      </c>
      <c r="AO160">
        <f t="shared" si="2"/>
        <v>0</v>
      </c>
    </row>
    <row r="161" spans="1:41" x14ac:dyDescent="0.25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  <c r="AK161" s="4">
        <f>IF(Table1[[#This Row],[Attrition]]="Yes", 1,0)</f>
        <v>0</v>
      </c>
      <c r="AL161">
        <f>CORREL(Table1[Age],AK161:AK1630)</f>
        <v>1.3803399423957809E-3</v>
      </c>
      <c r="AM161">
        <f>CORREL(Table1[MonthlyIncome],AK161:AK1630)</f>
        <v>-2.1089049619723334E-2</v>
      </c>
      <c r="AN161">
        <f>CORREL(Table1[YearsAtCompany],AK161:AK1630)</f>
        <v>5.8091053476655528E-3</v>
      </c>
      <c r="AO161">
        <f t="shared" si="2"/>
        <v>0</v>
      </c>
    </row>
    <row r="162" spans="1:41" x14ac:dyDescent="0.25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  <c r="AK162" s="4">
        <f>IF(Table1[[#This Row],[Attrition]]="Yes", 1,0)</f>
        <v>0</v>
      </c>
      <c r="AL162">
        <f>CORREL(Table1[Age],AK162:AK1631)</f>
        <v>5.3077622569197881E-3</v>
      </c>
      <c r="AM162">
        <f>CORREL(Table1[MonthlyIncome],AK162:AK1631)</f>
        <v>2.4578317631306145E-2</v>
      </c>
      <c r="AN162">
        <f>CORREL(Table1[YearsAtCompany],AK162:AK1631)</f>
        <v>4.5947239698487505E-2</v>
      </c>
      <c r="AO162">
        <f t="shared" si="2"/>
        <v>0</v>
      </c>
    </row>
    <row r="163" spans="1:41" x14ac:dyDescent="0.25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  <c r="AK163" s="4">
        <f>IF(Table1[[#This Row],[Attrition]]="Yes", 1,0)</f>
        <v>0</v>
      </c>
      <c r="AL163">
        <f>CORREL(Table1[Age],AK163:AK1632)</f>
        <v>2.2983776568673099E-2</v>
      </c>
      <c r="AM163">
        <f>CORREL(Table1[MonthlyIncome],AK163:AK1632)</f>
        <v>1.5179844760579901E-2</v>
      </c>
      <c r="AN163">
        <f>CORREL(Table1[YearsAtCompany],AK163:AK1632)</f>
        <v>7.5572698825491483E-4</v>
      </c>
      <c r="AO163">
        <f t="shared" si="2"/>
        <v>0</v>
      </c>
    </row>
    <row r="164" spans="1:41" x14ac:dyDescent="0.25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  <c r="AK164" s="4">
        <f>IF(Table1[[#This Row],[Attrition]]="Yes", 1,0)</f>
        <v>0</v>
      </c>
      <c r="AL164">
        <f>CORREL(Table1[Age],AK164:AK1633)</f>
        <v>-2.8714117905599169E-2</v>
      </c>
      <c r="AM164">
        <f>CORREL(Table1[MonthlyIncome],AK164:AK1633)</f>
        <v>1.7517717366228678E-2</v>
      </c>
      <c r="AN164">
        <f>CORREL(Table1[YearsAtCompany],AK164:AK1633)</f>
        <v>2.5978823940691082E-2</v>
      </c>
      <c r="AO164">
        <f t="shared" si="2"/>
        <v>0</v>
      </c>
    </row>
    <row r="165" spans="1:41" x14ac:dyDescent="0.25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  <c r="AK165" s="4">
        <f>IF(Table1[[#This Row],[Attrition]]="Yes", 1,0)</f>
        <v>0</v>
      </c>
      <c r="AL165">
        <f>CORREL(Table1[Age],AK165:AK1634)</f>
        <v>-3.0184730650179219E-2</v>
      </c>
      <c r="AM165">
        <f>CORREL(Table1[MonthlyIncome],AK165:AK1634)</f>
        <v>-1.2134986043765157E-2</v>
      </c>
      <c r="AN165">
        <f>CORREL(Table1[YearsAtCompany],AK165:AK1634)</f>
        <v>2.3791788439415703E-3</v>
      </c>
      <c r="AO165">
        <f t="shared" si="2"/>
        <v>0</v>
      </c>
    </row>
    <row r="166" spans="1:41" x14ac:dyDescent="0.25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  <c r="AK166" s="4">
        <f>IF(Table1[[#This Row],[Attrition]]="Yes", 1,0)</f>
        <v>0</v>
      </c>
      <c r="AL166">
        <f>CORREL(Table1[Age],AK166:AK1635)</f>
        <v>1.2317711305435807E-2</v>
      </c>
      <c r="AM166">
        <f>CORREL(Table1[MonthlyIncome],AK166:AK1635)</f>
        <v>-5.9908237588168958E-3</v>
      </c>
      <c r="AN166">
        <f>CORREL(Table1[YearsAtCompany],AK166:AK1635)</f>
        <v>-1.5216450663225845E-2</v>
      </c>
      <c r="AO166">
        <f t="shared" si="2"/>
        <v>0</v>
      </c>
    </row>
    <row r="167" spans="1:41" x14ac:dyDescent="0.25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  <c r="AK167" s="4">
        <f>IF(Table1[[#This Row],[Attrition]]="Yes", 1,0)</f>
        <v>0</v>
      </c>
      <c r="AL167">
        <f>CORREL(Table1[Age],AK167:AK1636)</f>
        <v>1.7484907376213079E-2</v>
      </c>
      <c r="AM167">
        <f>CORREL(Table1[MonthlyIncome],AK167:AK1636)</f>
        <v>3.6281669551368891E-2</v>
      </c>
      <c r="AN167">
        <f>CORREL(Table1[YearsAtCompany],AK167:AK1636)</f>
        <v>-2.2906982915417391E-2</v>
      </c>
      <c r="AO167">
        <f t="shared" si="2"/>
        <v>0</v>
      </c>
    </row>
    <row r="168" spans="1:41" x14ac:dyDescent="0.25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  <c r="AK168" s="4">
        <f>IF(Table1[[#This Row],[Attrition]]="Yes", 1,0)</f>
        <v>0</v>
      </c>
      <c r="AL168">
        <f>CORREL(Table1[Age],AK168:AK1637)</f>
        <v>-2.179893035275066E-2</v>
      </c>
      <c r="AM168">
        <f>CORREL(Table1[MonthlyIncome],AK168:AK1637)</f>
        <v>-1.3567730576039402E-2</v>
      </c>
      <c r="AN168">
        <f>CORREL(Table1[YearsAtCompany],AK168:AK1637)</f>
        <v>-3.226986208702546E-2</v>
      </c>
      <c r="AO168">
        <f t="shared" si="2"/>
        <v>0</v>
      </c>
    </row>
    <row r="169" spans="1:41" x14ac:dyDescent="0.25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  <c r="AK169" s="4">
        <f>IF(Table1[[#This Row],[Attrition]]="Yes", 1,0)</f>
        <v>0</v>
      </c>
      <c r="AL169">
        <f>CORREL(Table1[Age],AK169:AK1638)</f>
        <v>1.8880341026885173E-2</v>
      </c>
      <c r="AM169">
        <f>CORREL(Table1[MonthlyIncome],AK169:AK1638)</f>
        <v>-1.0887493633516014E-2</v>
      </c>
      <c r="AN169">
        <f>CORREL(Table1[YearsAtCompany],AK169:AK1638)</f>
        <v>-1.712726513142198E-2</v>
      </c>
      <c r="AO169">
        <f t="shared" si="2"/>
        <v>0</v>
      </c>
    </row>
    <row r="170" spans="1:41" x14ac:dyDescent="0.25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  <c r="AK170" s="4">
        <f>IF(Table1[[#This Row],[Attrition]]="Yes", 1,0)</f>
        <v>0</v>
      </c>
      <c r="AL170">
        <f>CORREL(Table1[Age],AK170:AK1639)</f>
        <v>-2.69548177194859E-2</v>
      </c>
      <c r="AM170">
        <f>CORREL(Table1[MonthlyIncome],AK170:AK1639)</f>
        <v>-3.1268499289671882E-2</v>
      </c>
      <c r="AN170">
        <f>CORREL(Table1[YearsAtCompany],AK170:AK1639)</f>
        <v>5.5434353823092392E-3</v>
      </c>
      <c r="AO170">
        <f t="shared" si="2"/>
        <v>0</v>
      </c>
    </row>
    <row r="171" spans="1:41" x14ac:dyDescent="0.25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  <c r="AK171" s="4">
        <f>IF(Table1[[#This Row],[Attrition]]="Yes", 1,0)</f>
        <v>0</v>
      </c>
      <c r="AL171">
        <f>CORREL(Table1[Age],AK171:AK1640)</f>
        <v>2.3687139111932274E-3</v>
      </c>
      <c r="AM171">
        <f>CORREL(Table1[MonthlyIncome],AK171:AK1640)</f>
        <v>2.5875808865313734E-2</v>
      </c>
      <c r="AN171">
        <f>CORREL(Table1[YearsAtCompany],AK171:AK1640)</f>
        <v>4.023801650490549E-3</v>
      </c>
      <c r="AO171">
        <f t="shared" si="2"/>
        <v>0</v>
      </c>
    </row>
    <row r="172" spans="1:41" x14ac:dyDescent="0.25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  <c r="AK172" s="4">
        <f>IF(Table1[[#This Row],[Attrition]]="Yes", 1,0)</f>
        <v>0</v>
      </c>
      <c r="AL172">
        <f>CORREL(Table1[Age],AK172:AK1641)</f>
        <v>4.5400416870918697E-2</v>
      </c>
      <c r="AM172">
        <f>CORREL(Table1[MonthlyIncome],AK172:AK1641)</f>
        <v>6.3953966838154658E-2</v>
      </c>
      <c r="AN172">
        <f>CORREL(Table1[YearsAtCompany],AK172:AK1641)</f>
        <v>4.0073237484305475E-2</v>
      </c>
      <c r="AO172">
        <f t="shared" si="2"/>
        <v>0</v>
      </c>
    </row>
    <row r="173" spans="1:41" x14ac:dyDescent="0.25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  <c r="AK173" s="4">
        <f>IF(Table1[[#This Row],[Attrition]]="Yes", 1,0)</f>
        <v>1</v>
      </c>
      <c r="AL173">
        <f>CORREL(Table1[Age],AK173:AK1642)</f>
        <v>-2.3288038610678366E-2</v>
      </c>
      <c r="AM173">
        <f>CORREL(Table1[MonthlyIncome],AK173:AK1642)</f>
        <v>-2.6600168482798722E-2</v>
      </c>
      <c r="AN173">
        <f>CORREL(Table1[YearsAtCompany],AK173:AK1642)</f>
        <v>-1.6385011987583128E-2</v>
      </c>
      <c r="AO173">
        <f t="shared" si="2"/>
        <v>1</v>
      </c>
    </row>
    <row r="174" spans="1:41" x14ac:dyDescent="0.25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  <c r="AK174" s="4">
        <f>IF(Table1[[#This Row],[Attrition]]="Yes", 1,0)</f>
        <v>0</v>
      </c>
      <c r="AL174">
        <f>CORREL(Table1[Age],AK174:AK1643)</f>
        <v>2.4739984759805898E-3</v>
      </c>
      <c r="AM174">
        <f>CORREL(Table1[MonthlyIncome],AK174:AK1643)</f>
        <v>3.2454379032706628E-2</v>
      </c>
      <c r="AN174">
        <f>CORREL(Table1[YearsAtCompany],AK174:AK1643)</f>
        <v>1.1595629002825883E-2</v>
      </c>
      <c r="AO174">
        <f t="shared" si="2"/>
        <v>0</v>
      </c>
    </row>
    <row r="175" spans="1:41" x14ac:dyDescent="0.25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  <c r="AK175" s="4">
        <f>IF(Table1[[#This Row],[Attrition]]="Yes", 1,0)</f>
        <v>0</v>
      </c>
      <c r="AL175">
        <f>CORREL(Table1[Age],AK175:AK1644)</f>
        <v>2.1203524719046379E-2</v>
      </c>
      <c r="AM175">
        <f>CORREL(Table1[MonthlyIncome],AK175:AK1644)</f>
        <v>-3.8717187770837837E-3</v>
      </c>
      <c r="AN175">
        <f>CORREL(Table1[YearsAtCompany],AK175:AK1644)</f>
        <v>-3.0196092421671684E-2</v>
      </c>
      <c r="AO175">
        <f t="shared" si="2"/>
        <v>0</v>
      </c>
    </row>
    <row r="176" spans="1:41" x14ac:dyDescent="0.25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  <c r="AK176" s="4">
        <f>IF(Table1[[#This Row],[Attrition]]="Yes", 1,0)</f>
        <v>0</v>
      </c>
      <c r="AL176">
        <f>CORREL(Table1[Age],AK176:AK1645)</f>
        <v>4.3279969389675529E-2</v>
      </c>
      <c r="AM176">
        <f>CORREL(Table1[MonthlyIncome],AK176:AK1645)</f>
        <v>2.6769333999523984E-2</v>
      </c>
      <c r="AN176">
        <f>CORREL(Table1[YearsAtCompany],AK176:AK1645)</f>
        <v>1.6192501380318906E-2</v>
      </c>
      <c r="AO176">
        <f t="shared" si="2"/>
        <v>0</v>
      </c>
    </row>
    <row r="177" spans="1:41" x14ac:dyDescent="0.25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  <c r="AK177" s="4">
        <f>IF(Table1[[#This Row],[Attrition]]="Yes", 1,0)</f>
        <v>0</v>
      </c>
      <c r="AL177">
        <f>CORREL(Table1[Age],AK177:AK1646)</f>
        <v>-4.4747194623299402E-2</v>
      </c>
      <c r="AM177">
        <f>CORREL(Table1[MonthlyIncome],AK177:AK1646)</f>
        <v>-4.5044077753457666E-2</v>
      </c>
      <c r="AN177">
        <f>CORREL(Table1[YearsAtCompany],AK177:AK1646)</f>
        <v>-1.9006033267587857E-2</v>
      </c>
      <c r="AO177">
        <f t="shared" si="2"/>
        <v>0</v>
      </c>
    </row>
    <row r="178" spans="1:41" x14ac:dyDescent="0.25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  <c r="AK178" s="4">
        <f>IF(Table1[[#This Row],[Attrition]]="Yes", 1,0)</f>
        <v>0</v>
      </c>
      <c r="AL178">
        <f>CORREL(Table1[Age],AK178:AK1647)</f>
        <v>-3.7084020840626869E-2</v>
      </c>
      <c r="AM178">
        <f>CORREL(Table1[MonthlyIncome],AK178:AK1647)</f>
        <v>-2.3908488978315851E-2</v>
      </c>
      <c r="AN178">
        <f>CORREL(Table1[YearsAtCompany],AK178:AK1647)</f>
        <v>-1.5185788663501499E-2</v>
      </c>
      <c r="AO178">
        <f t="shared" si="2"/>
        <v>0</v>
      </c>
    </row>
    <row r="179" spans="1:41" x14ac:dyDescent="0.25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  <c r="AK179" s="4">
        <f>IF(Table1[[#This Row],[Attrition]]="Yes", 1,0)</f>
        <v>1</v>
      </c>
      <c r="AL179">
        <f>CORREL(Table1[Age],AK179:AK1648)</f>
        <v>-2.2208056098693097E-3</v>
      </c>
      <c r="AM179">
        <f>CORREL(Table1[MonthlyIncome],AK179:AK1648)</f>
        <v>-2.1836606750274566E-2</v>
      </c>
      <c r="AN179">
        <f>CORREL(Table1[YearsAtCompany],AK179:AK1648)</f>
        <v>-2.1140371752054677E-2</v>
      </c>
      <c r="AO179">
        <f t="shared" si="2"/>
        <v>1</v>
      </c>
    </row>
    <row r="180" spans="1:41" x14ac:dyDescent="0.25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  <c r="AK180" s="4">
        <f>IF(Table1[[#This Row],[Attrition]]="Yes", 1,0)</f>
        <v>0</v>
      </c>
      <c r="AL180">
        <f>CORREL(Table1[Age],AK180:AK1649)</f>
        <v>-5.6095277081640222E-4</v>
      </c>
      <c r="AM180">
        <f>CORREL(Table1[MonthlyIncome],AK180:AK1649)</f>
        <v>9.606688350518186E-3</v>
      </c>
      <c r="AN180">
        <f>CORREL(Table1[YearsAtCompany],AK180:AK1649)</f>
        <v>1.4697495645959246E-2</v>
      </c>
      <c r="AO180">
        <f t="shared" si="2"/>
        <v>0</v>
      </c>
    </row>
    <row r="181" spans="1:41" x14ac:dyDescent="0.25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  <c r="AK181" s="4">
        <f>IF(Table1[[#This Row],[Attrition]]="Yes", 1,0)</f>
        <v>0</v>
      </c>
      <c r="AL181">
        <f>CORREL(Table1[Age],AK181:AK1650)</f>
        <v>-1.4950331879830745E-2</v>
      </c>
      <c r="AM181">
        <f>CORREL(Table1[MonthlyIncome],AK181:AK1650)</f>
        <v>-2.9597727621002098E-2</v>
      </c>
      <c r="AN181">
        <f>CORREL(Table1[YearsAtCompany],AK181:AK1650)</f>
        <v>-6.4269260543752564E-3</v>
      </c>
      <c r="AO181">
        <f t="shared" si="2"/>
        <v>0</v>
      </c>
    </row>
    <row r="182" spans="1:41" x14ac:dyDescent="0.25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  <c r="AK182" s="4">
        <f>IF(Table1[[#This Row],[Attrition]]="Yes", 1,0)</f>
        <v>0</v>
      </c>
      <c r="AL182">
        <f>CORREL(Table1[Age],AK182:AK1651)</f>
        <v>1.2353228261422475E-2</v>
      </c>
      <c r="AM182">
        <f>CORREL(Table1[MonthlyIncome],AK182:AK1651)</f>
        <v>-1.8982154602985864E-2</v>
      </c>
      <c r="AN182">
        <f>CORREL(Table1[YearsAtCompany],AK182:AK1651)</f>
        <v>-2.1974602882136599E-2</v>
      </c>
      <c r="AO182">
        <f t="shared" si="2"/>
        <v>0</v>
      </c>
    </row>
    <row r="183" spans="1:41" x14ac:dyDescent="0.25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  <c r="AK183" s="4">
        <f>IF(Table1[[#This Row],[Attrition]]="Yes", 1,0)</f>
        <v>0</v>
      </c>
      <c r="AL183">
        <f>CORREL(Table1[Age],AK183:AK1652)</f>
        <v>3.0213800815631225E-2</v>
      </c>
      <c r="AM183">
        <f>CORREL(Table1[MonthlyIncome],AK183:AK1652)</f>
        <v>2.4654196422367415E-2</v>
      </c>
      <c r="AN183">
        <f>CORREL(Table1[YearsAtCompany],AK183:AK1652)</f>
        <v>-3.7649350350252492E-2</v>
      </c>
      <c r="AO183">
        <f t="shared" si="2"/>
        <v>0</v>
      </c>
    </row>
    <row r="184" spans="1:41" x14ac:dyDescent="0.25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  <c r="AK184" s="4">
        <f>IF(Table1[[#This Row],[Attrition]]="Yes", 1,0)</f>
        <v>1</v>
      </c>
      <c r="AL184">
        <f>CORREL(Table1[Age],AK184:AK1653)</f>
        <v>5.6951580049199122E-3</v>
      </c>
      <c r="AM184">
        <f>CORREL(Table1[MonthlyIncome],AK184:AK1653)</f>
        <v>-1.5803638217381923E-2</v>
      </c>
      <c r="AN184">
        <f>CORREL(Table1[YearsAtCompany],AK184:AK1653)</f>
        <v>-1.2975081945215352E-2</v>
      </c>
      <c r="AO184">
        <f t="shared" si="2"/>
        <v>1</v>
      </c>
    </row>
    <row r="185" spans="1:41" x14ac:dyDescent="0.25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  <c r="AK185" s="4">
        <f>IF(Table1[[#This Row],[Attrition]]="Yes", 1,0)</f>
        <v>0</v>
      </c>
      <c r="AL185">
        <f>CORREL(Table1[Age],AK185:AK1654)</f>
        <v>-4.4200262932767194E-3</v>
      </c>
      <c r="AM185">
        <f>CORREL(Table1[MonthlyIncome],AK185:AK1654)</f>
        <v>-2.1075690916084053E-2</v>
      </c>
      <c r="AN185">
        <f>CORREL(Table1[YearsAtCompany],AK185:AK1654)</f>
        <v>3.1689382348465897E-2</v>
      </c>
      <c r="AO185">
        <f t="shared" si="2"/>
        <v>0</v>
      </c>
    </row>
    <row r="186" spans="1:41" x14ac:dyDescent="0.25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  <c r="AK186" s="4">
        <f>IF(Table1[[#This Row],[Attrition]]="Yes", 1,0)</f>
        <v>0</v>
      </c>
      <c r="AL186">
        <f>CORREL(Table1[Age],AK186:AK1655)</f>
        <v>5.3106313425243705E-3</v>
      </c>
      <c r="AM186">
        <f>CORREL(Table1[MonthlyIncome],AK186:AK1655)</f>
        <v>-7.148530074043603E-3</v>
      </c>
      <c r="AN186">
        <f>CORREL(Table1[YearsAtCompany],AK186:AK1655)</f>
        <v>1.7292338161522366E-2</v>
      </c>
      <c r="AO186">
        <f t="shared" si="2"/>
        <v>0</v>
      </c>
    </row>
    <row r="187" spans="1:41" x14ac:dyDescent="0.25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  <c r="AK187" s="4">
        <f>IF(Table1[[#This Row],[Attrition]]="Yes", 1,0)</f>
        <v>0</v>
      </c>
      <c r="AL187">
        <f>CORREL(Table1[Age],AK187:AK1656)</f>
        <v>-4.3152012057684472E-2</v>
      </c>
      <c r="AM187">
        <f>CORREL(Table1[MonthlyIncome],AK187:AK1656)</f>
        <v>-3.2565174603782221E-2</v>
      </c>
      <c r="AN187">
        <f>CORREL(Table1[YearsAtCompany],AK187:AK1656)</f>
        <v>3.1200040036511258E-3</v>
      </c>
      <c r="AO187">
        <f t="shared" si="2"/>
        <v>0</v>
      </c>
    </row>
    <row r="188" spans="1:41" x14ac:dyDescent="0.25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  <c r="AK188" s="4">
        <f>IF(Table1[[#This Row],[Attrition]]="Yes", 1,0)</f>
        <v>0</v>
      </c>
      <c r="AL188">
        <f>CORREL(Table1[Age],AK188:AK1657)</f>
        <v>2.0593378397152666E-3</v>
      </c>
      <c r="AM188">
        <f>CORREL(Table1[MonthlyIncome],AK188:AK1657)</f>
        <v>-4.4494652395241405E-2</v>
      </c>
      <c r="AN188">
        <f>CORREL(Table1[YearsAtCompany],AK188:AK1657)</f>
        <v>-2.1463461185764254E-2</v>
      </c>
      <c r="AO188">
        <f t="shared" si="2"/>
        <v>0</v>
      </c>
    </row>
    <row r="189" spans="1:41" x14ac:dyDescent="0.25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  <c r="AK189" s="4">
        <f>IF(Table1[[#This Row],[Attrition]]="Yes", 1,0)</f>
        <v>0</v>
      </c>
      <c r="AL189">
        <f>CORREL(Table1[Age],AK189:AK1658)</f>
        <v>1.3877309441719901E-2</v>
      </c>
      <c r="AM189">
        <f>CORREL(Table1[MonthlyIncome],AK189:AK1658)</f>
        <v>2.7000770717262968E-2</v>
      </c>
      <c r="AN189">
        <f>CORREL(Table1[YearsAtCompany],AK189:AK1658)</f>
        <v>1.9122522542406314E-2</v>
      </c>
      <c r="AO189">
        <f t="shared" si="2"/>
        <v>0</v>
      </c>
    </row>
    <row r="190" spans="1:41" x14ac:dyDescent="0.25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  <c r="AK190" s="4">
        <f>IF(Table1[[#This Row],[Attrition]]="Yes", 1,0)</f>
        <v>0</v>
      </c>
      <c r="AL190">
        <f>CORREL(Table1[Age],AK190:AK1659)</f>
        <v>-2.4325958413871071E-2</v>
      </c>
      <c r="AM190">
        <f>CORREL(Table1[MonthlyIncome],AK190:AK1659)</f>
        <v>-2.1877504147035948E-2</v>
      </c>
      <c r="AN190">
        <f>CORREL(Table1[YearsAtCompany],AK190:AK1659)</f>
        <v>2.9804736916176661E-2</v>
      </c>
      <c r="AO190">
        <f t="shared" si="2"/>
        <v>0</v>
      </c>
    </row>
    <row r="191" spans="1:41" x14ac:dyDescent="0.25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  <c r="AK191" s="4">
        <f>IF(Table1[[#This Row],[Attrition]]="Yes", 1,0)</f>
        <v>0</v>
      </c>
      <c r="AL191">
        <f>CORREL(Table1[Age],AK191:AK1660)</f>
        <v>-1.7980825011730033E-2</v>
      </c>
      <c r="AM191">
        <f>CORREL(Table1[MonthlyIncome],AK191:AK1660)</f>
        <v>-6.8476339247533621E-3</v>
      </c>
      <c r="AN191">
        <f>CORREL(Table1[YearsAtCompany],AK191:AK1660)</f>
        <v>-2.3972679586429107E-2</v>
      </c>
      <c r="AO191">
        <f t="shared" si="2"/>
        <v>0</v>
      </c>
    </row>
    <row r="192" spans="1:41" x14ac:dyDescent="0.25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  <c r="AK192" s="4">
        <f>IF(Table1[[#This Row],[Attrition]]="Yes", 1,0)</f>
        <v>0</v>
      </c>
      <c r="AL192">
        <f>CORREL(Table1[Age],AK192:AK1661)</f>
        <v>-3.9076639040057697E-2</v>
      </c>
      <c r="AM192">
        <f>CORREL(Table1[MonthlyIncome],AK192:AK1661)</f>
        <v>-2.7487158688329484E-3</v>
      </c>
      <c r="AN192">
        <f>CORREL(Table1[YearsAtCompany],AK192:AK1661)</f>
        <v>-2.7545656730385518E-2</v>
      </c>
      <c r="AO192">
        <f t="shared" si="2"/>
        <v>0</v>
      </c>
    </row>
    <row r="193" spans="1:41" x14ac:dyDescent="0.25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  <c r="AK193" s="4">
        <f>IF(Table1[[#This Row],[Attrition]]="Yes", 1,0)</f>
        <v>0</v>
      </c>
      <c r="AL193">
        <f>CORREL(Table1[Age],AK193:AK1662)</f>
        <v>-1.4374095656594023E-3</v>
      </c>
      <c r="AM193">
        <f>CORREL(Table1[MonthlyIncome],AK193:AK1662)</f>
        <v>3.4731733049638905E-2</v>
      </c>
      <c r="AN193">
        <f>CORREL(Table1[YearsAtCompany],AK193:AK1662)</f>
        <v>-5.2620601411301439E-3</v>
      </c>
      <c r="AO193">
        <f t="shared" si="2"/>
        <v>0</v>
      </c>
    </row>
    <row r="194" spans="1:41" x14ac:dyDescent="0.25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  <c r="AK194" s="4">
        <f>IF(Table1[[#This Row],[Attrition]]="Yes", 1,0)</f>
        <v>1</v>
      </c>
      <c r="AL194">
        <f>CORREL(Table1[Age],AK194:AK1663)</f>
        <v>4.1194379129842182E-2</v>
      </c>
      <c r="AM194">
        <f>CORREL(Table1[MonthlyIncome],AK194:AK1663)</f>
        <v>-2.6523995201023802E-4</v>
      </c>
      <c r="AN194">
        <f>CORREL(Table1[YearsAtCompany],AK194:AK1663)</f>
        <v>4.8558776094304546E-3</v>
      </c>
      <c r="AO194">
        <f t="shared" si="2"/>
        <v>1</v>
      </c>
    </row>
    <row r="195" spans="1:41" x14ac:dyDescent="0.25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  <c r="AK195" s="4">
        <f>IF(Table1[[#This Row],[Attrition]]="Yes", 1,0)</f>
        <v>0</v>
      </c>
      <c r="AL195">
        <f>CORREL(Table1[Age],AK195:AK1664)</f>
        <v>-1.3807443145280006E-3</v>
      </c>
      <c r="AM195">
        <f>CORREL(Table1[MonthlyIncome],AK195:AK1664)</f>
        <v>-2.29354704897409E-2</v>
      </c>
      <c r="AN195">
        <f>CORREL(Table1[YearsAtCompany],AK195:AK1664)</f>
        <v>-2.0920444932626726E-2</v>
      </c>
      <c r="AO195">
        <f t="shared" ref="AO195:AO258" si="3">ABS(AK195)</f>
        <v>0</v>
      </c>
    </row>
    <row r="196" spans="1:41" x14ac:dyDescent="0.25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  <c r="AK196" s="4">
        <f>IF(Table1[[#This Row],[Attrition]]="Yes", 1,0)</f>
        <v>0</v>
      </c>
      <c r="AL196">
        <f>CORREL(Table1[Age],AK196:AK1665)</f>
        <v>-2.736432806194471E-2</v>
      </c>
      <c r="AM196">
        <f>CORREL(Table1[MonthlyIncome],AK196:AK1665)</f>
        <v>-1.5369294682112655E-2</v>
      </c>
      <c r="AN196">
        <f>CORREL(Table1[YearsAtCompany],AK196:AK1665)</f>
        <v>1.2654519333676928E-2</v>
      </c>
      <c r="AO196">
        <f t="shared" si="3"/>
        <v>0</v>
      </c>
    </row>
    <row r="197" spans="1:41" x14ac:dyDescent="0.25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  <c r="AK197" s="4">
        <f>IF(Table1[[#This Row],[Attrition]]="Yes", 1,0)</f>
        <v>0</v>
      </c>
      <c r="AL197">
        <f>CORREL(Table1[Age],AK197:AK1666)</f>
        <v>9.2735871192243021E-3</v>
      </c>
      <c r="AM197">
        <f>CORREL(Table1[MonthlyIncome],AK197:AK1666)</f>
        <v>1.2219688582601593E-3</v>
      </c>
      <c r="AN197">
        <f>CORREL(Table1[YearsAtCompany],AK197:AK1666)</f>
        <v>3.416685841349041E-2</v>
      </c>
      <c r="AO197">
        <f t="shared" si="3"/>
        <v>0</v>
      </c>
    </row>
    <row r="198" spans="1:41" x14ac:dyDescent="0.25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  <c r="AK198" s="4">
        <f>IF(Table1[[#This Row],[Attrition]]="Yes", 1,0)</f>
        <v>0</v>
      </c>
      <c r="AL198">
        <f>CORREL(Table1[Age],AK198:AK1667)</f>
        <v>6.3391143545724421E-2</v>
      </c>
      <c r="AM198">
        <f>CORREL(Table1[MonthlyIncome],AK198:AK1667)</f>
        <v>2.7521228791893653E-2</v>
      </c>
      <c r="AN198">
        <f>CORREL(Table1[YearsAtCompany],AK198:AK1667)</f>
        <v>3.9900864911425887E-2</v>
      </c>
      <c r="AO198">
        <f t="shared" si="3"/>
        <v>0</v>
      </c>
    </row>
    <row r="199" spans="1:41" x14ac:dyDescent="0.25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  <c r="AK199" s="4">
        <f>IF(Table1[[#This Row],[Attrition]]="Yes", 1,0)</f>
        <v>0</v>
      </c>
      <c r="AL199">
        <f>CORREL(Table1[Age],AK199:AK1668)</f>
        <v>-2.0987323838511621E-3</v>
      </c>
      <c r="AM199">
        <f>CORREL(Table1[MonthlyIncome],AK199:AK1668)</f>
        <v>-3.3283496375525723E-3</v>
      </c>
      <c r="AN199">
        <f>CORREL(Table1[YearsAtCompany],AK199:AK1668)</f>
        <v>3.5496257075481777E-2</v>
      </c>
      <c r="AO199">
        <f t="shared" si="3"/>
        <v>0</v>
      </c>
    </row>
    <row r="200" spans="1:41" x14ac:dyDescent="0.25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  <c r="AK200" s="4">
        <f>IF(Table1[[#This Row],[Attrition]]="Yes", 1,0)</f>
        <v>0</v>
      </c>
      <c r="AL200">
        <f>CORREL(Table1[Age],AK200:AK1669)</f>
        <v>-7.3612698642605105E-3</v>
      </c>
      <c r="AM200">
        <f>CORREL(Table1[MonthlyIncome],AK200:AK1669)</f>
        <v>-6.2209056416050465E-3</v>
      </c>
      <c r="AN200">
        <f>CORREL(Table1[YearsAtCompany],AK200:AK1669)</f>
        <v>1.9033279534546213E-2</v>
      </c>
      <c r="AO200">
        <f t="shared" si="3"/>
        <v>0</v>
      </c>
    </row>
    <row r="201" spans="1:41" x14ac:dyDescent="0.25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  <c r="AK201" s="4">
        <f>IF(Table1[[#This Row],[Attrition]]="Yes", 1,0)</f>
        <v>0</v>
      </c>
      <c r="AL201">
        <f>CORREL(Table1[Age],AK201:AK1670)</f>
        <v>-1.2355168162415631E-2</v>
      </c>
      <c r="AM201">
        <f>CORREL(Table1[MonthlyIncome],AK201:AK1670)</f>
        <v>2.9708396646465116E-2</v>
      </c>
      <c r="AN201">
        <f>CORREL(Table1[YearsAtCompany],AK201:AK1670)</f>
        <v>8.1396915864692075E-3</v>
      </c>
      <c r="AO201">
        <f t="shared" si="3"/>
        <v>0</v>
      </c>
    </row>
    <row r="202" spans="1:41" x14ac:dyDescent="0.25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  <c r="AK202" s="4">
        <f>IF(Table1[[#This Row],[Attrition]]="Yes", 1,0)</f>
        <v>0</v>
      </c>
      <c r="AL202">
        <f>CORREL(Table1[Age],AK202:AK1671)</f>
        <v>-2.773057858476547E-3</v>
      </c>
      <c r="AM202">
        <f>CORREL(Table1[MonthlyIncome],AK202:AK1671)</f>
        <v>2.4933382523680655E-2</v>
      </c>
      <c r="AN202">
        <f>CORREL(Table1[YearsAtCompany],AK202:AK1671)</f>
        <v>-2.6576608273287932E-2</v>
      </c>
      <c r="AO202">
        <f t="shared" si="3"/>
        <v>0</v>
      </c>
    </row>
    <row r="203" spans="1:41" x14ac:dyDescent="0.25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  <c r="AK203" s="4">
        <f>IF(Table1[[#This Row],[Attrition]]="Yes", 1,0)</f>
        <v>0</v>
      </c>
      <c r="AL203">
        <f>CORREL(Table1[Age],AK203:AK1672)</f>
        <v>-1.5937772005076463E-2</v>
      </c>
      <c r="AM203">
        <f>CORREL(Table1[MonthlyIncome],AK203:AK1672)</f>
        <v>-5.463133572466806E-3</v>
      </c>
      <c r="AN203">
        <f>CORREL(Table1[YearsAtCompany],AK203:AK1672)</f>
        <v>1.0358671972725381E-2</v>
      </c>
      <c r="AO203">
        <f t="shared" si="3"/>
        <v>0</v>
      </c>
    </row>
    <row r="204" spans="1:41" x14ac:dyDescent="0.25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  <c r="AK204" s="4">
        <f>IF(Table1[[#This Row],[Attrition]]="Yes", 1,0)</f>
        <v>0</v>
      </c>
      <c r="AL204">
        <f>CORREL(Table1[Age],AK204:AK1673)</f>
        <v>-4.0551150977769901E-2</v>
      </c>
      <c r="AM204">
        <f>CORREL(Table1[MonthlyIncome],AK204:AK1673)</f>
        <v>-3.6571417247852379E-2</v>
      </c>
      <c r="AN204">
        <f>CORREL(Table1[YearsAtCompany],AK204:AK1673)</f>
        <v>-5.2135930294413824E-3</v>
      </c>
      <c r="AO204">
        <f t="shared" si="3"/>
        <v>0</v>
      </c>
    </row>
    <row r="205" spans="1:41" x14ac:dyDescent="0.25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  <c r="AK205" s="4">
        <f>IF(Table1[[#This Row],[Attrition]]="Yes", 1,0)</f>
        <v>0</v>
      </c>
      <c r="AL205">
        <f>CORREL(Table1[Age],AK205:AK1674)</f>
        <v>-1.0610167817881239E-2</v>
      </c>
      <c r="AM205">
        <f>CORREL(Table1[MonthlyIncome],AK205:AK1674)</f>
        <v>1.8601944737925986E-2</v>
      </c>
      <c r="AN205">
        <f>CORREL(Table1[YearsAtCompany],AK205:AK1674)</f>
        <v>-2.1158398668094769E-2</v>
      </c>
      <c r="AO205">
        <f t="shared" si="3"/>
        <v>0</v>
      </c>
    </row>
    <row r="206" spans="1:41" x14ac:dyDescent="0.25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  <c r="AK206" s="4">
        <f>IF(Table1[[#This Row],[Attrition]]="Yes", 1,0)</f>
        <v>1</v>
      </c>
      <c r="AL206">
        <f>CORREL(Table1[Age],AK206:AK1675)</f>
        <v>-9.3023121199813687E-3</v>
      </c>
      <c r="AM206">
        <f>CORREL(Table1[MonthlyIncome],AK206:AK1675)</f>
        <v>-4.3016535677588869E-2</v>
      </c>
      <c r="AN206">
        <f>CORREL(Table1[YearsAtCompany],AK206:AK1675)</f>
        <v>-9.3265630340392206E-3</v>
      </c>
      <c r="AO206">
        <f t="shared" si="3"/>
        <v>1</v>
      </c>
    </row>
    <row r="207" spans="1:41" x14ac:dyDescent="0.25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  <c r="AK207" s="4">
        <f>IF(Table1[[#This Row],[Attrition]]="Yes", 1,0)</f>
        <v>1</v>
      </c>
      <c r="AL207">
        <f>CORREL(Table1[Age],AK207:AK1676)</f>
        <v>3.0295052839884574E-3</v>
      </c>
      <c r="AM207">
        <f>CORREL(Table1[MonthlyIncome],AK207:AK1676)</f>
        <v>-1.4157572525354411E-2</v>
      </c>
      <c r="AN207">
        <f>CORREL(Table1[YearsAtCompany],AK207:AK1676)</f>
        <v>-4.1719990912740292E-2</v>
      </c>
      <c r="AO207">
        <f t="shared" si="3"/>
        <v>1</v>
      </c>
    </row>
    <row r="208" spans="1:41" x14ac:dyDescent="0.25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  <c r="AK208" s="4">
        <f>IF(Table1[[#This Row],[Attrition]]="Yes", 1,0)</f>
        <v>0</v>
      </c>
      <c r="AL208">
        <f>CORREL(Table1[Age],AK208:AK1677)</f>
        <v>1.5568879244264405E-2</v>
      </c>
      <c r="AM208">
        <f>CORREL(Table1[MonthlyIncome],AK208:AK1677)</f>
        <v>1.2748233861459861E-2</v>
      </c>
      <c r="AN208">
        <f>CORREL(Table1[YearsAtCompany],AK208:AK1677)</f>
        <v>-4.968580911364491E-2</v>
      </c>
      <c r="AO208">
        <f t="shared" si="3"/>
        <v>0</v>
      </c>
    </row>
    <row r="209" spans="1:41" x14ac:dyDescent="0.25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  <c r="AK209" s="4">
        <f>IF(Table1[[#This Row],[Attrition]]="Yes", 1,0)</f>
        <v>0</v>
      </c>
      <c r="AL209">
        <f>CORREL(Table1[Age],AK209:AK1678)</f>
        <v>-1.8428662036136089E-2</v>
      </c>
      <c r="AM209">
        <f>CORREL(Table1[MonthlyIncome],AK209:AK1678)</f>
        <v>2.4187253346499023E-2</v>
      </c>
      <c r="AN209">
        <f>CORREL(Table1[YearsAtCompany],AK209:AK1678)</f>
        <v>-5.2217010774736946E-3</v>
      </c>
      <c r="AO209">
        <f t="shared" si="3"/>
        <v>0</v>
      </c>
    </row>
    <row r="210" spans="1:41" x14ac:dyDescent="0.25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  <c r="AK210" s="4">
        <f>IF(Table1[[#This Row],[Attrition]]="Yes", 1,0)</f>
        <v>0</v>
      </c>
      <c r="AL210">
        <f>CORREL(Table1[Age],AK210:AK1679)</f>
        <v>-5.2171518909634791E-2</v>
      </c>
      <c r="AM210">
        <f>CORREL(Table1[MonthlyIncome],AK210:AK1679)</f>
        <v>-1.2844289097174836E-2</v>
      </c>
      <c r="AN210">
        <f>CORREL(Table1[YearsAtCompany],AK210:AK1679)</f>
        <v>-2.2373486788525247E-2</v>
      </c>
      <c r="AO210">
        <f t="shared" si="3"/>
        <v>0</v>
      </c>
    </row>
    <row r="211" spans="1:41" x14ac:dyDescent="0.25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  <c r="AK211" s="4">
        <f>IF(Table1[[#This Row],[Attrition]]="Yes", 1,0)</f>
        <v>0</v>
      </c>
      <c r="AL211">
        <f>CORREL(Table1[Age],AK211:AK1680)</f>
        <v>2.5435571485124728E-3</v>
      </c>
      <c r="AM211">
        <f>CORREL(Table1[MonthlyIncome],AK211:AK1680)</f>
        <v>-1.9469590616717689E-2</v>
      </c>
      <c r="AN211">
        <f>CORREL(Table1[YearsAtCompany],AK211:AK1680)</f>
        <v>-1.6885943053212952E-2</v>
      </c>
      <c r="AO211">
        <f t="shared" si="3"/>
        <v>0</v>
      </c>
    </row>
    <row r="212" spans="1:41" x14ac:dyDescent="0.25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  <c r="AK212" s="4">
        <f>IF(Table1[[#This Row],[Attrition]]="Yes", 1,0)</f>
        <v>1</v>
      </c>
      <c r="AL212">
        <f>CORREL(Table1[Age],AK212:AK1681)</f>
        <v>4.5410719275649838E-2</v>
      </c>
      <c r="AM212">
        <f>CORREL(Table1[MonthlyIncome],AK212:AK1681)</f>
        <v>-1.9150585922607641E-2</v>
      </c>
      <c r="AN212">
        <f>CORREL(Table1[YearsAtCompany],AK212:AK1681)</f>
        <v>-2.0666729962646076E-2</v>
      </c>
      <c r="AO212">
        <f t="shared" si="3"/>
        <v>1</v>
      </c>
    </row>
    <row r="213" spans="1:41" x14ac:dyDescent="0.25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  <c r="AK213" s="4">
        <f>IF(Table1[[#This Row],[Attrition]]="Yes", 1,0)</f>
        <v>0</v>
      </c>
      <c r="AL213">
        <f>CORREL(Table1[Age],AK213:AK1682)</f>
        <v>5.1066198320677006E-2</v>
      </c>
      <c r="AM213">
        <f>CORREL(Table1[MonthlyIncome],AK213:AK1682)</f>
        <v>6.9463903529725271E-2</v>
      </c>
      <c r="AN213">
        <f>CORREL(Table1[YearsAtCompany],AK213:AK1682)</f>
        <v>-5.9003127250598026E-3</v>
      </c>
      <c r="AO213">
        <f t="shared" si="3"/>
        <v>0</v>
      </c>
    </row>
    <row r="214" spans="1:41" x14ac:dyDescent="0.25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  <c r="AK214" s="4">
        <f>IF(Table1[[#This Row],[Attrition]]="Yes", 1,0)</f>
        <v>0</v>
      </c>
      <c r="AL214">
        <f>CORREL(Table1[Age],AK214:AK1683)</f>
        <v>-1.3615389816067741E-2</v>
      </c>
      <c r="AM214">
        <f>CORREL(Table1[MonthlyIncome],AK214:AK1683)</f>
        <v>3.3290433602939686E-2</v>
      </c>
      <c r="AN214">
        <f>CORREL(Table1[YearsAtCompany],AK214:AK1683)</f>
        <v>-2.9643040220421742E-2</v>
      </c>
      <c r="AO214">
        <f t="shared" si="3"/>
        <v>0</v>
      </c>
    </row>
    <row r="215" spans="1:41" x14ac:dyDescent="0.25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  <c r="AK215" s="4">
        <f>IF(Table1[[#This Row],[Attrition]]="Yes", 1,0)</f>
        <v>0</v>
      </c>
      <c r="AL215">
        <f>CORREL(Table1[Age],AK215:AK1684)</f>
        <v>-2.9480779828607841E-2</v>
      </c>
      <c r="AM215">
        <f>CORREL(Table1[MonthlyIncome],AK215:AK1684)</f>
        <v>-3.4062801475537183E-2</v>
      </c>
      <c r="AN215">
        <f>CORREL(Table1[YearsAtCompany],AK215:AK1684)</f>
        <v>6.4751507776747007E-4</v>
      </c>
      <c r="AO215">
        <f t="shared" si="3"/>
        <v>0</v>
      </c>
    </row>
    <row r="216" spans="1:41" x14ac:dyDescent="0.25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  <c r="AK216" s="4">
        <f>IF(Table1[[#This Row],[Attrition]]="Yes", 1,0)</f>
        <v>1</v>
      </c>
      <c r="AL216">
        <f>CORREL(Table1[Age],AK216:AK1685)</f>
        <v>2.0740049892353521E-2</v>
      </c>
      <c r="AM216">
        <f>CORREL(Table1[MonthlyIncome],AK216:AK1685)</f>
        <v>3.9302824563734122E-2</v>
      </c>
      <c r="AN216">
        <f>CORREL(Table1[YearsAtCompany],AK216:AK1685)</f>
        <v>-1.8350433884119034E-2</v>
      </c>
      <c r="AO216">
        <f t="shared" si="3"/>
        <v>1</v>
      </c>
    </row>
    <row r="217" spans="1:41" x14ac:dyDescent="0.25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  <c r="AK217" s="4">
        <f>IF(Table1[[#This Row],[Attrition]]="Yes", 1,0)</f>
        <v>0</v>
      </c>
      <c r="AL217">
        <f>CORREL(Table1[Age],AK217:AK1686)</f>
        <v>-8.1491337767200661E-3</v>
      </c>
      <c r="AM217">
        <f>CORREL(Table1[MonthlyIncome],AK217:AK1686)</f>
        <v>-4.3727865906165071E-2</v>
      </c>
      <c r="AN217">
        <f>CORREL(Table1[YearsAtCompany],AK217:AK1686)</f>
        <v>-3.499331644250489E-2</v>
      </c>
      <c r="AO217">
        <f t="shared" si="3"/>
        <v>0</v>
      </c>
    </row>
    <row r="218" spans="1:41" x14ac:dyDescent="0.25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  <c r="AK218" s="4">
        <f>IF(Table1[[#This Row],[Attrition]]="Yes", 1,0)</f>
        <v>1</v>
      </c>
      <c r="AL218">
        <f>CORREL(Table1[Age],AK218:AK1687)</f>
        <v>-4.7492855877464032E-2</v>
      </c>
      <c r="AM218">
        <f>CORREL(Table1[MonthlyIncome],AK218:AK1687)</f>
        <v>8.2669042541363962E-3</v>
      </c>
      <c r="AN218">
        <f>CORREL(Table1[YearsAtCompany],AK218:AK1687)</f>
        <v>1.8401334902623231E-2</v>
      </c>
      <c r="AO218">
        <f t="shared" si="3"/>
        <v>1</v>
      </c>
    </row>
    <row r="219" spans="1:41" x14ac:dyDescent="0.25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  <c r="AK219" s="4">
        <f>IF(Table1[[#This Row],[Attrition]]="Yes", 1,0)</f>
        <v>1</v>
      </c>
      <c r="AL219">
        <f>CORREL(Table1[Age],AK219:AK1688)</f>
        <v>-1.9842887825624923E-2</v>
      </c>
      <c r="AM219">
        <f>CORREL(Table1[MonthlyIncome],AK219:AK1688)</f>
        <v>2.6059150606883449E-2</v>
      </c>
      <c r="AN219">
        <f>CORREL(Table1[YearsAtCompany],AK219:AK1688)</f>
        <v>7.269050026232988E-3</v>
      </c>
      <c r="AO219">
        <f t="shared" si="3"/>
        <v>1</v>
      </c>
    </row>
    <row r="220" spans="1:41" x14ac:dyDescent="0.25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  <c r="AK220" s="4">
        <f>IF(Table1[[#This Row],[Attrition]]="Yes", 1,0)</f>
        <v>0</v>
      </c>
      <c r="AL220">
        <f>CORREL(Table1[Age],AK220:AK1689)</f>
        <v>2.9592559367816393E-2</v>
      </c>
      <c r="AM220">
        <f>CORREL(Table1[MonthlyIncome],AK220:AK1689)</f>
        <v>2.9907303413245503E-2</v>
      </c>
      <c r="AN220">
        <f>CORREL(Table1[YearsAtCompany],AK220:AK1689)</f>
        <v>4.9499903830392197E-2</v>
      </c>
      <c r="AO220">
        <f t="shared" si="3"/>
        <v>0</v>
      </c>
    </row>
    <row r="221" spans="1:41" x14ac:dyDescent="0.25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  <c r="AK221" s="4">
        <f>IF(Table1[[#This Row],[Attrition]]="Yes", 1,0)</f>
        <v>0</v>
      </c>
      <c r="AL221">
        <f>CORREL(Table1[Age],AK221:AK1690)</f>
        <v>-3.9326308976157687E-2</v>
      </c>
      <c r="AM221">
        <f>CORREL(Table1[MonthlyIncome],AK221:AK1690)</f>
        <v>-1.5157322289887833E-3</v>
      </c>
      <c r="AN221">
        <f>CORREL(Table1[YearsAtCompany],AK221:AK1690)</f>
        <v>-3.9061671892621401E-3</v>
      </c>
      <c r="AO221">
        <f t="shared" si="3"/>
        <v>0</v>
      </c>
    </row>
    <row r="222" spans="1:41" x14ac:dyDescent="0.25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  <c r="AK222" s="4">
        <f>IF(Table1[[#This Row],[Attrition]]="Yes", 1,0)</f>
        <v>0</v>
      </c>
      <c r="AL222">
        <f>CORREL(Table1[Age],AK222:AK1691)</f>
        <v>-2.646788455239996E-2</v>
      </c>
      <c r="AM222">
        <f>CORREL(Table1[MonthlyIncome],AK222:AK1691)</f>
        <v>-3.5620801067201904E-2</v>
      </c>
      <c r="AN222">
        <f>CORREL(Table1[YearsAtCompany],AK222:AK1691)</f>
        <v>-1.9743840372525273E-2</v>
      </c>
      <c r="AO222">
        <f t="shared" si="3"/>
        <v>0</v>
      </c>
    </row>
    <row r="223" spans="1:41" x14ac:dyDescent="0.25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  <c r="AK223" s="4">
        <f>IF(Table1[[#This Row],[Attrition]]="Yes", 1,0)</f>
        <v>0</v>
      </c>
      <c r="AL223">
        <f>CORREL(Table1[Age],AK223:AK1692)</f>
        <v>8.5207120024152396E-3</v>
      </c>
      <c r="AM223">
        <f>CORREL(Table1[MonthlyIncome],AK223:AK1692)</f>
        <v>-3.8152395226362788E-2</v>
      </c>
      <c r="AN223">
        <f>CORREL(Table1[YearsAtCompany],AK223:AK1692)</f>
        <v>-4.8487536160957224E-2</v>
      </c>
      <c r="AO223">
        <f t="shared" si="3"/>
        <v>0</v>
      </c>
    </row>
    <row r="224" spans="1:41" x14ac:dyDescent="0.25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  <c r="AK224" s="4">
        <f>IF(Table1[[#This Row],[Attrition]]="Yes", 1,0)</f>
        <v>0</v>
      </c>
      <c r="AL224">
        <f>CORREL(Table1[Age],AK224:AK1693)</f>
        <v>-1.8223669334719517E-2</v>
      </c>
      <c r="AM224">
        <f>CORREL(Table1[MonthlyIncome],AK224:AK1693)</f>
        <v>1.8188802546267927E-2</v>
      </c>
      <c r="AN224">
        <f>CORREL(Table1[YearsAtCompany],AK224:AK1693)</f>
        <v>2.6057606254971472E-2</v>
      </c>
      <c r="AO224">
        <f t="shared" si="3"/>
        <v>0</v>
      </c>
    </row>
    <row r="225" spans="1:41" x14ac:dyDescent="0.25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  <c r="AK225" s="4">
        <f>IF(Table1[[#This Row],[Attrition]]="Yes", 1,0)</f>
        <v>0</v>
      </c>
      <c r="AL225">
        <f>CORREL(Table1[Age],AK225:AK1694)</f>
        <v>-1.233123014652804E-2</v>
      </c>
      <c r="AM225">
        <f>CORREL(Table1[MonthlyIncome],AK225:AK1694)</f>
        <v>-1.5873998030167775E-2</v>
      </c>
      <c r="AN225">
        <f>CORREL(Table1[YearsAtCompany],AK225:AK1694)</f>
        <v>2.6907993935770171E-3</v>
      </c>
      <c r="AO225">
        <f t="shared" si="3"/>
        <v>0</v>
      </c>
    </row>
    <row r="226" spans="1:41" x14ac:dyDescent="0.25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  <c r="AK226" s="4">
        <f>IF(Table1[[#This Row],[Attrition]]="Yes", 1,0)</f>
        <v>0</v>
      </c>
      <c r="AL226">
        <f>CORREL(Table1[Age],AK226:AK1695)</f>
        <v>-5.359213583268637E-2</v>
      </c>
      <c r="AM226">
        <f>CORREL(Table1[MonthlyIncome],AK226:AK1695)</f>
        <v>-1.4123582524727575E-2</v>
      </c>
      <c r="AN226">
        <f>CORREL(Table1[YearsAtCompany],AK226:AK1695)</f>
        <v>-2.6292954048828303E-2</v>
      </c>
      <c r="AO226">
        <f t="shared" si="3"/>
        <v>0</v>
      </c>
    </row>
    <row r="227" spans="1:41" x14ac:dyDescent="0.25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  <c r="AK227" s="4">
        <f>IF(Table1[[#This Row],[Attrition]]="Yes", 1,0)</f>
        <v>0</v>
      </c>
      <c r="AL227">
        <f>CORREL(Table1[Age],AK227:AK1696)</f>
        <v>-6.0794428713282285E-4</v>
      </c>
      <c r="AM227">
        <f>CORREL(Table1[MonthlyIncome],AK227:AK1696)</f>
        <v>2.3108350355874819E-2</v>
      </c>
      <c r="AN227">
        <f>CORREL(Table1[YearsAtCompany],AK227:AK1696)</f>
        <v>1.0915170235673663E-2</v>
      </c>
      <c r="AO227">
        <f t="shared" si="3"/>
        <v>0</v>
      </c>
    </row>
    <row r="228" spans="1:41" x14ac:dyDescent="0.25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  <c r="AK228" s="4">
        <f>IF(Table1[[#This Row],[Attrition]]="Yes", 1,0)</f>
        <v>0</v>
      </c>
      <c r="AL228">
        <f>CORREL(Table1[Age],AK228:AK1697)</f>
        <v>-9.1296710309308193E-3</v>
      </c>
      <c r="AM228">
        <f>CORREL(Table1[MonthlyIncome],AK228:AK1697)</f>
        <v>-4.1444451079511981E-2</v>
      </c>
      <c r="AN228">
        <f>CORREL(Table1[YearsAtCompany],AK228:AK1697)</f>
        <v>-2.6135878642756884E-2</v>
      </c>
      <c r="AO228">
        <f t="shared" si="3"/>
        <v>0</v>
      </c>
    </row>
    <row r="229" spans="1:41" x14ac:dyDescent="0.25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  <c r="AK229" s="4">
        <f>IF(Table1[[#This Row],[Attrition]]="Yes", 1,0)</f>
        <v>0</v>
      </c>
      <c r="AL229">
        <f>CORREL(Table1[Age],AK229:AK1698)</f>
        <v>-2.9355551752925344E-2</v>
      </c>
      <c r="AM229">
        <f>CORREL(Table1[MonthlyIncome],AK229:AK1698)</f>
        <v>-1.1499599146549442E-2</v>
      </c>
      <c r="AN229">
        <f>CORREL(Table1[YearsAtCompany],AK229:AK1698)</f>
        <v>-1.9309979647521031E-2</v>
      </c>
      <c r="AO229">
        <f t="shared" si="3"/>
        <v>0</v>
      </c>
    </row>
    <row r="230" spans="1:41" x14ac:dyDescent="0.25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  <c r="AK230" s="4">
        <f>IF(Table1[[#This Row],[Attrition]]="Yes", 1,0)</f>
        <v>0</v>
      </c>
      <c r="AL230">
        <f>CORREL(Table1[Age],AK230:AK1699)</f>
        <v>2.5503658659115865E-2</v>
      </c>
      <c r="AM230">
        <f>CORREL(Table1[MonthlyIncome],AK230:AK1699)</f>
        <v>6.0596274330620174E-3</v>
      </c>
      <c r="AN230">
        <f>CORREL(Table1[YearsAtCompany],AK230:AK1699)</f>
        <v>2.5286578429523768E-2</v>
      </c>
      <c r="AO230">
        <f t="shared" si="3"/>
        <v>0</v>
      </c>
    </row>
    <row r="231" spans="1:41" x14ac:dyDescent="0.25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  <c r="AK231" s="4">
        <f>IF(Table1[[#This Row],[Attrition]]="Yes", 1,0)</f>
        <v>1</v>
      </c>
      <c r="AL231">
        <f>CORREL(Table1[Age],AK231:AK1700)</f>
        <v>-1.1738219989484417E-2</v>
      </c>
      <c r="AM231">
        <f>CORREL(Table1[MonthlyIncome],AK231:AK1700)</f>
        <v>-2.7441177657124768E-2</v>
      </c>
      <c r="AN231">
        <f>CORREL(Table1[YearsAtCompany],AK231:AK1700)</f>
        <v>-1.3173629956536641E-2</v>
      </c>
      <c r="AO231">
        <f t="shared" si="3"/>
        <v>1</v>
      </c>
    </row>
    <row r="232" spans="1:41" x14ac:dyDescent="0.25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  <c r="AK232" s="4">
        <f>IF(Table1[[#This Row],[Attrition]]="Yes", 1,0)</f>
        <v>0</v>
      </c>
      <c r="AL232">
        <f>CORREL(Table1[Age],AK232:AK1701)</f>
        <v>-3.841635848589893E-2</v>
      </c>
      <c r="AM232">
        <f>CORREL(Table1[MonthlyIncome],AK232:AK1701)</f>
        <v>-3.1849726183839001E-2</v>
      </c>
      <c r="AN232">
        <f>CORREL(Table1[YearsAtCompany],AK232:AK1701)</f>
        <v>-6.1204668560296223E-2</v>
      </c>
      <c r="AO232">
        <f t="shared" si="3"/>
        <v>0</v>
      </c>
    </row>
    <row r="233" spans="1:41" x14ac:dyDescent="0.25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  <c r="AK233" s="4">
        <f>IF(Table1[[#This Row],[Attrition]]="Yes", 1,0)</f>
        <v>0</v>
      </c>
      <c r="AL233">
        <f>CORREL(Table1[Age],AK233:AK1702)</f>
        <v>-3.8766157266669934E-3</v>
      </c>
      <c r="AM233">
        <f>CORREL(Table1[MonthlyIncome],AK233:AK1702)</f>
        <v>7.39912899225381E-3</v>
      </c>
      <c r="AN233">
        <f>CORREL(Table1[YearsAtCompany],AK233:AK1702)</f>
        <v>7.7182324837523253E-4</v>
      </c>
      <c r="AO233">
        <f t="shared" si="3"/>
        <v>0</v>
      </c>
    </row>
    <row r="234" spans="1:41" x14ac:dyDescent="0.25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  <c r="AK234" s="4">
        <f>IF(Table1[[#This Row],[Attrition]]="Yes", 1,0)</f>
        <v>0</v>
      </c>
      <c r="AL234">
        <f>CORREL(Table1[Age],AK234:AK1703)</f>
        <v>3.3949076594439381E-2</v>
      </c>
      <c r="AM234">
        <f>CORREL(Table1[MonthlyIncome],AK234:AK1703)</f>
        <v>-4.239445170105929E-3</v>
      </c>
      <c r="AN234">
        <f>CORREL(Table1[YearsAtCompany],AK234:AK1703)</f>
        <v>2.9845660038525729E-3</v>
      </c>
      <c r="AO234">
        <f t="shared" si="3"/>
        <v>0</v>
      </c>
    </row>
    <row r="235" spans="1:41" x14ac:dyDescent="0.25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  <c r="AK235" s="4">
        <f>IF(Table1[[#This Row],[Attrition]]="Yes", 1,0)</f>
        <v>0</v>
      </c>
      <c r="AL235">
        <f>CORREL(Table1[Age],AK235:AK1704)</f>
        <v>3.5659045400789416E-2</v>
      </c>
      <c r="AM235">
        <f>CORREL(Table1[MonthlyIncome],AK235:AK1704)</f>
        <v>-1.161063217812623E-2</v>
      </c>
      <c r="AN235">
        <f>CORREL(Table1[YearsAtCompany],AK235:AK1704)</f>
        <v>-2.3252826798566249E-2</v>
      </c>
      <c r="AO235">
        <f t="shared" si="3"/>
        <v>0</v>
      </c>
    </row>
    <row r="236" spans="1:41" x14ac:dyDescent="0.25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  <c r="AK236" s="4">
        <f>IF(Table1[[#This Row],[Attrition]]="Yes", 1,0)</f>
        <v>1</v>
      </c>
      <c r="AL236">
        <f>CORREL(Table1[Age],AK236:AK1705)</f>
        <v>1.8330697134235616E-2</v>
      </c>
      <c r="AM236">
        <f>CORREL(Table1[MonthlyIncome],AK236:AK1705)</f>
        <v>4.076447965157483E-3</v>
      </c>
      <c r="AN236">
        <f>CORREL(Table1[YearsAtCompany],AK236:AK1705)</f>
        <v>1.2778138038982575E-2</v>
      </c>
      <c r="AO236">
        <f t="shared" si="3"/>
        <v>1</v>
      </c>
    </row>
    <row r="237" spans="1:41" x14ac:dyDescent="0.25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  <c r="AK237" s="4">
        <f>IF(Table1[[#This Row],[Attrition]]="Yes", 1,0)</f>
        <v>0</v>
      </c>
      <c r="AL237">
        <f>CORREL(Table1[Age],AK237:AK1706)</f>
        <v>3.0489090028280406E-3</v>
      </c>
      <c r="AM237">
        <f>CORREL(Table1[MonthlyIncome],AK237:AK1706)</f>
        <v>-2.1978167721415022E-3</v>
      </c>
      <c r="AN237">
        <f>CORREL(Table1[YearsAtCompany],AK237:AK1706)</f>
        <v>-3.4954539441764229E-2</v>
      </c>
      <c r="AO237">
        <f t="shared" si="3"/>
        <v>0</v>
      </c>
    </row>
    <row r="238" spans="1:41" x14ac:dyDescent="0.25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  <c r="AK238" s="4">
        <f>IF(Table1[[#This Row],[Attrition]]="Yes", 1,0)</f>
        <v>1</v>
      </c>
      <c r="AL238">
        <f>CORREL(Table1[Age],AK238:AK1707)</f>
        <v>-2.1752443793048408E-2</v>
      </c>
      <c r="AM238">
        <f>CORREL(Table1[MonthlyIncome],AK238:AK1707)</f>
        <v>3.492348410661949E-4</v>
      </c>
      <c r="AN238">
        <f>CORREL(Table1[YearsAtCompany],AK238:AK1707)</f>
        <v>3.2628233305776376E-2</v>
      </c>
      <c r="AO238">
        <f t="shared" si="3"/>
        <v>1</v>
      </c>
    </row>
    <row r="239" spans="1:41" x14ac:dyDescent="0.25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  <c r="AK239" s="4">
        <f>IF(Table1[[#This Row],[Attrition]]="Yes", 1,0)</f>
        <v>0</v>
      </c>
      <c r="AL239">
        <f>CORREL(Table1[Age],AK239:AK1708)</f>
        <v>1.2937292592124616E-2</v>
      </c>
      <c r="AM239">
        <f>CORREL(Table1[MonthlyIncome],AK239:AK1708)</f>
        <v>-8.7448974325838591E-3</v>
      </c>
      <c r="AN239">
        <f>CORREL(Table1[YearsAtCompany],AK239:AK1708)</f>
        <v>-1.8497585159959139E-3</v>
      </c>
      <c r="AO239">
        <f t="shared" si="3"/>
        <v>0</v>
      </c>
    </row>
    <row r="240" spans="1:41" x14ac:dyDescent="0.25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  <c r="AK240" s="4">
        <f>IF(Table1[[#This Row],[Attrition]]="Yes", 1,0)</f>
        <v>0</v>
      </c>
      <c r="AL240">
        <f>CORREL(Table1[Age],AK240:AK1709)</f>
        <v>3.8109757706754656E-2</v>
      </c>
      <c r="AM240">
        <f>CORREL(Table1[MonthlyIncome],AK240:AK1709)</f>
        <v>8.9456723157189059E-3</v>
      </c>
      <c r="AN240">
        <f>CORREL(Table1[YearsAtCompany],AK240:AK1709)</f>
        <v>2.5072874832382725E-4</v>
      </c>
      <c r="AO240">
        <f t="shared" si="3"/>
        <v>0</v>
      </c>
    </row>
    <row r="241" spans="1:41" x14ac:dyDescent="0.25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  <c r="AK241" s="4">
        <f>IF(Table1[[#This Row],[Attrition]]="Yes", 1,0)</f>
        <v>1</v>
      </c>
      <c r="AL241">
        <f>CORREL(Table1[Age],AK241:AK1710)</f>
        <v>3.5374409513033007E-2</v>
      </c>
      <c r="AM241">
        <f>CORREL(Table1[MonthlyIncome],AK241:AK1710)</f>
        <v>-9.8771298689799263E-3</v>
      </c>
      <c r="AN241">
        <f>CORREL(Table1[YearsAtCompany],AK241:AK1710)</f>
        <v>-9.0644253784360387E-3</v>
      </c>
      <c r="AO241">
        <f t="shared" si="3"/>
        <v>1</v>
      </c>
    </row>
    <row r="242" spans="1:41" x14ac:dyDescent="0.25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  <c r="AK242" s="4">
        <f>IF(Table1[[#This Row],[Attrition]]="Yes", 1,0)</f>
        <v>0</v>
      </c>
      <c r="AL242">
        <f>CORREL(Table1[Age],AK242:AK1711)</f>
        <v>-8.039884574707671E-3</v>
      </c>
      <c r="AM242">
        <f>CORREL(Table1[MonthlyIncome],AK242:AK1711)</f>
        <v>-1.0946572458259256E-3</v>
      </c>
      <c r="AN242">
        <f>CORREL(Table1[YearsAtCompany],AK242:AK1711)</f>
        <v>1.4427854626711122E-3</v>
      </c>
      <c r="AO242">
        <f t="shared" si="3"/>
        <v>0</v>
      </c>
    </row>
    <row r="243" spans="1:41" x14ac:dyDescent="0.25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  <c r="AK243" s="4">
        <f>IF(Table1[[#This Row],[Attrition]]="Yes", 1,0)</f>
        <v>0</v>
      </c>
      <c r="AL243">
        <f>CORREL(Table1[Age],AK243:AK1712)</f>
        <v>-1.8921038288336803E-2</v>
      </c>
      <c r="AM243">
        <f>CORREL(Table1[MonthlyIncome],AK243:AK1712)</f>
        <v>-1.4141761376095902E-2</v>
      </c>
      <c r="AN243">
        <f>CORREL(Table1[YearsAtCompany],AK243:AK1712)</f>
        <v>-4.0435374221554084E-2</v>
      </c>
      <c r="AO243">
        <f t="shared" si="3"/>
        <v>0</v>
      </c>
    </row>
    <row r="244" spans="1:41" x14ac:dyDescent="0.25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  <c r="AK244" s="4">
        <f>IF(Table1[[#This Row],[Attrition]]="Yes", 1,0)</f>
        <v>0</v>
      </c>
      <c r="AL244">
        <f>CORREL(Table1[Age],AK244:AK1713)</f>
        <v>-2.0683037307455351E-2</v>
      </c>
      <c r="AM244">
        <f>CORREL(Table1[MonthlyIncome],AK244:AK1713)</f>
        <v>-1.0547657415685267E-4</v>
      </c>
      <c r="AN244">
        <f>CORREL(Table1[YearsAtCompany],AK244:AK1713)</f>
        <v>-1.1454596083507322E-2</v>
      </c>
      <c r="AO244">
        <f t="shared" si="3"/>
        <v>0</v>
      </c>
    </row>
    <row r="245" spans="1:41" x14ac:dyDescent="0.25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  <c r="AK245" s="4">
        <f>IF(Table1[[#This Row],[Attrition]]="Yes", 1,0)</f>
        <v>0</v>
      </c>
      <c r="AL245">
        <f>CORREL(Table1[Age],AK245:AK1714)</f>
        <v>-3.7178432825992758E-2</v>
      </c>
      <c r="AM245">
        <f>CORREL(Table1[MonthlyIncome],AK245:AK1714)</f>
        <v>4.1958906467241637E-3</v>
      </c>
      <c r="AN245">
        <f>CORREL(Table1[YearsAtCompany],AK245:AK1714)</f>
        <v>2.469359608117027E-2</v>
      </c>
      <c r="AO245">
        <f t="shared" si="3"/>
        <v>0</v>
      </c>
    </row>
    <row r="246" spans="1:41" x14ac:dyDescent="0.25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  <c r="AK246" s="4">
        <f>IF(Table1[[#This Row],[Attrition]]="Yes", 1,0)</f>
        <v>0</v>
      </c>
      <c r="AL246">
        <f>CORREL(Table1[Age],AK246:AK1715)</f>
        <v>-9.634867947068939E-3</v>
      </c>
      <c r="AM246">
        <f>CORREL(Table1[MonthlyIncome],AK246:AK1715)</f>
        <v>-2.50814701244691E-2</v>
      </c>
      <c r="AN246">
        <f>CORREL(Table1[YearsAtCompany],AK246:AK1715)</f>
        <v>6.6170346902269094E-3</v>
      </c>
      <c r="AO246">
        <f t="shared" si="3"/>
        <v>0</v>
      </c>
    </row>
    <row r="247" spans="1:41" x14ac:dyDescent="0.25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  <c r="AK247" s="4">
        <f>IF(Table1[[#This Row],[Attrition]]="Yes", 1,0)</f>
        <v>0</v>
      </c>
      <c r="AL247">
        <f>CORREL(Table1[Age],AK247:AK1716)</f>
        <v>-4.5458606768432417E-3</v>
      </c>
      <c r="AM247">
        <f>CORREL(Table1[MonthlyIncome],AK247:AK1716)</f>
        <v>1.8342470066920909E-2</v>
      </c>
      <c r="AN247">
        <f>CORREL(Table1[YearsAtCompany],AK247:AK1716)</f>
        <v>2.4357943439995033E-2</v>
      </c>
      <c r="AO247">
        <f t="shared" si="3"/>
        <v>0</v>
      </c>
    </row>
    <row r="248" spans="1:41" x14ac:dyDescent="0.25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  <c r="AK248" s="4">
        <f>IF(Table1[[#This Row],[Attrition]]="Yes", 1,0)</f>
        <v>0</v>
      </c>
      <c r="AL248">
        <f>CORREL(Table1[Age],AK248:AK1717)</f>
        <v>1.3462022687611227E-2</v>
      </c>
      <c r="AM248">
        <f>CORREL(Table1[MonthlyIncome],AK248:AK1717)</f>
        <v>2.1548998487742617E-2</v>
      </c>
      <c r="AN248">
        <f>CORREL(Table1[YearsAtCompany],AK248:AK1717)</f>
        <v>-1.1166781067754228E-2</v>
      </c>
      <c r="AO248">
        <f t="shared" si="3"/>
        <v>0</v>
      </c>
    </row>
    <row r="249" spans="1:41" x14ac:dyDescent="0.25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  <c r="AK249" s="4">
        <f>IF(Table1[[#This Row],[Attrition]]="Yes", 1,0)</f>
        <v>0</v>
      </c>
      <c r="AL249">
        <f>CORREL(Table1[Age],AK249:AK1718)</f>
        <v>3.4455743010774767E-2</v>
      </c>
      <c r="AM249">
        <f>CORREL(Table1[MonthlyIncome],AK249:AK1718)</f>
        <v>6.7601103825308956E-2</v>
      </c>
      <c r="AN249">
        <f>CORREL(Table1[YearsAtCompany],AK249:AK1718)</f>
        <v>8.1732031105743813E-2</v>
      </c>
      <c r="AO249">
        <f t="shared" si="3"/>
        <v>0</v>
      </c>
    </row>
    <row r="250" spans="1:41" x14ac:dyDescent="0.25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  <c r="AK250" s="4">
        <f>IF(Table1[[#This Row],[Attrition]]="Yes", 1,0)</f>
        <v>0</v>
      </c>
      <c r="AL250">
        <f>CORREL(Table1[Age],AK250:AK1719)</f>
        <v>3.1346318544147454E-2</v>
      </c>
      <c r="AM250">
        <f>CORREL(Table1[MonthlyIncome],AK250:AK1719)</f>
        <v>1.3496741832259823E-2</v>
      </c>
      <c r="AN250">
        <f>CORREL(Table1[YearsAtCompany],AK250:AK1719)</f>
        <v>-1.7724507254041736E-2</v>
      </c>
      <c r="AO250">
        <f t="shared" si="3"/>
        <v>0</v>
      </c>
    </row>
    <row r="251" spans="1:41" x14ac:dyDescent="0.25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  <c r="AK251" s="4">
        <f>IF(Table1[[#This Row],[Attrition]]="Yes", 1,0)</f>
        <v>0</v>
      </c>
      <c r="AL251">
        <f>CORREL(Table1[Age],AK251:AK1720)</f>
        <v>8.4022985534071091E-3</v>
      </c>
      <c r="AM251">
        <f>CORREL(Table1[MonthlyIncome],AK251:AK1720)</f>
        <v>3.5893763240627596E-2</v>
      </c>
      <c r="AN251">
        <f>CORREL(Table1[YearsAtCompany],AK251:AK1720)</f>
        <v>2.6455655008851092E-2</v>
      </c>
      <c r="AO251">
        <f t="shared" si="3"/>
        <v>0</v>
      </c>
    </row>
    <row r="252" spans="1:41" x14ac:dyDescent="0.25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  <c r="AK252" s="4">
        <f>IF(Table1[[#This Row],[Attrition]]="Yes", 1,0)</f>
        <v>1</v>
      </c>
      <c r="AL252">
        <f>CORREL(Table1[Age],AK252:AK1721)</f>
        <v>-4.4406629264404418E-2</v>
      </c>
      <c r="AM252">
        <f>CORREL(Table1[MonthlyIncome],AK252:AK1721)</f>
        <v>2.0019175470203078E-2</v>
      </c>
      <c r="AN252">
        <f>CORREL(Table1[YearsAtCompany],AK252:AK1721)</f>
        <v>-4.7077581011936674E-2</v>
      </c>
      <c r="AO252">
        <f t="shared" si="3"/>
        <v>1</v>
      </c>
    </row>
    <row r="253" spans="1:41" x14ac:dyDescent="0.25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  <c r="AK253" s="4">
        <f>IF(Table1[[#This Row],[Attrition]]="Yes", 1,0)</f>
        <v>0</v>
      </c>
      <c r="AL253">
        <f>CORREL(Table1[Age],AK253:AK1722)</f>
        <v>-5.7567219459630677E-2</v>
      </c>
      <c r="AM253">
        <f>CORREL(Table1[MonthlyIncome],AK253:AK1722)</f>
        <v>-1.2431872048799123E-2</v>
      </c>
      <c r="AN253">
        <f>CORREL(Table1[YearsAtCompany],AK253:AK1722)</f>
        <v>7.549666138864943E-3</v>
      </c>
      <c r="AO253">
        <f t="shared" si="3"/>
        <v>0</v>
      </c>
    </row>
    <row r="254" spans="1:41" x14ac:dyDescent="0.25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  <c r="AK254" s="4">
        <f>IF(Table1[[#This Row],[Attrition]]="Yes", 1,0)</f>
        <v>0</v>
      </c>
      <c r="AL254">
        <f>CORREL(Table1[Age],AK254:AK1723)</f>
        <v>3.6626323915011564E-3</v>
      </c>
      <c r="AM254">
        <f>CORREL(Table1[MonthlyIncome],AK254:AK1723)</f>
        <v>-5.4943403217409528E-3</v>
      </c>
      <c r="AN254">
        <f>CORREL(Table1[YearsAtCompany],AK254:AK1723)</f>
        <v>4.1580017710480463E-3</v>
      </c>
      <c r="AO254">
        <f t="shared" si="3"/>
        <v>0</v>
      </c>
    </row>
    <row r="255" spans="1:41" x14ac:dyDescent="0.25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  <c r="AK255" s="4">
        <f>IF(Table1[[#This Row],[Attrition]]="Yes", 1,0)</f>
        <v>0</v>
      </c>
      <c r="AL255">
        <f>CORREL(Table1[Age],AK255:AK1724)</f>
        <v>1.0864059916090855E-2</v>
      </c>
      <c r="AM255">
        <f>CORREL(Table1[MonthlyIncome],AK255:AK1724)</f>
        <v>-3.5527425532478195E-2</v>
      </c>
      <c r="AN255">
        <f>CORREL(Table1[YearsAtCompany],AK255:AK1724)</f>
        <v>2.611741644674655E-2</v>
      </c>
      <c r="AO255">
        <f t="shared" si="3"/>
        <v>0</v>
      </c>
    </row>
    <row r="256" spans="1:41" x14ac:dyDescent="0.25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  <c r="AK256" s="4">
        <f>IF(Table1[[#This Row],[Attrition]]="Yes", 1,0)</f>
        <v>0</v>
      </c>
      <c r="AL256">
        <f>CORREL(Table1[Age],AK256:AK1725)</f>
        <v>2.0970122868567892E-2</v>
      </c>
      <c r="AM256">
        <f>CORREL(Table1[MonthlyIncome],AK256:AK1725)</f>
        <v>3.3134897511052808E-2</v>
      </c>
      <c r="AN256">
        <f>CORREL(Table1[YearsAtCompany],AK256:AK1725)</f>
        <v>2.1303590752017969E-2</v>
      </c>
      <c r="AO256">
        <f t="shared" si="3"/>
        <v>0</v>
      </c>
    </row>
    <row r="257" spans="1:41" x14ac:dyDescent="0.25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  <c r="AK257" s="4">
        <f>IF(Table1[[#This Row],[Attrition]]="Yes", 1,0)</f>
        <v>0</v>
      </c>
      <c r="AL257">
        <f>CORREL(Table1[Age],AK257:AK1726)</f>
        <v>1.3902199983754021E-3</v>
      </c>
      <c r="AM257">
        <f>CORREL(Table1[MonthlyIncome],AK257:AK1726)</f>
        <v>-2.0542838730663346E-3</v>
      </c>
      <c r="AN257">
        <f>CORREL(Table1[YearsAtCompany],AK257:AK1726)</f>
        <v>-5.8838538507865138E-3</v>
      </c>
      <c r="AO257">
        <f t="shared" si="3"/>
        <v>0</v>
      </c>
    </row>
    <row r="258" spans="1:41" x14ac:dyDescent="0.25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  <c r="AK258" s="4">
        <f>IF(Table1[[#This Row],[Attrition]]="Yes", 1,0)</f>
        <v>0</v>
      </c>
      <c r="AL258">
        <f>CORREL(Table1[Age],AK258:AK1727)</f>
        <v>1.0574102297033143E-2</v>
      </c>
      <c r="AM258">
        <f>CORREL(Table1[MonthlyIncome],AK258:AK1727)</f>
        <v>-2.89856879988038E-2</v>
      </c>
      <c r="AN258">
        <f>CORREL(Table1[YearsAtCompany],AK258:AK1727)</f>
        <v>-4.1097774916107624E-2</v>
      </c>
      <c r="AO258">
        <f t="shared" si="3"/>
        <v>0</v>
      </c>
    </row>
    <row r="259" spans="1:41" x14ac:dyDescent="0.25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  <c r="AK259" s="4">
        <f>IF(Table1[[#This Row],[Attrition]]="Yes", 1,0)</f>
        <v>0</v>
      </c>
      <c r="AL259">
        <f>CORREL(Table1[Age],AK259:AK1728)</f>
        <v>3.3667473834515571E-2</v>
      </c>
      <c r="AM259">
        <f>CORREL(Table1[MonthlyIncome],AK259:AK1728)</f>
        <v>1.1004247788434196E-2</v>
      </c>
      <c r="AN259">
        <f>CORREL(Table1[YearsAtCompany],AK259:AK1728)</f>
        <v>1.4155815361058324E-3</v>
      </c>
      <c r="AO259">
        <f t="shared" ref="AO259:AO322" si="4">ABS(AK259)</f>
        <v>0</v>
      </c>
    </row>
    <row r="260" spans="1:41" x14ac:dyDescent="0.25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  <c r="AK260" s="4">
        <f>IF(Table1[[#This Row],[Attrition]]="Yes", 1,0)</f>
        <v>0</v>
      </c>
      <c r="AL260">
        <f>CORREL(Table1[Age],AK260:AK1729)</f>
        <v>2.1255811946432737E-2</v>
      </c>
      <c r="AM260">
        <f>CORREL(Table1[MonthlyIncome],AK260:AK1729)</f>
        <v>3.5223990500845959E-2</v>
      </c>
      <c r="AN260">
        <f>CORREL(Table1[YearsAtCompany],AK260:AK1729)</f>
        <v>2.6530825278813269E-2</v>
      </c>
      <c r="AO260">
        <f t="shared" si="4"/>
        <v>0</v>
      </c>
    </row>
    <row r="261" spans="1:41" x14ac:dyDescent="0.25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  <c r="AK261" s="4">
        <f>IF(Table1[[#This Row],[Attrition]]="Yes", 1,0)</f>
        <v>1</v>
      </c>
      <c r="AL261">
        <f>CORREL(Table1[Age],AK261:AK1730)</f>
        <v>9.9947134621516292E-4</v>
      </c>
      <c r="AM261">
        <f>CORREL(Table1[MonthlyIncome],AK261:AK1730)</f>
        <v>5.1941525785873299E-2</v>
      </c>
      <c r="AN261">
        <f>CORREL(Table1[YearsAtCompany],AK261:AK1730)</f>
        <v>4.1796990235536943E-2</v>
      </c>
      <c r="AO261">
        <f t="shared" si="4"/>
        <v>1</v>
      </c>
    </row>
    <row r="262" spans="1:41" x14ac:dyDescent="0.25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  <c r="AK262" s="4">
        <f>IF(Table1[[#This Row],[Attrition]]="Yes", 1,0)</f>
        <v>0</v>
      </c>
      <c r="AL262">
        <f>CORREL(Table1[Age],AK262:AK1731)</f>
        <v>3.3237643577370496E-2</v>
      </c>
      <c r="AM262">
        <f>CORREL(Table1[MonthlyIncome],AK262:AK1731)</f>
        <v>2.7946749207625778E-2</v>
      </c>
      <c r="AN262">
        <f>CORREL(Table1[YearsAtCompany],AK262:AK1731)</f>
        <v>8.3845706763580295E-3</v>
      </c>
      <c r="AO262">
        <f t="shared" si="4"/>
        <v>0</v>
      </c>
    </row>
    <row r="263" spans="1:41" x14ac:dyDescent="0.25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  <c r="AK263" s="4">
        <f>IF(Table1[[#This Row],[Attrition]]="Yes", 1,0)</f>
        <v>0</v>
      </c>
      <c r="AL263">
        <f>CORREL(Table1[Age],AK263:AK1732)</f>
        <v>8.3656299666224523E-2</v>
      </c>
      <c r="AM263">
        <f>CORREL(Table1[MonthlyIncome],AK263:AK1732)</f>
        <v>-1.2698595472178051E-4</v>
      </c>
      <c r="AN263">
        <f>CORREL(Table1[YearsAtCompany],AK263:AK1732)</f>
        <v>-1.8775664739516303E-2</v>
      </c>
      <c r="AO263">
        <f t="shared" si="4"/>
        <v>0</v>
      </c>
    </row>
    <row r="264" spans="1:41" x14ac:dyDescent="0.25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  <c r="AK264" s="4">
        <f>IF(Table1[[#This Row],[Attrition]]="Yes", 1,0)</f>
        <v>0</v>
      </c>
      <c r="AL264">
        <f>CORREL(Table1[Age],AK264:AK1733)</f>
        <v>3.4593520589786222E-2</v>
      </c>
      <c r="AM264">
        <f>CORREL(Table1[MonthlyIncome],AK264:AK1733)</f>
        <v>-2.2041132581375359E-2</v>
      </c>
      <c r="AN264">
        <f>CORREL(Table1[YearsAtCompany],AK264:AK1733)</f>
        <v>-4.0203481733461768E-3</v>
      </c>
      <c r="AO264">
        <f t="shared" si="4"/>
        <v>0</v>
      </c>
    </row>
    <row r="265" spans="1:41" x14ac:dyDescent="0.25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  <c r="AK265" s="4">
        <f>IF(Table1[[#This Row],[Attrition]]="Yes", 1,0)</f>
        <v>0</v>
      </c>
      <c r="AL265">
        <f>CORREL(Table1[Age],AK265:AK1734)</f>
        <v>-1.4408152064254992E-2</v>
      </c>
      <c r="AM265">
        <f>CORREL(Table1[MonthlyIncome],AK265:AK1734)</f>
        <v>2.1493035252956594E-2</v>
      </c>
      <c r="AN265">
        <f>CORREL(Table1[YearsAtCompany],AK265:AK1734)</f>
        <v>3.3375750350095115E-2</v>
      </c>
      <c r="AO265">
        <f t="shared" si="4"/>
        <v>0</v>
      </c>
    </row>
    <row r="266" spans="1:41" x14ac:dyDescent="0.25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  <c r="AK266" s="4">
        <f>IF(Table1[[#This Row],[Attrition]]="Yes", 1,0)</f>
        <v>1</v>
      </c>
      <c r="AL266">
        <f>CORREL(Table1[Age],AK266:AK1735)</f>
        <v>-3.5497100292096684E-2</v>
      </c>
      <c r="AM266">
        <f>CORREL(Table1[MonthlyIncome],AK266:AK1735)</f>
        <v>6.1054311818373747E-3</v>
      </c>
      <c r="AN266">
        <f>CORREL(Table1[YearsAtCompany],AK266:AK1735)</f>
        <v>-2.6391272563771797E-2</v>
      </c>
      <c r="AO266">
        <f t="shared" si="4"/>
        <v>1</v>
      </c>
    </row>
    <row r="267" spans="1:41" x14ac:dyDescent="0.25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  <c r="AK267" s="4">
        <f>IF(Table1[[#This Row],[Attrition]]="Yes", 1,0)</f>
        <v>0</v>
      </c>
      <c r="AL267">
        <f>CORREL(Table1[Age],AK267:AK1736)</f>
        <v>-3.8788752143393782E-3</v>
      </c>
      <c r="AM267">
        <f>CORREL(Table1[MonthlyIncome],AK267:AK1736)</f>
        <v>1.6824837536878905E-2</v>
      </c>
      <c r="AN267">
        <f>CORREL(Table1[YearsAtCompany],AK267:AK1736)</f>
        <v>-1.9966824776101767E-2</v>
      </c>
      <c r="AO267">
        <f t="shared" si="4"/>
        <v>0</v>
      </c>
    </row>
    <row r="268" spans="1:41" x14ac:dyDescent="0.25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  <c r="AK268" s="4">
        <f>IF(Table1[[#This Row],[Attrition]]="Yes", 1,0)</f>
        <v>0</v>
      </c>
      <c r="AL268">
        <f>CORREL(Table1[Age],AK268:AK1737)</f>
        <v>-3.000533929801626E-2</v>
      </c>
      <c r="AM268">
        <f>CORREL(Table1[MonthlyIncome],AK268:AK1737)</f>
        <v>4.7386358645329724E-2</v>
      </c>
      <c r="AN268">
        <f>CORREL(Table1[YearsAtCompany],AK268:AK1737)</f>
        <v>-9.8106416188268753E-3</v>
      </c>
      <c r="AO268">
        <f t="shared" si="4"/>
        <v>0</v>
      </c>
    </row>
    <row r="269" spans="1:41" x14ac:dyDescent="0.25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  <c r="AK269" s="4">
        <f>IF(Table1[[#This Row],[Attrition]]="Yes", 1,0)</f>
        <v>0</v>
      </c>
      <c r="AL269">
        <f>CORREL(Table1[Age],AK269:AK1738)</f>
        <v>5.0111577930522545E-2</v>
      </c>
      <c r="AM269">
        <f>CORREL(Table1[MonthlyIncome],AK269:AK1738)</f>
        <v>3.926676480381492E-2</v>
      </c>
      <c r="AN269">
        <f>CORREL(Table1[YearsAtCompany],AK269:AK1738)</f>
        <v>1.4943542758074585E-3</v>
      </c>
      <c r="AO269">
        <f t="shared" si="4"/>
        <v>0</v>
      </c>
    </row>
    <row r="270" spans="1:41" x14ac:dyDescent="0.25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  <c r="AK270" s="4">
        <f>IF(Table1[[#This Row],[Attrition]]="Yes", 1,0)</f>
        <v>0</v>
      </c>
      <c r="AL270">
        <f>CORREL(Table1[Age],AK270:AK1739)</f>
        <v>2.4782936956109156E-2</v>
      </c>
      <c r="AM270">
        <f>CORREL(Table1[MonthlyIncome],AK270:AK1739)</f>
        <v>2.6898588470756189E-2</v>
      </c>
      <c r="AN270">
        <f>CORREL(Table1[YearsAtCompany],AK270:AK1739)</f>
        <v>5.5311168550528901E-2</v>
      </c>
      <c r="AO270">
        <f t="shared" si="4"/>
        <v>0</v>
      </c>
    </row>
    <row r="271" spans="1:41" x14ac:dyDescent="0.25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  <c r="AK271" s="4">
        <f>IF(Table1[[#This Row],[Attrition]]="Yes", 1,0)</f>
        <v>0</v>
      </c>
      <c r="AL271">
        <f>CORREL(Table1[Age],AK271:AK1740)</f>
        <v>-2.3854667793093576E-2</v>
      </c>
      <c r="AM271">
        <f>CORREL(Table1[MonthlyIncome],AK271:AK1740)</f>
        <v>2.8395821326966626E-2</v>
      </c>
      <c r="AN271">
        <f>CORREL(Table1[YearsAtCompany],AK271:AK1740)</f>
        <v>-2.8845690258701477E-2</v>
      </c>
      <c r="AO271">
        <f t="shared" si="4"/>
        <v>0</v>
      </c>
    </row>
    <row r="272" spans="1:41" x14ac:dyDescent="0.25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  <c r="AK272" s="4">
        <f>IF(Table1[[#This Row],[Attrition]]="Yes", 1,0)</f>
        <v>0</v>
      </c>
      <c r="AL272">
        <f>CORREL(Table1[Age],AK272:AK1741)</f>
        <v>-6.2405879099314806E-3</v>
      </c>
      <c r="AM272">
        <f>CORREL(Table1[MonthlyIncome],AK272:AK1741)</f>
        <v>-1.948299470297675E-2</v>
      </c>
      <c r="AN272">
        <f>CORREL(Table1[YearsAtCompany],AK272:AK1741)</f>
        <v>2.1066046638162452E-3</v>
      </c>
      <c r="AO272">
        <f t="shared" si="4"/>
        <v>0</v>
      </c>
    </row>
    <row r="273" spans="1:41" x14ac:dyDescent="0.25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  <c r="AK273" s="4">
        <f>IF(Table1[[#This Row],[Attrition]]="Yes", 1,0)</f>
        <v>1</v>
      </c>
      <c r="AL273">
        <f>CORREL(Table1[Age],AK273:AK1742)</f>
        <v>-2.5092889700605473E-2</v>
      </c>
      <c r="AM273">
        <f>CORREL(Table1[MonthlyIncome],AK273:AK1742)</f>
        <v>1.6636448405482229E-2</v>
      </c>
      <c r="AN273">
        <f>CORREL(Table1[YearsAtCompany],AK273:AK1742)</f>
        <v>-7.833748015580129E-3</v>
      </c>
      <c r="AO273">
        <f t="shared" si="4"/>
        <v>1</v>
      </c>
    </row>
    <row r="274" spans="1:41" x14ac:dyDescent="0.25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  <c r="AK274" s="4">
        <f>IF(Table1[[#This Row],[Attrition]]="Yes", 1,0)</f>
        <v>0</v>
      </c>
      <c r="AL274">
        <f>CORREL(Table1[Age],AK274:AK1743)</f>
        <v>-1.2820186833664093E-2</v>
      </c>
      <c r="AM274">
        <f>CORREL(Table1[MonthlyIncome],AK274:AK1743)</f>
        <v>-1.3272879951271022E-2</v>
      </c>
      <c r="AN274">
        <f>CORREL(Table1[YearsAtCompany],AK274:AK1743)</f>
        <v>2.3092663998559949E-2</v>
      </c>
      <c r="AO274">
        <f t="shared" si="4"/>
        <v>0</v>
      </c>
    </row>
    <row r="275" spans="1:41" x14ac:dyDescent="0.25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  <c r="AK275" s="4">
        <f>IF(Table1[[#This Row],[Attrition]]="Yes", 1,0)</f>
        <v>0</v>
      </c>
      <c r="AL275">
        <f>CORREL(Table1[Age],AK275:AK1744)</f>
        <v>-1.7925468701195275E-2</v>
      </c>
      <c r="AM275">
        <f>CORREL(Table1[MonthlyIncome],AK275:AK1744)</f>
        <v>-2.7085504818301718E-3</v>
      </c>
      <c r="AN275">
        <f>CORREL(Table1[YearsAtCompany],AK275:AK1744)</f>
        <v>1.0915481750453893E-2</v>
      </c>
      <c r="AO275">
        <f t="shared" si="4"/>
        <v>0</v>
      </c>
    </row>
    <row r="276" spans="1:41" x14ac:dyDescent="0.25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  <c r="AK276" s="4">
        <f>IF(Table1[[#This Row],[Attrition]]="Yes", 1,0)</f>
        <v>0</v>
      </c>
      <c r="AL276">
        <f>CORREL(Table1[Age],AK276:AK1745)</f>
        <v>-2.2921088225398584E-2</v>
      </c>
      <c r="AM276">
        <f>CORREL(Table1[MonthlyIncome],AK276:AK1745)</f>
        <v>-7.0202230540370475E-2</v>
      </c>
      <c r="AN276">
        <f>CORREL(Table1[YearsAtCompany],AK276:AK1745)</f>
        <v>-5.5957755812750965E-3</v>
      </c>
      <c r="AO276">
        <f t="shared" si="4"/>
        <v>0</v>
      </c>
    </row>
    <row r="277" spans="1:41" x14ac:dyDescent="0.25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  <c r="AK277" s="4">
        <f>IF(Table1[[#This Row],[Attrition]]="Yes", 1,0)</f>
        <v>0</v>
      </c>
      <c r="AL277">
        <f>CORREL(Table1[Age],AK277:AK1746)</f>
        <v>-8.2267826469325806E-3</v>
      </c>
      <c r="AM277">
        <f>CORREL(Table1[MonthlyIncome],AK277:AK1746)</f>
        <v>-5.7793729155054558E-3</v>
      </c>
      <c r="AN277">
        <f>CORREL(Table1[YearsAtCompany],AK277:AK1746)</f>
        <v>-4.462607351413005E-3</v>
      </c>
      <c r="AO277">
        <f t="shared" si="4"/>
        <v>0</v>
      </c>
    </row>
    <row r="278" spans="1:41" x14ac:dyDescent="0.25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  <c r="AK278" s="4">
        <f>IF(Table1[[#This Row],[Attrition]]="Yes", 1,0)</f>
        <v>0</v>
      </c>
      <c r="AL278">
        <f>CORREL(Table1[Age],AK278:AK1747)</f>
        <v>-2.3307290737990729E-2</v>
      </c>
      <c r="AM278">
        <f>CORREL(Table1[MonthlyIncome],AK278:AK1747)</f>
        <v>-8.3688647678170397E-4</v>
      </c>
      <c r="AN278">
        <f>CORREL(Table1[YearsAtCompany],AK278:AK1747)</f>
        <v>9.7188787936352116E-3</v>
      </c>
      <c r="AO278">
        <f t="shared" si="4"/>
        <v>0</v>
      </c>
    </row>
    <row r="279" spans="1:41" x14ac:dyDescent="0.25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  <c r="AK279" s="4">
        <f>IF(Table1[[#This Row],[Attrition]]="Yes", 1,0)</f>
        <v>0</v>
      </c>
      <c r="AL279">
        <f>CORREL(Table1[Age],AK279:AK1748)</f>
        <v>-4.3901451401738734E-2</v>
      </c>
      <c r="AM279">
        <f>CORREL(Table1[MonthlyIncome],AK279:AK1748)</f>
        <v>-2.4047629351847961E-2</v>
      </c>
      <c r="AN279">
        <f>CORREL(Table1[YearsAtCompany],AK279:AK1748)</f>
        <v>-1.9669485926428917E-2</v>
      </c>
      <c r="AO279">
        <f t="shared" si="4"/>
        <v>0</v>
      </c>
    </row>
    <row r="280" spans="1:41" x14ac:dyDescent="0.25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  <c r="AK280" s="4">
        <f>IF(Table1[[#This Row],[Attrition]]="Yes", 1,0)</f>
        <v>0</v>
      </c>
      <c r="AL280">
        <f>CORREL(Table1[Age],AK280:AK1749)</f>
        <v>-2.3055162080701408E-2</v>
      </c>
      <c r="AM280">
        <f>CORREL(Table1[MonthlyIncome],AK280:AK1749)</f>
        <v>-1.8728732381993862E-2</v>
      </c>
      <c r="AN280">
        <f>CORREL(Table1[YearsAtCompany],AK280:AK1749)</f>
        <v>9.6054497195721313E-3</v>
      </c>
      <c r="AO280">
        <f t="shared" si="4"/>
        <v>0</v>
      </c>
    </row>
    <row r="281" spans="1:41" x14ac:dyDescent="0.25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  <c r="AK281" s="4">
        <f>IF(Table1[[#This Row],[Attrition]]="Yes", 1,0)</f>
        <v>0</v>
      </c>
      <c r="AL281">
        <f>CORREL(Table1[Age],AK281:AK1750)</f>
        <v>5.5873798489603568E-2</v>
      </c>
      <c r="AM281">
        <f>CORREL(Table1[MonthlyIncome],AK281:AK1750)</f>
        <v>-2.7491510635869569E-2</v>
      </c>
      <c r="AN281">
        <f>CORREL(Table1[YearsAtCompany],AK281:AK1750)</f>
        <v>3.1423695359780575E-2</v>
      </c>
      <c r="AO281">
        <f t="shared" si="4"/>
        <v>0</v>
      </c>
    </row>
    <row r="282" spans="1:41" x14ac:dyDescent="0.25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  <c r="AK282" s="4">
        <f>IF(Table1[[#This Row],[Attrition]]="Yes", 1,0)</f>
        <v>0</v>
      </c>
      <c r="AL282">
        <f>CORREL(Table1[Age],AK282:AK1751)</f>
        <v>6.2546546634014953E-3</v>
      </c>
      <c r="AM282">
        <f>CORREL(Table1[MonthlyIncome],AK282:AK1751)</f>
        <v>-5.4008330545155241E-2</v>
      </c>
      <c r="AN282">
        <f>CORREL(Table1[YearsAtCompany],AK282:AK1751)</f>
        <v>-2.9082623092472535E-2</v>
      </c>
      <c r="AO282">
        <f t="shared" si="4"/>
        <v>0</v>
      </c>
    </row>
    <row r="283" spans="1:41" x14ac:dyDescent="0.25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  <c r="AK283" s="4">
        <f>IF(Table1[[#This Row],[Attrition]]="Yes", 1,0)</f>
        <v>0</v>
      </c>
      <c r="AL283">
        <f>CORREL(Table1[Age],AK283:AK1752)</f>
        <v>1.9378727438770133E-2</v>
      </c>
      <c r="AM283">
        <f>CORREL(Table1[MonthlyIncome],AK283:AK1752)</f>
        <v>-2.0238475300648512E-2</v>
      </c>
      <c r="AN283">
        <f>CORREL(Table1[YearsAtCompany],AK283:AK1752)</f>
        <v>-2.8067579158934656E-2</v>
      </c>
      <c r="AO283">
        <f t="shared" si="4"/>
        <v>0</v>
      </c>
    </row>
    <row r="284" spans="1:41" x14ac:dyDescent="0.25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  <c r="AK284" s="4">
        <f>IF(Table1[[#This Row],[Attrition]]="Yes", 1,0)</f>
        <v>0</v>
      </c>
      <c r="AL284">
        <f>CORREL(Table1[Age],AK284:AK1753)</f>
        <v>1.2669244245939555E-2</v>
      </c>
      <c r="AM284">
        <f>CORREL(Table1[MonthlyIncome],AK284:AK1753)</f>
        <v>-1.8926685225553253E-3</v>
      </c>
      <c r="AN284">
        <f>CORREL(Table1[YearsAtCompany],AK284:AK1753)</f>
        <v>-1.3104486483960698E-2</v>
      </c>
      <c r="AO284">
        <f t="shared" si="4"/>
        <v>0</v>
      </c>
    </row>
    <row r="285" spans="1:41" x14ac:dyDescent="0.25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  <c r="AK285" s="4">
        <f>IF(Table1[[#This Row],[Attrition]]="Yes", 1,0)</f>
        <v>0</v>
      </c>
      <c r="AL285">
        <f>CORREL(Table1[Age],AK285:AK1754)</f>
        <v>-3.9213772835839822E-2</v>
      </c>
      <c r="AM285">
        <f>CORREL(Table1[MonthlyIncome],AK285:AK1754)</f>
        <v>9.9601586037026003E-3</v>
      </c>
      <c r="AN285">
        <f>CORREL(Table1[YearsAtCompany],AK285:AK1754)</f>
        <v>2.401722193331153E-3</v>
      </c>
      <c r="AO285">
        <f t="shared" si="4"/>
        <v>0</v>
      </c>
    </row>
    <row r="286" spans="1:41" x14ac:dyDescent="0.25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  <c r="AK286" s="4">
        <f>IF(Table1[[#This Row],[Attrition]]="Yes", 1,0)</f>
        <v>0</v>
      </c>
      <c r="AL286">
        <f>CORREL(Table1[Age],AK286:AK1755)</f>
        <v>-1.0994910031624327E-2</v>
      </c>
      <c r="AM286">
        <f>CORREL(Table1[MonthlyIncome],AK286:AK1755)</f>
        <v>-4.5589166306968375E-2</v>
      </c>
      <c r="AN286">
        <f>CORREL(Table1[YearsAtCompany],AK286:AK1755)</f>
        <v>1.0577527876301023E-2</v>
      </c>
      <c r="AO286">
        <f t="shared" si="4"/>
        <v>0</v>
      </c>
    </row>
    <row r="287" spans="1:41" x14ac:dyDescent="0.25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  <c r="AK287" s="4">
        <f>IF(Table1[[#This Row],[Attrition]]="Yes", 1,0)</f>
        <v>0</v>
      </c>
      <c r="AL287">
        <f>CORREL(Table1[Age],AK287:AK1756)</f>
        <v>1.5829777213494687E-2</v>
      </c>
      <c r="AM287">
        <f>CORREL(Table1[MonthlyIncome],AK287:AK1756)</f>
        <v>-3.486683427149085E-2</v>
      </c>
      <c r="AN287">
        <f>CORREL(Table1[YearsAtCompany],AK287:AK1756)</f>
        <v>5.2077293656521556E-3</v>
      </c>
      <c r="AO287">
        <f t="shared" si="4"/>
        <v>0</v>
      </c>
    </row>
    <row r="288" spans="1:41" x14ac:dyDescent="0.25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  <c r="AK288" s="4">
        <f>IF(Table1[[#This Row],[Attrition]]="Yes", 1,0)</f>
        <v>1</v>
      </c>
      <c r="AL288">
        <f>CORREL(Table1[Age],AK288:AK1757)</f>
        <v>1.0126870611374409E-2</v>
      </c>
      <c r="AM288">
        <f>CORREL(Table1[MonthlyIncome],AK288:AK1757)</f>
        <v>1.2988444741887956E-2</v>
      </c>
      <c r="AN288">
        <f>CORREL(Table1[YearsAtCompany],AK288:AK1757)</f>
        <v>-2.0644799968562718E-2</v>
      </c>
      <c r="AO288">
        <f t="shared" si="4"/>
        <v>1</v>
      </c>
    </row>
    <row r="289" spans="1:41" x14ac:dyDescent="0.25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  <c r="AK289" s="4">
        <f>IF(Table1[[#This Row],[Attrition]]="Yes", 1,0)</f>
        <v>0</v>
      </c>
      <c r="AL289">
        <f>CORREL(Table1[Age],AK289:AK1758)</f>
        <v>5.6308978950515051E-2</v>
      </c>
      <c r="AM289">
        <f>CORREL(Table1[MonthlyIncome],AK289:AK1758)</f>
        <v>-1.2498482494797328E-2</v>
      </c>
      <c r="AN289">
        <f>CORREL(Table1[YearsAtCompany],AK289:AK1758)</f>
        <v>-1.2193719127837298E-3</v>
      </c>
      <c r="AO289">
        <f t="shared" si="4"/>
        <v>0</v>
      </c>
    </row>
    <row r="290" spans="1:41" x14ac:dyDescent="0.25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  <c r="AK290" s="4">
        <f>IF(Table1[[#This Row],[Attrition]]="Yes", 1,0)</f>
        <v>1</v>
      </c>
      <c r="AL290">
        <f>CORREL(Table1[Age],AK290:AK1759)</f>
        <v>1.303129791276538E-2</v>
      </c>
      <c r="AM290">
        <f>CORREL(Table1[MonthlyIncome],AK290:AK1759)</f>
        <v>1.0354646141328954E-2</v>
      </c>
      <c r="AN290">
        <f>CORREL(Table1[YearsAtCompany],AK290:AK1759)</f>
        <v>9.4101457001744358E-3</v>
      </c>
      <c r="AO290">
        <f t="shared" si="4"/>
        <v>1</v>
      </c>
    </row>
    <row r="291" spans="1:41" x14ac:dyDescent="0.25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  <c r="AK291" s="4">
        <f>IF(Table1[[#This Row],[Attrition]]="Yes", 1,0)</f>
        <v>0</v>
      </c>
      <c r="AL291">
        <f>CORREL(Table1[Age],AK291:AK1760)</f>
        <v>2.7671851204952299E-2</v>
      </c>
      <c r="AM291">
        <f>CORREL(Table1[MonthlyIncome],AK291:AK1760)</f>
        <v>-4.7688970603518739E-3</v>
      </c>
      <c r="AN291">
        <f>CORREL(Table1[YearsAtCompany],AK291:AK1760)</f>
        <v>7.3920453608017815E-3</v>
      </c>
      <c r="AO291">
        <f t="shared" si="4"/>
        <v>0</v>
      </c>
    </row>
    <row r="292" spans="1:41" x14ac:dyDescent="0.25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  <c r="AK292" s="4">
        <f>IF(Table1[[#This Row],[Attrition]]="Yes", 1,0)</f>
        <v>0</v>
      </c>
      <c r="AL292">
        <f>CORREL(Table1[Age],AK292:AK1761)</f>
        <v>8.7992600231806273E-3</v>
      </c>
      <c r="AM292">
        <f>CORREL(Table1[MonthlyIncome],AK292:AK1761)</f>
        <v>1.2025079848563254E-2</v>
      </c>
      <c r="AN292">
        <f>CORREL(Table1[YearsAtCompany],AK292:AK1761)</f>
        <v>-2.1501029341891437E-2</v>
      </c>
      <c r="AO292">
        <f t="shared" si="4"/>
        <v>0</v>
      </c>
    </row>
    <row r="293" spans="1:41" x14ac:dyDescent="0.25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  <c r="AK293" s="4">
        <f>IF(Table1[[#This Row],[Attrition]]="Yes", 1,0)</f>
        <v>0</v>
      </c>
      <c r="AL293">
        <f>CORREL(Table1[Age],AK293:AK1762)</f>
        <v>-1.288397564583244E-2</v>
      </c>
      <c r="AM293">
        <f>CORREL(Table1[MonthlyIncome],AK293:AK1762)</f>
        <v>1.3201152911723564E-2</v>
      </c>
      <c r="AN293">
        <f>CORREL(Table1[YearsAtCompany],AK293:AK1762)</f>
        <v>-3.8362448241956899E-2</v>
      </c>
      <c r="AO293">
        <f t="shared" si="4"/>
        <v>0</v>
      </c>
    </row>
    <row r="294" spans="1:41" x14ac:dyDescent="0.25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  <c r="AK294" s="4">
        <f>IF(Table1[[#This Row],[Attrition]]="Yes", 1,0)</f>
        <v>0</v>
      </c>
      <c r="AL294">
        <f>CORREL(Table1[Age],AK294:AK1763)</f>
        <v>-3.1708531734896649E-2</v>
      </c>
      <c r="AM294">
        <f>CORREL(Table1[MonthlyIncome],AK294:AK1763)</f>
        <v>2.6877051447660692E-2</v>
      </c>
      <c r="AN294">
        <f>CORREL(Table1[YearsAtCompany],AK294:AK1763)</f>
        <v>6.0045890538791861E-4</v>
      </c>
      <c r="AO294">
        <f t="shared" si="4"/>
        <v>0</v>
      </c>
    </row>
    <row r="295" spans="1:41" x14ac:dyDescent="0.25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  <c r="AK295" s="4">
        <f>IF(Table1[[#This Row],[Attrition]]="Yes", 1,0)</f>
        <v>1</v>
      </c>
      <c r="AL295">
        <f>CORREL(Table1[Age],AK295:AK1764)</f>
        <v>-6.3655511243582144E-3</v>
      </c>
      <c r="AM295">
        <f>CORREL(Table1[MonthlyIncome],AK295:AK1764)</f>
        <v>-5.3220302508360118E-3</v>
      </c>
      <c r="AN295">
        <f>CORREL(Table1[YearsAtCompany],AK295:AK1764)</f>
        <v>3.1921109003668719E-3</v>
      </c>
      <c r="AO295">
        <f t="shared" si="4"/>
        <v>1</v>
      </c>
    </row>
    <row r="296" spans="1:41" x14ac:dyDescent="0.25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  <c r="AK296" s="4">
        <f>IF(Table1[[#This Row],[Attrition]]="Yes", 1,0)</f>
        <v>0</v>
      </c>
      <c r="AL296">
        <f>CORREL(Table1[Age],AK296:AK1765)</f>
        <v>-1.2883379354276348E-2</v>
      </c>
      <c r="AM296">
        <f>CORREL(Table1[MonthlyIncome],AK296:AK1765)</f>
        <v>-3.3006823915109569E-2</v>
      </c>
      <c r="AN296">
        <f>CORREL(Table1[YearsAtCompany],AK296:AK1765)</f>
        <v>-1.6646393330600098E-2</v>
      </c>
      <c r="AO296">
        <f t="shared" si="4"/>
        <v>0</v>
      </c>
    </row>
    <row r="297" spans="1:41" x14ac:dyDescent="0.25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  <c r="AK297" s="4">
        <f>IF(Table1[[#This Row],[Attrition]]="Yes", 1,0)</f>
        <v>0</v>
      </c>
      <c r="AL297">
        <f>CORREL(Table1[Age],AK297:AK1766)</f>
        <v>-2.8337459837763303E-3</v>
      </c>
      <c r="AM297">
        <f>CORREL(Table1[MonthlyIncome],AK297:AK1766)</f>
        <v>1.3117430535768096E-3</v>
      </c>
      <c r="AN297">
        <f>CORREL(Table1[YearsAtCompany],AK297:AK1766)</f>
        <v>5.6911892224564962E-2</v>
      </c>
      <c r="AO297">
        <f t="shared" si="4"/>
        <v>0</v>
      </c>
    </row>
    <row r="298" spans="1:41" x14ac:dyDescent="0.25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  <c r="AK298" s="4">
        <f>IF(Table1[[#This Row],[Attrition]]="Yes", 1,0)</f>
        <v>1</v>
      </c>
      <c r="AL298">
        <f>CORREL(Table1[Age],AK298:AK1767)</f>
        <v>4.1078267909747966E-2</v>
      </c>
      <c r="AM298">
        <f>CORREL(Table1[MonthlyIncome],AK298:AK1767)</f>
        <v>-6.8731702540599186E-3</v>
      </c>
      <c r="AN298">
        <f>CORREL(Table1[YearsAtCompany],AK298:AK1767)</f>
        <v>1.2040888262906446E-2</v>
      </c>
      <c r="AO298">
        <f t="shared" si="4"/>
        <v>1</v>
      </c>
    </row>
    <row r="299" spans="1:41" x14ac:dyDescent="0.25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  <c r="AK299" s="4">
        <f>IF(Table1[[#This Row],[Attrition]]="Yes", 1,0)</f>
        <v>0</v>
      </c>
      <c r="AL299">
        <f>CORREL(Table1[Age],AK299:AK1768)</f>
        <v>-3.3868920421144984E-2</v>
      </c>
      <c r="AM299">
        <f>CORREL(Table1[MonthlyIncome],AK299:AK1768)</f>
        <v>-5.216244601346709E-2</v>
      </c>
      <c r="AN299">
        <f>CORREL(Table1[YearsAtCompany],AK299:AK1768)</f>
        <v>-5.0302941022198289E-2</v>
      </c>
      <c r="AO299">
        <f t="shared" si="4"/>
        <v>0</v>
      </c>
    </row>
    <row r="300" spans="1:41" x14ac:dyDescent="0.25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  <c r="AK300" s="4">
        <f>IF(Table1[[#This Row],[Attrition]]="Yes", 1,0)</f>
        <v>0</v>
      </c>
      <c r="AL300">
        <f>CORREL(Table1[Age],AK300:AK1769)</f>
        <v>3.0815647151386422E-2</v>
      </c>
      <c r="AM300">
        <f>CORREL(Table1[MonthlyIncome],AK300:AK1769)</f>
        <v>4.1557002727493374E-2</v>
      </c>
      <c r="AN300">
        <f>CORREL(Table1[YearsAtCompany],AK300:AK1769)</f>
        <v>1.2105266114303652E-2</v>
      </c>
      <c r="AO300">
        <f t="shared" si="4"/>
        <v>0</v>
      </c>
    </row>
    <row r="301" spans="1:41" x14ac:dyDescent="0.25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  <c r="AK301" s="4">
        <f>IF(Table1[[#This Row],[Attrition]]="Yes", 1,0)</f>
        <v>0</v>
      </c>
      <c r="AL301">
        <f>CORREL(Table1[Age],AK301:AK1770)</f>
        <v>-8.8257428947697524E-3</v>
      </c>
      <c r="AM301">
        <f>CORREL(Table1[MonthlyIncome],AK301:AK1770)</f>
        <v>3.4270169872785967E-3</v>
      </c>
      <c r="AN301">
        <f>CORREL(Table1[YearsAtCompany],AK301:AK1770)</f>
        <v>1.8143164849595883E-2</v>
      </c>
      <c r="AO301">
        <f t="shared" si="4"/>
        <v>0</v>
      </c>
    </row>
    <row r="302" spans="1:41" x14ac:dyDescent="0.25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  <c r="AK302" s="4">
        <f>IF(Table1[[#This Row],[Attrition]]="Yes", 1,0)</f>
        <v>0</v>
      </c>
      <c r="AL302">
        <f>CORREL(Table1[Age],AK302:AK1771)</f>
        <v>7.485032748579655E-2</v>
      </c>
      <c r="AM302">
        <f>CORREL(Table1[MonthlyIncome],AK302:AK1771)</f>
        <v>6.105166225874771E-2</v>
      </c>
      <c r="AN302">
        <f>CORREL(Table1[YearsAtCompany],AK302:AK1771)</f>
        <v>1.1012218473933666E-2</v>
      </c>
      <c r="AO302">
        <f t="shared" si="4"/>
        <v>0</v>
      </c>
    </row>
    <row r="303" spans="1:41" x14ac:dyDescent="0.25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  <c r="AK303" s="4">
        <f>IF(Table1[[#This Row],[Attrition]]="Yes", 1,0)</f>
        <v>0</v>
      </c>
      <c r="AL303">
        <f>CORREL(Table1[Age],AK303:AK1772)</f>
        <v>-4.1193986314977414E-2</v>
      </c>
      <c r="AM303">
        <f>CORREL(Table1[MonthlyIncome],AK303:AK1772)</f>
        <v>1.1463122099464259E-2</v>
      </c>
      <c r="AN303">
        <f>CORREL(Table1[YearsAtCompany],AK303:AK1772)</f>
        <v>-3.6435022744020579E-2</v>
      </c>
      <c r="AO303">
        <f t="shared" si="4"/>
        <v>0</v>
      </c>
    </row>
    <row r="304" spans="1:41" x14ac:dyDescent="0.25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  <c r="AK304" s="4">
        <f>IF(Table1[[#This Row],[Attrition]]="Yes", 1,0)</f>
        <v>0</v>
      </c>
      <c r="AL304">
        <f>CORREL(Table1[Age],AK304:AK1773)</f>
        <v>-4.4014795815408111E-2</v>
      </c>
      <c r="AM304">
        <f>CORREL(Table1[MonthlyIncome],AK304:AK1773)</f>
        <v>1.1900772178235755E-2</v>
      </c>
      <c r="AN304">
        <f>CORREL(Table1[YearsAtCompany],AK304:AK1773)</f>
        <v>7.4143263820319136E-3</v>
      </c>
      <c r="AO304">
        <f t="shared" si="4"/>
        <v>0</v>
      </c>
    </row>
    <row r="305" spans="1:41" x14ac:dyDescent="0.25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  <c r="AK305" s="4">
        <f>IF(Table1[[#This Row],[Attrition]]="Yes", 1,0)</f>
        <v>0</v>
      </c>
      <c r="AL305">
        <f>CORREL(Table1[Age],AK305:AK1774)</f>
        <v>6.7941300684514025E-2</v>
      </c>
      <c r="AM305">
        <f>CORREL(Table1[MonthlyIncome],AK305:AK1774)</f>
        <v>6.2390832418887959E-2</v>
      </c>
      <c r="AN305">
        <f>CORREL(Table1[YearsAtCompany],AK305:AK1774)</f>
        <v>6.4228490910249944E-2</v>
      </c>
      <c r="AO305">
        <f t="shared" si="4"/>
        <v>0</v>
      </c>
    </row>
    <row r="306" spans="1:41" x14ac:dyDescent="0.25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  <c r="AK306" s="4">
        <f>IF(Table1[[#This Row],[Attrition]]="Yes", 1,0)</f>
        <v>0</v>
      </c>
      <c r="AL306">
        <f>CORREL(Table1[Age],AK306:AK1775)</f>
        <v>7.1193720755494003E-2</v>
      </c>
      <c r="AM306">
        <f>CORREL(Table1[MonthlyIncome],AK306:AK1775)</f>
        <v>1.6701978804038366E-2</v>
      </c>
      <c r="AN306">
        <f>CORREL(Table1[YearsAtCompany],AK306:AK1775)</f>
        <v>4.9823595031708977E-3</v>
      </c>
      <c r="AO306">
        <f t="shared" si="4"/>
        <v>0</v>
      </c>
    </row>
    <row r="307" spans="1:41" x14ac:dyDescent="0.25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  <c r="AK307" s="4">
        <f>IF(Table1[[#This Row],[Attrition]]="Yes", 1,0)</f>
        <v>0</v>
      </c>
      <c r="AL307">
        <f>CORREL(Table1[Age],AK307:AK1776)</f>
        <v>9.9695306371845463E-4</v>
      </c>
      <c r="AM307">
        <f>CORREL(Table1[MonthlyIncome],AK307:AK1776)</f>
        <v>1.4330177391735303E-2</v>
      </c>
      <c r="AN307">
        <f>CORREL(Table1[YearsAtCompany],AK307:AK1776)</f>
        <v>3.8489088691917368E-2</v>
      </c>
      <c r="AO307">
        <f t="shared" si="4"/>
        <v>0</v>
      </c>
    </row>
    <row r="308" spans="1:41" x14ac:dyDescent="0.25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  <c r="AK308" s="4">
        <f>IF(Table1[[#This Row],[Attrition]]="Yes", 1,0)</f>
        <v>0</v>
      </c>
      <c r="AL308">
        <f>CORREL(Table1[Age],AK308:AK1777)</f>
        <v>-8.6671164656884157E-3</v>
      </c>
      <c r="AM308">
        <f>CORREL(Table1[MonthlyIncome],AK308:AK1777)</f>
        <v>-2.5357220844008738E-2</v>
      </c>
      <c r="AN308">
        <f>CORREL(Table1[YearsAtCompany],AK308:AK1777)</f>
        <v>-1.3348296049159946E-2</v>
      </c>
      <c r="AO308">
        <f t="shared" si="4"/>
        <v>0</v>
      </c>
    </row>
    <row r="309" spans="1:41" x14ac:dyDescent="0.25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  <c r="AK309" s="4">
        <f>IF(Table1[[#This Row],[Attrition]]="Yes", 1,0)</f>
        <v>0</v>
      </c>
      <c r="AL309">
        <f>CORREL(Table1[Age],AK309:AK1778)</f>
        <v>6.8920266374732494E-3</v>
      </c>
      <c r="AM309">
        <f>CORREL(Table1[MonthlyIncome],AK309:AK1778)</f>
        <v>1.7966813049817891E-2</v>
      </c>
      <c r="AN309">
        <f>CORREL(Table1[YearsAtCompany],AK309:AK1778)</f>
        <v>-8.1669451330539048E-3</v>
      </c>
      <c r="AO309">
        <f t="shared" si="4"/>
        <v>0</v>
      </c>
    </row>
    <row r="310" spans="1:41" x14ac:dyDescent="0.25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  <c r="AK310" s="4">
        <f>IF(Table1[[#This Row],[Attrition]]="Yes", 1,0)</f>
        <v>0</v>
      </c>
      <c r="AL310">
        <f>CORREL(Table1[Age],AK310:AK1779)</f>
        <v>2.1117633938625088E-2</v>
      </c>
      <c r="AM310">
        <f>CORREL(Table1[MonthlyIncome],AK310:AK1779)</f>
        <v>-1.4819273319582344E-2</v>
      </c>
      <c r="AN310">
        <f>CORREL(Table1[YearsAtCompany],AK310:AK1779)</f>
        <v>-4.5210639926883192E-2</v>
      </c>
      <c r="AO310">
        <f t="shared" si="4"/>
        <v>0</v>
      </c>
    </row>
    <row r="311" spans="1:41" x14ac:dyDescent="0.25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  <c r="AK311" s="4">
        <f>IF(Table1[[#This Row],[Attrition]]="Yes", 1,0)</f>
        <v>0</v>
      </c>
      <c r="AL311">
        <f>CORREL(Table1[Age],AK311:AK1780)</f>
        <v>-3.9583484987220939E-2</v>
      </c>
      <c r="AM311">
        <f>CORREL(Table1[MonthlyIncome],AK311:AK1780)</f>
        <v>-8.2092794535505807E-3</v>
      </c>
      <c r="AN311">
        <f>CORREL(Table1[YearsAtCompany],AK311:AK1780)</f>
        <v>-1.4545702203089915E-2</v>
      </c>
      <c r="AO311">
        <f t="shared" si="4"/>
        <v>0</v>
      </c>
    </row>
    <row r="312" spans="1:41" x14ac:dyDescent="0.25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  <c r="AK312" s="4">
        <f>IF(Table1[[#This Row],[Attrition]]="Yes", 1,0)</f>
        <v>0</v>
      </c>
      <c r="AL312">
        <f>CORREL(Table1[Age],AK312:AK1781)</f>
        <v>3.2294484195164778E-2</v>
      </c>
      <c r="AM312">
        <f>CORREL(Table1[MonthlyIncome],AK312:AK1781)</f>
        <v>3.4492512179026526E-4</v>
      </c>
      <c r="AN312">
        <f>CORREL(Table1[YearsAtCompany],AK312:AK1781)</f>
        <v>-3.0081230261615999E-3</v>
      </c>
      <c r="AO312">
        <f t="shared" si="4"/>
        <v>0</v>
      </c>
    </row>
    <row r="313" spans="1:41" x14ac:dyDescent="0.25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  <c r="AK313" s="4">
        <f>IF(Table1[[#This Row],[Attrition]]="Yes", 1,0)</f>
        <v>0</v>
      </c>
      <c r="AL313">
        <f>CORREL(Table1[Age],AK313:AK1782)</f>
        <v>-1.181965373634431E-2</v>
      </c>
      <c r="AM313">
        <f>CORREL(Table1[MonthlyIncome],AK313:AK1782)</f>
        <v>-2.3402278100776146E-2</v>
      </c>
      <c r="AN313">
        <f>CORREL(Table1[YearsAtCompany],AK313:AK1782)</f>
        <v>-9.8632374830171701E-3</v>
      </c>
      <c r="AO313">
        <f t="shared" si="4"/>
        <v>0</v>
      </c>
    </row>
    <row r="314" spans="1:41" x14ac:dyDescent="0.25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  <c r="AK314" s="4">
        <f>IF(Table1[[#This Row],[Attrition]]="Yes", 1,0)</f>
        <v>0</v>
      </c>
      <c r="AL314">
        <f>CORREL(Table1[Age],AK314:AK1783)</f>
        <v>-4.4470467636971829E-2</v>
      </c>
      <c r="AM314">
        <f>CORREL(Table1[MonthlyIncome],AK314:AK1783)</f>
        <v>-3.25234610149863E-2</v>
      </c>
      <c r="AN314">
        <f>CORREL(Table1[YearsAtCompany],AK314:AK1783)</f>
        <v>-3.3893201766686601E-2</v>
      </c>
      <c r="AO314">
        <f t="shared" si="4"/>
        <v>0</v>
      </c>
    </row>
    <row r="315" spans="1:41" x14ac:dyDescent="0.25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  <c r="AK315" s="4">
        <f>IF(Table1[[#This Row],[Attrition]]="Yes", 1,0)</f>
        <v>0</v>
      </c>
      <c r="AL315">
        <f>CORREL(Table1[Age],AK315:AK1784)</f>
        <v>-5.4101488199007043E-2</v>
      </c>
      <c r="AM315">
        <f>CORREL(Table1[MonthlyIncome],AK315:AK1784)</f>
        <v>-6.7983968512164886E-2</v>
      </c>
      <c r="AN315">
        <f>CORREL(Table1[YearsAtCompany],AK315:AK1784)</f>
        <v>-5.9191409451397017E-2</v>
      </c>
      <c r="AO315">
        <f t="shared" si="4"/>
        <v>0</v>
      </c>
    </row>
    <row r="316" spans="1:41" x14ac:dyDescent="0.25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  <c r="AK316" s="4">
        <f>IF(Table1[[#This Row],[Attrition]]="Yes", 1,0)</f>
        <v>0</v>
      </c>
      <c r="AL316">
        <f>CORREL(Table1[Age],AK316:AK1785)</f>
        <v>-3.0370415066724228E-2</v>
      </c>
      <c r="AM316">
        <f>CORREL(Table1[MonthlyIncome],AK316:AK1785)</f>
        <v>-6.0025951445300992E-3</v>
      </c>
      <c r="AN316">
        <f>CORREL(Table1[YearsAtCompany],AK316:AK1785)</f>
        <v>1.6356711535001033E-2</v>
      </c>
      <c r="AO316">
        <f t="shared" si="4"/>
        <v>0</v>
      </c>
    </row>
    <row r="317" spans="1:41" x14ac:dyDescent="0.25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  <c r="AK317" s="4">
        <f>IF(Table1[[#This Row],[Attrition]]="Yes", 1,0)</f>
        <v>0</v>
      </c>
      <c r="AL317">
        <f>CORREL(Table1[Age],AK317:AK1786)</f>
        <v>2.0711512462622924E-2</v>
      </c>
      <c r="AM317">
        <f>CORREL(Table1[MonthlyIncome],AK317:AK1786)</f>
        <v>3.0073262596331848E-2</v>
      </c>
      <c r="AN317">
        <f>CORREL(Table1[YearsAtCompany],AK317:AK1786)</f>
        <v>-2.3531857529736331E-2</v>
      </c>
      <c r="AO317">
        <f t="shared" si="4"/>
        <v>0</v>
      </c>
    </row>
    <row r="318" spans="1:41" x14ac:dyDescent="0.25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  <c r="AK318" s="4">
        <f>IF(Table1[[#This Row],[Attrition]]="Yes", 1,0)</f>
        <v>0</v>
      </c>
      <c r="AL318">
        <f>CORREL(Table1[Age],AK318:AK1787)</f>
        <v>3.8230629625514656E-2</v>
      </c>
      <c r="AM318">
        <f>CORREL(Table1[MonthlyIncome],AK318:AK1787)</f>
        <v>2.362625879579857E-2</v>
      </c>
      <c r="AN318">
        <f>CORREL(Table1[YearsAtCompany],AK318:AK1787)</f>
        <v>-1.3367175261099165E-2</v>
      </c>
      <c r="AO318">
        <f t="shared" si="4"/>
        <v>0</v>
      </c>
    </row>
    <row r="319" spans="1:41" x14ac:dyDescent="0.25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  <c r="AK319" s="4">
        <f>IF(Table1[[#This Row],[Attrition]]="Yes", 1,0)</f>
        <v>1</v>
      </c>
      <c r="AL319">
        <f>CORREL(Table1[Age],AK319:AK1788)</f>
        <v>2.9208003214386082E-2</v>
      </c>
      <c r="AM319">
        <f>CORREL(Table1[MonthlyIncome],AK319:AK1788)</f>
        <v>3.7790117330347185E-2</v>
      </c>
      <c r="AN319">
        <f>CORREL(Table1[YearsAtCompany],AK319:AK1788)</f>
        <v>8.2683553344173408E-3</v>
      </c>
      <c r="AO319">
        <f t="shared" si="4"/>
        <v>1</v>
      </c>
    </row>
    <row r="320" spans="1:41" x14ac:dyDescent="0.25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  <c r="AK320" s="4">
        <f>IF(Table1[[#This Row],[Attrition]]="Yes", 1,0)</f>
        <v>0</v>
      </c>
      <c r="AL320">
        <f>CORREL(Table1[Age],AK320:AK1789)</f>
        <v>-6.2846612508192498E-2</v>
      </c>
      <c r="AM320">
        <f>CORREL(Table1[MonthlyIncome],AK320:AK1789)</f>
        <v>-1.8627343074727069E-2</v>
      </c>
      <c r="AN320">
        <f>CORREL(Table1[YearsAtCompany],AK320:AK1789)</f>
        <v>-3.18096519258044E-2</v>
      </c>
      <c r="AO320">
        <f t="shared" si="4"/>
        <v>0</v>
      </c>
    </row>
    <row r="321" spans="1:41" x14ac:dyDescent="0.25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  <c r="AK321" s="4">
        <f>IF(Table1[[#This Row],[Attrition]]="Yes", 1,0)</f>
        <v>0</v>
      </c>
      <c r="AL321">
        <f>CORREL(Table1[Age],AK321:AK1790)</f>
        <v>-9.6403716713395152E-3</v>
      </c>
      <c r="AM321">
        <f>CORREL(Table1[MonthlyIncome],AK321:AK1790)</f>
        <v>5.3742652015569048E-2</v>
      </c>
      <c r="AN321">
        <f>CORREL(Table1[YearsAtCompany],AK321:AK1790)</f>
        <v>2.9653527890422422E-2</v>
      </c>
      <c r="AO321">
        <f t="shared" si="4"/>
        <v>0</v>
      </c>
    </row>
    <row r="322" spans="1:41" x14ac:dyDescent="0.25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  <c r="AK322" s="4">
        <f>IF(Table1[[#This Row],[Attrition]]="Yes", 1,0)</f>
        <v>0</v>
      </c>
      <c r="AL322">
        <f>CORREL(Table1[Age],AK322:AK1791)</f>
        <v>1.3854501394725704E-4</v>
      </c>
      <c r="AM322">
        <f>CORREL(Table1[MonthlyIncome],AK322:AK1791)</f>
        <v>-2.6810018363318971E-3</v>
      </c>
      <c r="AN322">
        <f>CORREL(Table1[YearsAtCompany],AK322:AK1791)</f>
        <v>4.0069480768398467E-3</v>
      </c>
      <c r="AO322">
        <f t="shared" si="4"/>
        <v>0</v>
      </c>
    </row>
    <row r="323" spans="1:41" x14ac:dyDescent="0.25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  <c r="AK323" s="4">
        <f>IF(Table1[[#This Row],[Attrition]]="Yes", 1,0)</f>
        <v>0</v>
      </c>
      <c r="AL323">
        <f>CORREL(Table1[Age],AK323:AK1792)</f>
        <v>-1.5411976052464992E-3</v>
      </c>
      <c r="AM323">
        <f>CORREL(Table1[MonthlyIncome],AK323:AK1792)</f>
        <v>-2.5843641698150302E-2</v>
      </c>
      <c r="AN323">
        <f>CORREL(Table1[YearsAtCompany],AK323:AK1792)</f>
        <v>-4.2887229156708076E-2</v>
      </c>
      <c r="AO323">
        <f t="shared" ref="AO323:AO386" si="5">ABS(AK323)</f>
        <v>0</v>
      </c>
    </row>
    <row r="324" spans="1:41" x14ac:dyDescent="0.25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  <c r="AK324" s="4">
        <f>IF(Table1[[#This Row],[Attrition]]="Yes", 1,0)</f>
        <v>0</v>
      </c>
      <c r="AL324">
        <f>CORREL(Table1[Age],AK324:AK1793)</f>
        <v>-1.1582389546534139E-2</v>
      </c>
      <c r="AM324">
        <f>CORREL(Table1[MonthlyIncome],AK324:AK1793)</f>
        <v>-1.6384737003807357E-2</v>
      </c>
      <c r="AN324">
        <f>CORREL(Table1[YearsAtCompany],AK324:AK1793)</f>
        <v>2.7996153066389796E-2</v>
      </c>
      <c r="AO324">
        <f t="shared" si="5"/>
        <v>0</v>
      </c>
    </row>
    <row r="325" spans="1:41" x14ac:dyDescent="0.25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  <c r="AK325" s="4">
        <f>IF(Table1[[#This Row],[Attrition]]="Yes", 1,0)</f>
        <v>1</v>
      </c>
      <c r="AL325">
        <f>CORREL(Table1[Age],AK325:AK1794)</f>
        <v>-9.6321582426380935E-4</v>
      </c>
      <c r="AM325">
        <f>CORREL(Table1[MonthlyIncome],AK325:AK1794)</f>
        <v>5.2902388133485287E-2</v>
      </c>
      <c r="AN325">
        <f>CORREL(Table1[YearsAtCompany],AK325:AK1794)</f>
        <v>4.6948094632418558E-2</v>
      </c>
      <c r="AO325">
        <f t="shared" si="5"/>
        <v>1</v>
      </c>
    </row>
    <row r="326" spans="1:41" x14ac:dyDescent="0.25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  <c r="AK326" s="4">
        <f>IF(Table1[[#This Row],[Attrition]]="Yes", 1,0)</f>
        <v>0</v>
      </c>
      <c r="AL326">
        <f>CORREL(Table1[Age],AK326:AK1795)</f>
        <v>2.023638289332786E-2</v>
      </c>
      <c r="AM326">
        <f>CORREL(Table1[MonthlyIncome],AK326:AK1795)</f>
        <v>1.7176309096252604E-2</v>
      </c>
      <c r="AN326">
        <f>CORREL(Table1[YearsAtCompany],AK326:AK1795)</f>
        <v>5.0114584111680118E-3</v>
      </c>
      <c r="AO326">
        <f t="shared" si="5"/>
        <v>0</v>
      </c>
    </row>
    <row r="327" spans="1:41" x14ac:dyDescent="0.25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  <c r="AK327" s="4">
        <f>IF(Table1[[#This Row],[Attrition]]="Yes", 1,0)</f>
        <v>0</v>
      </c>
      <c r="AL327">
        <f>CORREL(Table1[Age],AK327:AK1796)</f>
        <v>8.7716231120837113E-3</v>
      </c>
      <c r="AM327">
        <f>CORREL(Table1[MonthlyIncome],AK327:AK1796)</f>
        <v>2.4291513164534942E-2</v>
      </c>
      <c r="AN327">
        <f>CORREL(Table1[YearsAtCompany],AK327:AK1796)</f>
        <v>-3.0092639141374496E-3</v>
      </c>
      <c r="AO327">
        <f t="shared" si="5"/>
        <v>0</v>
      </c>
    </row>
    <row r="328" spans="1:41" x14ac:dyDescent="0.25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  <c r="AK328" s="4">
        <f>IF(Table1[[#This Row],[Attrition]]="Yes", 1,0)</f>
        <v>0</v>
      </c>
      <c r="AL328">
        <f>CORREL(Table1[Age],AK328:AK1797)</f>
        <v>-5.0645613524527872E-2</v>
      </c>
      <c r="AM328">
        <f>CORREL(Table1[MonthlyIncome],AK328:AK1797)</f>
        <v>-4.5153409431724065E-2</v>
      </c>
      <c r="AN328">
        <f>CORREL(Table1[YearsAtCompany],AK328:AK1797)</f>
        <v>-2.0168805330281432E-2</v>
      </c>
      <c r="AO328">
        <f t="shared" si="5"/>
        <v>0</v>
      </c>
    </row>
    <row r="329" spans="1:41" x14ac:dyDescent="0.25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  <c r="AK329" s="4">
        <f>IF(Table1[[#This Row],[Attrition]]="Yes", 1,0)</f>
        <v>1</v>
      </c>
      <c r="AL329">
        <f>CORREL(Table1[Age],AK329:AK1798)</f>
        <v>-2.3659049446024417E-2</v>
      </c>
      <c r="AM329">
        <f>CORREL(Table1[MonthlyIncome],AK329:AK1798)</f>
        <v>2.7946865891884352E-2</v>
      </c>
      <c r="AN329">
        <f>CORREL(Table1[YearsAtCompany],AK329:AK1798)</f>
        <v>2.5924459647169617E-2</v>
      </c>
      <c r="AO329">
        <f t="shared" si="5"/>
        <v>1</v>
      </c>
    </row>
    <row r="330" spans="1:41" x14ac:dyDescent="0.25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  <c r="AK330" s="4">
        <f>IF(Table1[[#This Row],[Attrition]]="Yes", 1,0)</f>
        <v>0</v>
      </c>
      <c r="AL330">
        <f>CORREL(Table1[Age],AK330:AK1799)</f>
        <v>3.3922985302940724E-2</v>
      </c>
      <c r="AM330">
        <f>CORREL(Table1[MonthlyIncome],AK330:AK1799)</f>
        <v>3.5904189596690332E-2</v>
      </c>
      <c r="AN330">
        <f>CORREL(Table1[YearsAtCompany],AK330:AK1799)</f>
        <v>1.617401380864452E-2</v>
      </c>
      <c r="AO330">
        <f t="shared" si="5"/>
        <v>0</v>
      </c>
    </row>
    <row r="331" spans="1:41" x14ac:dyDescent="0.25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  <c r="AK331" s="4">
        <f>IF(Table1[[#This Row],[Attrition]]="Yes", 1,0)</f>
        <v>0</v>
      </c>
      <c r="AL331">
        <f>CORREL(Table1[Age],AK331:AK1800)</f>
        <v>-3.8462040861086871E-2</v>
      </c>
      <c r="AM331">
        <f>CORREL(Table1[MonthlyIncome],AK331:AK1800)</f>
        <v>-1.1451079253087731E-2</v>
      </c>
      <c r="AN331">
        <f>CORREL(Table1[YearsAtCompany],AK331:AK1800)</f>
        <v>3.318611543299621E-2</v>
      </c>
      <c r="AO331">
        <f t="shared" si="5"/>
        <v>0</v>
      </c>
    </row>
    <row r="332" spans="1:41" x14ac:dyDescent="0.25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  <c r="AK332" s="4">
        <f>IF(Table1[[#This Row],[Attrition]]="Yes", 1,0)</f>
        <v>0</v>
      </c>
      <c r="AL332">
        <f>CORREL(Table1[Age],AK332:AK1801)</f>
        <v>2.3408182489237676E-3</v>
      </c>
      <c r="AM332">
        <f>CORREL(Table1[MonthlyIncome],AK332:AK1801)</f>
        <v>-3.164884335321759E-2</v>
      </c>
      <c r="AN332">
        <f>CORREL(Table1[YearsAtCompany],AK332:AK1801)</f>
        <v>5.8898131346295105E-3</v>
      </c>
      <c r="AO332">
        <f t="shared" si="5"/>
        <v>0</v>
      </c>
    </row>
    <row r="333" spans="1:41" x14ac:dyDescent="0.25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  <c r="AK333" s="4">
        <f>IF(Table1[[#This Row],[Attrition]]="Yes", 1,0)</f>
        <v>0</v>
      </c>
      <c r="AL333">
        <f>CORREL(Table1[Age],AK333:AK1802)</f>
        <v>1.8703322989732228E-2</v>
      </c>
      <c r="AM333">
        <f>CORREL(Table1[MonthlyIncome],AK333:AK1802)</f>
        <v>1.8577818060087258E-2</v>
      </c>
      <c r="AN333">
        <f>CORREL(Table1[YearsAtCompany],AK333:AK1802)</f>
        <v>4.8079977715062568E-2</v>
      </c>
      <c r="AO333">
        <f t="shared" si="5"/>
        <v>0</v>
      </c>
    </row>
    <row r="334" spans="1:41" x14ac:dyDescent="0.25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  <c r="AK334" s="4">
        <f>IF(Table1[[#This Row],[Attrition]]="Yes", 1,0)</f>
        <v>0</v>
      </c>
      <c r="AL334">
        <f>CORREL(Table1[Age],AK334:AK1803)</f>
        <v>9.045467618176381E-2</v>
      </c>
      <c r="AM334">
        <f>CORREL(Table1[MonthlyIncome],AK334:AK1803)</f>
        <v>3.575510004170121E-2</v>
      </c>
      <c r="AN334">
        <f>CORREL(Table1[YearsAtCompany],AK334:AK1803)</f>
        <v>2.5853483480393646E-3</v>
      </c>
      <c r="AO334">
        <f t="shared" si="5"/>
        <v>0</v>
      </c>
    </row>
    <row r="335" spans="1:41" x14ac:dyDescent="0.25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  <c r="AK335" s="4">
        <f>IF(Table1[[#This Row],[Attrition]]="Yes", 1,0)</f>
        <v>0</v>
      </c>
      <c r="AL335">
        <f>CORREL(Table1[Age],AK335:AK1804)</f>
        <v>-1.4553018365919044E-2</v>
      </c>
      <c r="AM335">
        <f>CORREL(Table1[MonthlyIncome],AK335:AK1804)</f>
        <v>-3.3653443660014944E-2</v>
      </c>
      <c r="AN335">
        <f>CORREL(Table1[YearsAtCompany],AK335:AK1804)</f>
        <v>-4.1041864253273261E-2</v>
      </c>
      <c r="AO335">
        <f t="shared" si="5"/>
        <v>0</v>
      </c>
    </row>
    <row r="336" spans="1:41" x14ac:dyDescent="0.25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  <c r="AK336" s="4">
        <f>IF(Table1[[#This Row],[Attrition]]="Yes", 1,0)</f>
        <v>0</v>
      </c>
      <c r="AL336">
        <f>CORREL(Table1[Age],AK336:AK1805)</f>
        <v>-5.3023149168253049E-2</v>
      </c>
      <c r="AM336">
        <f>CORREL(Table1[MonthlyIncome],AK336:AK1805)</f>
        <v>-2.6903557741716756E-2</v>
      </c>
      <c r="AN336">
        <f>CORREL(Table1[YearsAtCompany],AK336:AK1805)</f>
        <v>-1.7455566140574679E-2</v>
      </c>
      <c r="AO336">
        <f t="shared" si="5"/>
        <v>0</v>
      </c>
    </row>
    <row r="337" spans="1:41" x14ac:dyDescent="0.25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  <c r="AK337" s="4">
        <f>IF(Table1[[#This Row],[Attrition]]="Yes", 1,0)</f>
        <v>0</v>
      </c>
      <c r="AL337">
        <f>CORREL(Table1[Age],AK337:AK1806)</f>
        <v>2.3536287465620174E-2</v>
      </c>
      <c r="AM337">
        <f>CORREL(Table1[MonthlyIncome],AK337:AK1806)</f>
        <v>2.4592097220745294E-2</v>
      </c>
      <c r="AN337">
        <f>CORREL(Table1[YearsAtCompany],AK337:AK1806)</f>
        <v>-2.6891876684940686E-2</v>
      </c>
      <c r="AO337">
        <f t="shared" si="5"/>
        <v>0</v>
      </c>
    </row>
    <row r="338" spans="1:41" x14ac:dyDescent="0.25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  <c r="AK338" s="4">
        <f>IF(Table1[[#This Row],[Attrition]]="Yes", 1,0)</f>
        <v>1</v>
      </c>
      <c r="AL338">
        <f>CORREL(Table1[Age],AK338:AK1807)</f>
        <v>2.1919880169230299E-2</v>
      </c>
      <c r="AM338">
        <f>CORREL(Table1[MonthlyIncome],AK338:AK1807)</f>
        <v>2.6437537818577314E-2</v>
      </c>
      <c r="AN338">
        <f>CORREL(Table1[YearsAtCompany],AK338:AK1807)</f>
        <v>-2.0629956649862793E-3</v>
      </c>
      <c r="AO338">
        <f t="shared" si="5"/>
        <v>1</v>
      </c>
    </row>
    <row r="339" spans="1:41" x14ac:dyDescent="0.25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  <c r="AK339" s="4">
        <f>IF(Table1[[#This Row],[Attrition]]="Yes", 1,0)</f>
        <v>0</v>
      </c>
      <c r="AL339">
        <f>CORREL(Table1[Age],AK339:AK1808)</f>
        <v>3.09443677441152E-2</v>
      </c>
      <c r="AM339">
        <f>CORREL(Table1[MonthlyIncome],AK339:AK1808)</f>
        <v>2.527091783612128E-2</v>
      </c>
      <c r="AN339">
        <f>CORREL(Table1[YearsAtCompany],AK339:AK1808)</f>
        <v>3.1711725262833848E-3</v>
      </c>
      <c r="AO339">
        <f t="shared" si="5"/>
        <v>0</v>
      </c>
    </row>
    <row r="340" spans="1:41" x14ac:dyDescent="0.25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  <c r="AK340" s="4">
        <f>IF(Table1[[#This Row],[Attrition]]="Yes", 1,0)</f>
        <v>0</v>
      </c>
      <c r="AL340">
        <f>CORREL(Table1[Age],AK340:AK1809)</f>
        <v>1.7739961199811669E-2</v>
      </c>
      <c r="AM340">
        <f>CORREL(Table1[MonthlyIncome],AK340:AK1809)</f>
        <v>-1.2671044635816161E-2</v>
      </c>
      <c r="AN340">
        <f>CORREL(Table1[YearsAtCompany],AK340:AK1809)</f>
        <v>-1.4309612425188441E-2</v>
      </c>
      <c r="AO340">
        <f t="shared" si="5"/>
        <v>0</v>
      </c>
    </row>
    <row r="341" spans="1:41" x14ac:dyDescent="0.25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  <c r="AK341" s="4">
        <f>IF(Table1[[#This Row],[Attrition]]="Yes", 1,0)</f>
        <v>0</v>
      </c>
      <c r="AL341">
        <f>CORREL(Table1[Age],AK341:AK1810)</f>
        <v>8.6403428612502036E-3</v>
      </c>
      <c r="AM341">
        <f>CORREL(Table1[MonthlyIncome],AK341:AK1810)</f>
        <v>-6.504707643287636E-3</v>
      </c>
      <c r="AN341">
        <f>CORREL(Table1[YearsAtCompany],AK341:AK1810)</f>
        <v>-1.9158122690903015E-2</v>
      </c>
      <c r="AO341">
        <f t="shared" si="5"/>
        <v>0</v>
      </c>
    </row>
    <row r="342" spans="1:41" x14ac:dyDescent="0.25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  <c r="AK342" s="4">
        <f>IF(Table1[[#This Row],[Attrition]]="Yes", 1,0)</f>
        <v>0</v>
      </c>
      <c r="AL342">
        <f>CORREL(Table1[Age],AK342:AK1811)</f>
        <v>-4.1713623076944512E-2</v>
      </c>
      <c r="AM342">
        <f>CORREL(Table1[MonthlyIncome],AK342:AK1811)</f>
        <v>2.7070655363137502E-2</v>
      </c>
      <c r="AN342">
        <f>CORREL(Table1[YearsAtCompany],AK342:AK1811)</f>
        <v>-1.8225458689213075E-2</v>
      </c>
      <c r="AO342">
        <f t="shared" si="5"/>
        <v>0</v>
      </c>
    </row>
    <row r="343" spans="1:41" x14ac:dyDescent="0.25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  <c r="AK343" s="4">
        <f>IF(Table1[[#This Row],[Attrition]]="Yes", 1,0)</f>
        <v>0</v>
      </c>
      <c r="AL343">
        <f>CORREL(Table1[Age],AK343:AK1812)</f>
        <v>9.7947793872189912E-3</v>
      </c>
      <c r="AM343">
        <f>CORREL(Table1[MonthlyIncome],AK343:AK1812)</f>
        <v>4.1340632422941573E-2</v>
      </c>
      <c r="AN343">
        <f>CORREL(Table1[YearsAtCompany],AK343:AK1812)</f>
        <v>4.4212713103109931E-3</v>
      </c>
      <c r="AO343">
        <f t="shared" si="5"/>
        <v>0</v>
      </c>
    </row>
    <row r="344" spans="1:41" x14ac:dyDescent="0.25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  <c r="AK344" s="4">
        <f>IF(Table1[[#This Row],[Attrition]]="Yes", 1,0)</f>
        <v>0</v>
      </c>
      <c r="AL344">
        <f>CORREL(Table1[Age],AK344:AK1813)</f>
        <v>-5.1564690462807795E-2</v>
      </c>
      <c r="AM344">
        <f>CORREL(Table1[MonthlyIncome],AK344:AK1813)</f>
        <v>1.4371419165163775E-2</v>
      </c>
      <c r="AN344">
        <f>CORREL(Table1[YearsAtCompany],AK344:AK1813)</f>
        <v>-2.2642819304018246E-2</v>
      </c>
      <c r="AO344">
        <f t="shared" si="5"/>
        <v>0</v>
      </c>
    </row>
    <row r="345" spans="1:41" x14ac:dyDescent="0.25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  <c r="AK345" s="4">
        <f>IF(Table1[[#This Row],[Attrition]]="Yes", 1,0)</f>
        <v>0</v>
      </c>
      <c r="AL345">
        <f>CORREL(Table1[Age],AK345:AK1814)</f>
        <v>-1.548311363204849E-2</v>
      </c>
      <c r="AM345">
        <f>CORREL(Table1[MonthlyIncome],AK345:AK1814)</f>
        <v>-4.7734398842892128E-2</v>
      </c>
      <c r="AN345">
        <f>CORREL(Table1[YearsAtCompany],AK345:AK1814)</f>
        <v>-5.9989436512770854E-2</v>
      </c>
      <c r="AO345">
        <f t="shared" si="5"/>
        <v>0</v>
      </c>
    </row>
    <row r="346" spans="1:41" x14ac:dyDescent="0.25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  <c r="AK346" s="4">
        <f>IF(Table1[[#This Row],[Attrition]]="Yes", 1,0)</f>
        <v>0</v>
      </c>
      <c r="AL346">
        <f>CORREL(Table1[Age],AK346:AK1815)</f>
        <v>-5.4540376747938046E-2</v>
      </c>
      <c r="AM346">
        <f>CORREL(Table1[MonthlyIncome],AK346:AK1815)</f>
        <v>1.6004382013590345E-2</v>
      </c>
      <c r="AN346">
        <f>CORREL(Table1[YearsAtCompany],AK346:AK1815)</f>
        <v>-1.5794631896925863E-2</v>
      </c>
      <c r="AO346">
        <f t="shared" si="5"/>
        <v>0</v>
      </c>
    </row>
    <row r="347" spans="1:41" x14ac:dyDescent="0.25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  <c r="AK347" s="4">
        <f>IF(Table1[[#This Row],[Attrition]]="Yes", 1,0)</f>
        <v>0</v>
      </c>
      <c r="AL347">
        <f>CORREL(Table1[Age],AK347:AK1816)</f>
        <v>5.0289355580389508E-2</v>
      </c>
      <c r="AM347">
        <f>CORREL(Table1[MonthlyIncome],AK347:AK1816)</f>
        <v>-6.5175544728298101E-3</v>
      </c>
      <c r="AN347">
        <f>CORREL(Table1[YearsAtCompany],AK347:AK1816)</f>
        <v>2.6096735563298265E-2</v>
      </c>
      <c r="AO347">
        <f t="shared" si="5"/>
        <v>0</v>
      </c>
    </row>
    <row r="348" spans="1:41" x14ac:dyDescent="0.25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  <c r="AK348" s="4">
        <f>IF(Table1[[#This Row],[Attrition]]="Yes", 1,0)</f>
        <v>0</v>
      </c>
      <c r="AL348">
        <f>CORREL(Table1[Age],AK348:AK1817)</f>
        <v>-1.2125193841005202E-2</v>
      </c>
      <c r="AM348">
        <f>CORREL(Table1[MonthlyIncome],AK348:AK1817)</f>
        <v>-8.6965596365628037E-3</v>
      </c>
      <c r="AN348">
        <f>CORREL(Table1[YearsAtCompany],AK348:AK1817)</f>
        <v>-2.6077172002512198E-2</v>
      </c>
      <c r="AO348">
        <f t="shared" si="5"/>
        <v>0</v>
      </c>
    </row>
    <row r="349" spans="1:41" x14ac:dyDescent="0.25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  <c r="AK349" s="4">
        <f>IF(Table1[[#This Row],[Attrition]]="Yes", 1,0)</f>
        <v>0</v>
      </c>
      <c r="AL349">
        <f>CORREL(Table1[Age],AK349:AK1818)</f>
        <v>-6.8095824380181216E-3</v>
      </c>
      <c r="AM349">
        <f>CORREL(Table1[MonthlyIncome],AK349:AK1818)</f>
        <v>-3.8925376688628881E-2</v>
      </c>
      <c r="AN349">
        <f>CORREL(Table1[YearsAtCompany],AK349:AK1818)</f>
        <v>-3.8687730824092791E-2</v>
      </c>
      <c r="AO349">
        <f t="shared" si="5"/>
        <v>0</v>
      </c>
    </row>
    <row r="350" spans="1:41" x14ac:dyDescent="0.25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  <c r="AK350" s="4">
        <f>IF(Table1[[#This Row],[Attrition]]="Yes", 1,0)</f>
        <v>0</v>
      </c>
      <c r="AL350">
        <f>CORREL(Table1[Age],AK350:AK1819)</f>
        <v>-3.7005461561386226E-2</v>
      </c>
      <c r="AM350">
        <f>CORREL(Table1[MonthlyIncome],AK350:AK1819)</f>
        <v>-4.1952105907090649E-2</v>
      </c>
      <c r="AN350">
        <f>CORREL(Table1[YearsAtCompany],AK350:AK1819)</f>
        <v>-1.0528146050519421E-2</v>
      </c>
      <c r="AO350">
        <f t="shared" si="5"/>
        <v>0</v>
      </c>
    </row>
    <row r="351" spans="1:41" x14ac:dyDescent="0.25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  <c r="AK351" s="4">
        <f>IF(Table1[[#This Row],[Attrition]]="Yes", 1,0)</f>
        <v>0</v>
      </c>
      <c r="AL351">
        <f>CORREL(Table1[Age],AK351:AK1820)</f>
        <v>-9.5128669213860439E-3</v>
      </c>
      <c r="AM351">
        <f>CORREL(Table1[MonthlyIncome],AK351:AK1820)</f>
        <v>-7.326012556846416E-2</v>
      </c>
      <c r="AN351">
        <f>CORREL(Table1[YearsAtCompany],AK351:AK1820)</f>
        <v>-3.4371354917399288E-2</v>
      </c>
      <c r="AO351">
        <f t="shared" si="5"/>
        <v>0</v>
      </c>
    </row>
    <row r="352" spans="1:41" x14ac:dyDescent="0.25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  <c r="AK352" s="4">
        <f>IF(Table1[[#This Row],[Attrition]]="Yes", 1,0)</f>
        <v>0</v>
      </c>
      <c r="AL352">
        <f>CORREL(Table1[Age],AK352:AK1821)</f>
        <v>-1.1273956765544374E-2</v>
      </c>
      <c r="AM352">
        <f>CORREL(Table1[MonthlyIncome],AK352:AK1821)</f>
        <v>2.5612560171913691E-2</v>
      </c>
      <c r="AN352">
        <f>CORREL(Table1[YearsAtCompany],AK352:AK1821)</f>
        <v>6.4899696171308974E-2</v>
      </c>
      <c r="AO352">
        <f t="shared" si="5"/>
        <v>0</v>
      </c>
    </row>
    <row r="353" spans="1:41" x14ac:dyDescent="0.25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  <c r="AK353" s="4">
        <f>IF(Table1[[#This Row],[Attrition]]="Yes", 1,0)</f>
        <v>0</v>
      </c>
      <c r="AL353">
        <f>CORREL(Table1[Age],AK353:AK1822)</f>
        <v>8.0735920405894668E-3</v>
      </c>
      <c r="AM353">
        <f>CORREL(Table1[MonthlyIncome],AK353:AK1822)</f>
        <v>-8.633877619158575E-3</v>
      </c>
      <c r="AN353">
        <f>CORREL(Table1[YearsAtCompany],AK353:AK1822)</f>
        <v>-1.0674784094795333E-2</v>
      </c>
      <c r="AO353">
        <f t="shared" si="5"/>
        <v>0</v>
      </c>
    </row>
    <row r="354" spans="1:41" x14ac:dyDescent="0.25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  <c r="AK354" s="4">
        <f>IF(Table1[[#This Row],[Attrition]]="Yes", 1,0)</f>
        <v>0</v>
      </c>
      <c r="AL354">
        <f>CORREL(Table1[Age],AK354:AK1823)</f>
        <v>2.3066107741542091E-2</v>
      </c>
      <c r="AM354">
        <f>CORREL(Table1[MonthlyIncome],AK354:AK1823)</f>
        <v>1.4006501758536736E-2</v>
      </c>
      <c r="AN354">
        <f>CORREL(Table1[YearsAtCompany],AK354:AK1823)</f>
        <v>2.605110594190491E-2</v>
      </c>
      <c r="AO354">
        <f t="shared" si="5"/>
        <v>0</v>
      </c>
    </row>
    <row r="355" spans="1:41" x14ac:dyDescent="0.25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  <c r="AK355" s="4">
        <f>IF(Table1[[#This Row],[Attrition]]="Yes", 1,0)</f>
        <v>0</v>
      </c>
      <c r="AL355">
        <f>CORREL(Table1[Age],AK355:AK1824)</f>
        <v>2.8865769434669682E-2</v>
      </c>
      <c r="AM355">
        <f>CORREL(Table1[MonthlyIncome],AK355:AK1824)</f>
        <v>6.8835201601971808E-3</v>
      </c>
      <c r="AN355">
        <f>CORREL(Table1[YearsAtCompany],AK355:AK1824)</f>
        <v>-1.1764159609836799E-2</v>
      </c>
      <c r="AO355">
        <f t="shared" si="5"/>
        <v>0</v>
      </c>
    </row>
    <row r="356" spans="1:41" x14ac:dyDescent="0.25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  <c r="AK356" s="4">
        <f>IF(Table1[[#This Row],[Attrition]]="Yes", 1,0)</f>
        <v>0</v>
      </c>
      <c r="AL356">
        <f>CORREL(Table1[Age],AK356:AK1825)</f>
        <v>-2.0385273028298567E-2</v>
      </c>
      <c r="AM356">
        <f>CORREL(Table1[MonthlyIncome],AK356:AK1825)</f>
        <v>1.8787137754937826E-2</v>
      </c>
      <c r="AN356">
        <f>CORREL(Table1[YearsAtCompany],AK356:AK1825)</f>
        <v>7.5622204731238415E-2</v>
      </c>
      <c r="AO356">
        <f t="shared" si="5"/>
        <v>0</v>
      </c>
    </row>
    <row r="357" spans="1:41" x14ac:dyDescent="0.25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  <c r="AK357" s="4">
        <f>IF(Table1[[#This Row],[Attrition]]="Yes", 1,0)</f>
        <v>0</v>
      </c>
      <c r="AL357">
        <f>CORREL(Table1[Age],AK357:AK1826)</f>
        <v>-1.3289602822820322E-2</v>
      </c>
      <c r="AM357">
        <f>CORREL(Table1[MonthlyIncome],AK357:AK1826)</f>
        <v>6.7901579481846252E-3</v>
      </c>
      <c r="AN357">
        <f>CORREL(Table1[YearsAtCompany],AK357:AK1826)</f>
        <v>1.4819587592594236E-2</v>
      </c>
      <c r="AO357">
        <f t="shared" si="5"/>
        <v>0</v>
      </c>
    </row>
    <row r="358" spans="1:41" x14ac:dyDescent="0.25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  <c r="AK358" s="4">
        <f>IF(Table1[[#This Row],[Attrition]]="Yes", 1,0)</f>
        <v>0</v>
      </c>
      <c r="AL358">
        <f>CORREL(Table1[Age],AK358:AK1827)</f>
        <v>3.5993098455841234E-2</v>
      </c>
      <c r="AM358">
        <f>CORREL(Table1[MonthlyIncome],AK358:AK1827)</f>
        <v>9.4332207885851668E-3</v>
      </c>
      <c r="AN358">
        <f>CORREL(Table1[YearsAtCompany],AK358:AK1827)</f>
        <v>-3.3719009254066408E-2</v>
      </c>
      <c r="AO358">
        <f t="shared" si="5"/>
        <v>0</v>
      </c>
    </row>
    <row r="359" spans="1:41" x14ac:dyDescent="0.25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  <c r="AK359" s="4">
        <f>IF(Table1[[#This Row],[Attrition]]="Yes", 1,0)</f>
        <v>1</v>
      </c>
      <c r="AL359">
        <f>CORREL(Table1[Age],AK359:AK1828)</f>
        <v>3.1910323434418568E-2</v>
      </c>
      <c r="AM359">
        <f>CORREL(Table1[MonthlyIncome],AK359:AK1828)</f>
        <v>7.7209356997853251E-2</v>
      </c>
      <c r="AN359">
        <f>CORREL(Table1[YearsAtCompany],AK359:AK1828)</f>
        <v>2.7059361294578844E-2</v>
      </c>
      <c r="AO359">
        <f t="shared" si="5"/>
        <v>1</v>
      </c>
    </row>
    <row r="360" spans="1:41" x14ac:dyDescent="0.25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  <c r="AK360" s="4">
        <f>IF(Table1[[#This Row],[Attrition]]="Yes", 1,0)</f>
        <v>0</v>
      </c>
      <c r="AL360">
        <f>CORREL(Table1[Age],AK360:AK1829)</f>
        <v>4.4199353371055239E-2</v>
      </c>
      <c r="AM360">
        <f>CORREL(Table1[MonthlyIncome],AK360:AK1829)</f>
        <v>4.2598685646101926E-2</v>
      </c>
      <c r="AN360">
        <f>CORREL(Table1[YearsAtCompany],AK360:AK1829)</f>
        <v>2.54853509496216E-2</v>
      </c>
      <c r="AO360">
        <f t="shared" si="5"/>
        <v>0</v>
      </c>
    </row>
    <row r="361" spans="1:41" x14ac:dyDescent="0.25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  <c r="AK361" s="4">
        <f>IF(Table1[[#This Row],[Attrition]]="Yes", 1,0)</f>
        <v>0</v>
      </c>
      <c r="AL361">
        <f>CORREL(Table1[Age],AK361:AK1830)</f>
        <v>2.1090816037827451E-2</v>
      </c>
      <c r="AM361">
        <f>CORREL(Table1[MonthlyIncome],AK361:AK1830)</f>
        <v>-2.1664419247412307E-2</v>
      </c>
      <c r="AN361">
        <f>CORREL(Table1[YearsAtCompany],AK361:AK1830)</f>
        <v>2.7729600938342844E-2</v>
      </c>
      <c r="AO361">
        <f t="shared" si="5"/>
        <v>0</v>
      </c>
    </row>
    <row r="362" spans="1:41" x14ac:dyDescent="0.25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  <c r="AK362" s="4">
        <f>IF(Table1[[#This Row],[Attrition]]="Yes", 1,0)</f>
        <v>0</v>
      </c>
      <c r="AL362">
        <f>CORREL(Table1[Age],AK362:AK1831)</f>
        <v>1.7895049769521731E-2</v>
      </c>
      <c r="AM362">
        <f>CORREL(Table1[MonthlyIncome],AK362:AK1831)</f>
        <v>1.5402685599883828E-2</v>
      </c>
      <c r="AN362">
        <f>CORREL(Table1[YearsAtCompany],AK362:AK1831)</f>
        <v>5.6963344692865774E-3</v>
      </c>
      <c r="AO362">
        <f t="shared" si="5"/>
        <v>0</v>
      </c>
    </row>
    <row r="363" spans="1:41" x14ac:dyDescent="0.25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  <c r="AK363" s="4">
        <f>IF(Table1[[#This Row],[Attrition]]="Yes", 1,0)</f>
        <v>0</v>
      </c>
      <c r="AL363">
        <f>CORREL(Table1[Age],AK363:AK1832)</f>
        <v>-1.8202498380449853E-2</v>
      </c>
      <c r="AM363">
        <f>CORREL(Table1[MonthlyIncome],AK363:AK1832)</f>
        <v>-2.4283181319171527E-2</v>
      </c>
      <c r="AN363">
        <f>CORREL(Table1[YearsAtCompany],AK363:AK1832)</f>
        <v>1.285107269245443E-2</v>
      </c>
      <c r="AO363">
        <f t="shared" si="5"/>
        <v>0</v>
      </c>
    </row>
    <row r="364" spans="1:41" x14ac:dyDescent="0.25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  <c r="AK364" s="4">
        <f>IF(Table1[[#This Row],[Attrition]]="Yes", 1,0)</f>
        <v>0</v>
      </c>
      <c r="AL364">
        <f>CORREL(Table1[Age],AK364:AK1833)</f>
        <v>-3.9307719479836321E-2</v>
      </c>
      <c r="AM364">
        <f>CORREL(Table1[MonthlyIncome],AK364:AK1833)</f>
        <v>2.544376698554808E-2</v>
      </c>
      <c r="AN364">
        <f>CORREL(Table1[YearsAtCompany],AK364:AK1833)</f>
        <v>1.1819603038207373E-2</v>
      </c>
      <c r="AO364">
        <f t="shared" si="5"/>
        <v>0</v>
      </c>
    </row>
    <row r="365" spans="1:41" x14ac:dyDescent="0.25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  <c r="AK365" s="4">
        <f>IF(Table1[[#This Row],[Attrition]]="Yes", 1,0)</f>
        <v>1</v>
      </c>
      <c r="AL365">
        <f>CORREL(Table1[Age],AK365:AK1834)</f>
        <v>-3.5635802838319866E-2</v>
      </c>
      <c r="AM365">
        <f>CORREL(Table1[MonthlyIncome],AK365:AK1834)</f>
        <v>6.0307657740883737E-2</v>
      </c>
      <c r="AN365">
        <f>CORREL(Table1[YearsAtCompany],AK365:AK1834)</f>
        <v>5.7030596177429511E-2</v>
      </c>
      <c r="AO365">
        <f t="shared" si="5"/>
        <v>1</v>
      </c>
    </row>
    <row r="366" spans="1:41" x14ac:dyDescent="0.25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  <c r="AK366" s="4">
        <f>IF(Table1[[#This Row],[Attrition]]="Yes", 1,0)</f>
        <v>0</v>
      </c>
      <c r="AL366">
        <f>CORREL(Table1[Age],AK366:AK1835)</f>
        <v>1.1581261324360109E-2</v>
      </c>
      <c r="AM366">
        <f>CORREL(Table1[MonthlyIncome],AK366:AK1835)</f>
        <v>-2.7627377490144749E-2</v>
      </c>
      <c r="AN366">
        <f>CORREL(Table1[YearsAtCompany],AK366:AK1835)</f>
        <v>-2.1365798972488817E-2</v>
      </c>
      <c r="AO366">
        <f t="shared" si="5"/>
        <v>0</v>
      </c>
    </row>
    <row r="367" spans="1:41" x14ac:dyDescent="0.25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  <c r="AK367" s="4">
        <f>IF(Table1[[#This Row],[Attrition]]="Yes", 1,0)</f>
        <v>0</v>
      </c>
      <c r="AL367">
        <f>CORREL(Table1[Age],AK367:AK1836)</f>
        <v>5.3821675052768032E-2</v>
      </c>
      <c r="AM367">
        <f>CORREL(Table1[MonthlyIncome],AK367:AK1836)</f>
        <v>1.1856898134350301E-2</v>
      </c>
      <c r="AN367">
        <f>CORREL(Table1[YearsAtCompany],AK367:AK1836)</f>
        <v>2.7484036358037104E-3</v>
      </c>
      <c r="AO367">
        <f t="shared" si="5"/>
        <v>0</v>
      </c>
    </row>
    <row r="368" spans="1:41" x14ac:dyDescent="0.25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  <c r="AK368" s="4">
        <f>IF(Table1[[#This Row],[Attrition]]="Yes", 1,0)</f>
        <v>1</v>
      </c>
      <c r="AL368">
        <f>CORREL(Table1[Age],AK368:AK1837)</f>
        <v>-6.8916457569670646E-3</v>
      </c>
      <c r="AM368">
        <f>CORREL(Table1[MonthlyIncome],AK368:AK1837)</f>
        <v>-3.3777139184822634E-2</v>
      </c>
      <c r="AN368">
        <f>CORREL(Table1[YearsAtCompany],AK368:AK1837)</f>
        <v>-8.9005121875498482E-3</v>
      </c>
      <c r="AO368">
        <f t="shared" si="5"/>
        <v>1</v>
      </c>
    </row>
    <row r="369" spans="1:41" x14ac:dyDescent="0.25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  <c r="AK369" s="4">
        <f>IF(Table1[[#This Row],[Attrition]]="Yes", 1,0)</f>
        <v>0</v>
      </c>
      <c r="AL369">
        <f>CORREL(Table1[Age],AK369:AK1838)</f>
        <v>-1.8441373695139342E-2</v>
      </c>
      <c r="AM369">
        <f>CORREL(Table1[MonthlyIncome],AK369:AK1838)</f>
        <v>1.8581279934382113E-2</v>
      </c>
      <c r="AN369">
        <f>CORREL(Table1[YearsAtCompany],AK369:AK1838)</f>
        <v>-4.1621684608676808E-3</v>
      </c>
      <c r="AO369">
        <f t="shared" si="5"/>
        <v>0</v>
      </c>
    </row>
    <row r="370" spans="1:41" x14ac:dyDescent="0.25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  <c r="AK370" s="4">
        <f>IF(Table1[[#This Row],[Attrition]]="Yes", 1,0)</f>
        <v>1</v>
      </c>
      <c r="AL370">
        <f>CORREL(Table1[Age],AK370:AK1839)</f>
        <v>-2.8408134282639823E-2</v>
      </c>
      <c r="AM370">
        <f>CORREL(Table1[MonthlyIncome],AK370:AK1839)</f>
        <v>-2.0675399257914052E-2</v>
      </c>
      <c r="AN370">
        <f>CORREL(Table1[YearsAtCompany],AK370:AK1839)</f>
        <v>-6.3982911950621515E-2</v>
      </c>
      <c r="AO370">
        <f t="shared" si="5"/>
        <v>1</v>
      </c>
    </row>
    <row r="371" spans="1:41" x14ac:dyDescent="0.25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  <c r="AK371" s="4">
        <f>IF(Table1[[#This Row],[Attrition]]="Yes", 1,0)</f>
        <v>0</v>
      </c>
      <c r="AL371">
        <f>CORREL(Table1[Age],AK371:AK1840)</f>
        <v>-1.6649857163801542E-2</v>
      </c>
      <c r="AM371">
        <f>CORREL(Table1[MonthlyIncome],AK371:AK1840)</f>
        <v>-2.4527273511529952E-4</v>
      </c>
      <c r="AN371">
        <f>CORREL(Table1[YearsAtCompany],AK371:AK1840)</f>
        <v>-4.0196249324038836E-3</v>
      </c>
      <c r="AO371">
        <f t="shared" si="5"/>
        <v>0</v>
      </c>
    </row>
    <row r="372" spans="1:41" x14ac:dyDescent="0.25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  <c r="AK372" s="4">
        <f>IF(Table1[[#This Row],[Attrition]]="Yes", 1,0)</f>
        <v>1</v>
      </c>
      <c r="AL372">
        <f>CORREL(Table1[Age],AK372:AK1841)</f>
        <v>-1.8570951529355638E-2</v>
      </c>
      <c r="AM372">
        <f>CORREL(Table1[MonthlyIncome],AK372:AK1841)</f>
        <v>-4.452335923678119E-2</v>
      </c>
      <c r="AN372">
        <f>CORREL(Table1[YearsAtCompany],AK372:AK1841)</f>
        <v>-4.5906817408184884E-2</v>
      </c>
      <c r="AO372">
        <f t="shared" si="5"/>
        <v>1</v>
      </c>
    </row>
    <row r="373" spans="1:41" x14ac:dyDescent="0.25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  <c r="AK373" s="4">
        <f>IF(Table1[[#This Row],[Attrition]]="Yes", 1,0)</f>
        <v>0</v>
      </c>
      <c r="AL373">
        <f>CORREL(Table1[Age],AK373:AK1842)</f>
        <v>-3.2705888278616604E-2</v>
      </c>
      <c r="AM373">
        <f>CORREL(Table1[MonthlyIncome],AK373:AK1842)</f>
        <v>-1.4780184775636808E-2</v>
      </c>
      <c r="AN373">
        <f>CORREL(Table1[YearsAtCompany],AK373:AK1842)</f>
        <v>4.660453939159764E-3</v>
      </c>
      <c r="AO373">
        <f t="shared" si="5"/>
        <v>0</v>
      </c>
    </row>
    <row r="374" spans="1:41" x14ac:dyDescent="0.25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  <c r="AK374" s="4">
        <f>IF(Table1[[#This Row],[Attrition]]="Yes", 1,0)</f>
        <v>0</v>
      </c>
      <c r="AL374">
        <f>CORREL(Table1[Age],AK374:AK1843)</f>
        <v>7.5559614830313135E-2</v>
      </c>
      <c r="AM374">
        <f>CORREL(Table1[MonthlyIncome],AK374:AK1843)</f>
        <v>2.8241158336615068E-2</v>
      </c>
      <c r="AN374">
        <f>CORREL(Table1[YearsAtCompany],AK374:AK1843)</f>
        <v>1.4901871461756391E-2</v>
      </c>
      <c r="AO374">
        <f t="shared" si="5"/>
        <v>0</v>
      </c>
    </row>
    <row r="375" spans="1:41" x14ac:dyDescent="0.25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  <c r="AK375" s="4">
        <f>IF(Table1[[#This Row],[Attrition]]="Yes", 1,0)</f>
        <v>0</v>
      </c>
      <c r="AL375">
        <f>CORREL(Table1[Age],AK375:AK1844)</f>
        <v>1.0964879817591422E-2</v>
      </c>
      <c r="AM375">
        <f>CORREL(Table1[MonthlyIncome],AK375:AK1844)</f>
        <v>-4.2275488520478521E-2</v>
      </c>
      <c r="AN375">
        <f>CORREL(Table1[YearsAtCompany],AK375:AK1844)</f>
        <v>-7.631210713855055E-2</v>
      </c>
      <c r="AO375">
        <f t="shared" si="5"/>
        <v>0</v>
      </c>
    </row>
    <row r="376" spans="1:41" x14ac:dyDescent="0.25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  <c r="AK376" s="4">
        <f>IF(Table1[[#This Row],[Attrition]]="Yes", 1,0)</f>
        <v>0</v>
      </c>
      <c r="AL376">
        <f>CORREL(Table1[Age],AK376:AK1845)</f>
        <v>-4.0145204158687595E-2</v>
      </c>
      <c r="AM376">
        <f>CORREL(Table1[MonthlyIncome],AK376:AK1845)</f>
        <v>-2.8013479635614777E-2</v>
      </c>
      <c r="AN376">
        <f>CORREL(Table1[YearsAtCompany],AK376:AK1845)</f>
        <v>-3.164178545265238E-2</v>
      </c>
      <c r="AO376">
        <f t="shared" si="5"/>
        <v>0</v>
      </c>
    </row>
    <row r="377" spans="1:41" x14ac:dyDescent="0.25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  <c r="AK377" s="4">
        <f>IF(Table1[[#This Row],[Attrition]]="Yes", 1,0)</f>
        <v>0</v>
      </c>
      <c r="AL377">
        <f>CORREL(Table1[Age],AK377:AK1846)</f>
        <v>-4.1377158151996919E-2</v>
      </c>
      <c r="AM377">
        <f>CORREL(Table1[MonthlyIncome],AK377:AK1846)</f>
        <v>-1.459905234258096E-2</v>
      </c>
      <c r="AN377">
        <f>CORREL(Table1[YearsAtCompany],AK377:AK1846)</f>
        <v>2.2650170449973365E-2</v>
      </c>
      <c r="AO377">
        <f t="shared" si="5"/>
        <v>0</v>
      </c>
    </row>
    <row r="378" spans="1:41" x14ac:dyDescent="0.25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  <c r="AK378" s="4">
        <f>IF(Table1[[#This Row],[Attrition]]="Yes", 1,0)</f>
        <v>0</v>
      </c>
      <c r="AL378">
        <f>CORREL(Table1[Age],AK378:AK1847)</f>
        <v>2.7087077974850826E-2</v>
      </c>
      <c r="AM378">
        <f>CORREL(Table1[MonthlyIncome],AK378:AK1847)</f>
        <v>7.883567561109088E-2</v>
      </c>
      <c r="AN378">
        <f>CORREL(Table1[YearsAtCompany],AK378:AK1847)</f>
        <v>4.9029277167013233E-2</v>
      </c>
      <c r="AO378">
        <f t="shared" si="5"/>
        <v>0</v>
      </c>
    </row>
    <row r="379" spans="1:41" x14ac:dyDescent="0.25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  <c r="AK379" s="4">
        <f>IF(Table1[[#This Row],[Attrition]]="Yes", 1,0)</f>
        <v>0</v>
      </c>
      <c r="AL379">
        <f>CORREL(Table1[Age],AK379:AK1848)</f>
        <v>1.0482415021576055E-2</v>
      </c>
      <c r="AM379">
        <f>CORREL(Table1[MonthlyIncome],AK379:AK1848)</f>
        <v>1.7851185688651124E-2</v>
      </c>
      <c r="AN379">
        <f>CORREL(Table1[YearsAtCompany],AK379:AK1848)</f>
        <v>6.6729597163227537E-3</v>
      </c>
      <c r="AO379">
        <f t="shared" si="5"/>
        <v>0</v>
      </c>
    </row>
    <row r="380" spans="1:41" x14ac:dyDescent="0.25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  <c r="AK380" s="4">
        <f>IF(Table1[[#This Row],[Attrition]]="Yes", 1,0)</f>
        <v>1</v>
      </c>
      <c r="AL380">
        <f>CORREL(Table1[Age],AK380:AK1849)</f>
        <v>-5.4742676511790548E-3</v>
      </c>
      <c r="AM380">
        <f>CORREL(Table1[MonthlyIncome],AK380:AK1849)</f>
        <v>-1.8125492324553186E-2</v>
      </c>
      <c r="AN380">
        <f>CORREL(Table1[YearsAtCompany],AK380:AK1849)</f>
        <v>3.4489014511149926E-2</v>
      </c>
      <c r="AO380">
        <f t="shared" si="5"/>
        <v>1</v>
      </c>
    </row>
    <row r="381" spans="1:41" x14ac:dyDescent="0.25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  <c r="AK381" s="4">
        <f>IF(Table1[[#This Row],[Attrition]]="Yes", 1,0)</f>
        <v>0</v>
      </c>
      <c r="AL381">
        <f>CORREL(Table1[Age],AK381:AK1850)</f>
        <v>-2.8596203106610089E-2</v>
      </c>
      <c r="AM381">
        <f>CORREL(Table1[MonthlyIncome],AK381:AK1850)</f>
        <v>-6.7046494052831621E-3</v>
      </c>
      <c r="AN381">
        <f>CORREL(Table1[YearsAtCompany],AK381:AK1850)</f>
        <v>9.2152541507864872E-4</v>
      </c>
      <c r="AO381">
        <f t="shared" si="5"/>
        <v>0</v>
      </c>
    </row>
    <row r="382" spans="1:41" x14ac:dyDescent="0.25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  <c r="AK382" s="4">
        <f>IF(Table1[[#This Row],[Attrition]]="Yes", 1,0)</f>
        <v>0</v>
      </c>
      <c r="AL382">
        <f>CORREL(Table1[Age],AK382:AK1851)</f>
        <v>-1.1019371954396355E-2</v>
      </c>
      <c r="AM382">
        <f>CORREL(Table1[MonthlyIncome],AK382:AK1851)</f>
        <v>1.7203370144606159E-2</v>
      </c>
      <c r="AN382">
        <f>CORREL(Table1[YearsAtCompany],AK382:AK1851)</f>
        <v>1.7886121320695145E-2</v>
      </c>
      <c r="AO382">
        <f t="shared" si="5"/>
        <v>0</v>
      </c>
    </row>
    <row r="383" spans="1:41" x14ac:dyDescent="0.25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  <c r="AK383" s="4">
        <f>IF(Table1[[#This Row],[Attrition]]="Yes", 1,0)</f>
        <v>0</v>
      </c>
      <c r="AL383">
        <f>CORREL(Table1[Age],AK383:AK1852)</f>
        <v>-5.8767247108815063E-2</v>
      </c>
      <c r="AM383">
        <f>CORREL(Table1[MonthlyIncome],AK383:AK1852)</f>
        <v>-2.4204275933972303E-2</v>
      </c>
      <c r="AN383">
        <f>CORREL(Table1[YearsAtCompany],AK383:AK1852)</f>
        <v>5.0555676425494672E-3</v>
      </c>
      <c r="AO383">
        <f t="shared" si="5"/>
        <v>0</v>
      </c>
    </row>
    <row r="384" spans="1:41" x14ac:dyDescent="0.25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  <c r="AK384" s="4">
        <f>IF(Table1[[#This Row],[Attrition]]="Yes", 1,0)</f>
        <v>1</v>
      </c>
      <c r="AL384">
        <f>CORREL(Table1[Age],AK384:AK1853)</f>
        <v>-1.1862965163363732E-2</v>
      </c>
      <c r="AM384">
        <f>CORREL(Table1[MonthlyIncome],AK384:AK1853)</f>
        <v>-2.3017601184282199E-2</v>
      </c>
      <c r="AN384">
        <f>CORREL(Table1[YearsAtCompany],AK384:AK1853)</f>
        <v>-3.4824661150087623E-2</v>
      </c>
      <c r="AO384">
        <f t="shared" si="5"/>
        <v>1</v>
      </c>
    </row>
    <row r="385" spans="1:41" x14ac:dyDescent="0.25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  <c r="AK385" s="4">
        <f>IF(Table1[[#This Row],[Attrition]]="Yes", 1,0)</f>
        <v>0</v>
      </c>
      <c r="AL385">
        <f>CORREL(Table1[Age],AK385:AK1854)</f>
        <v>5.1457309396053343E-2</v>
      </c>
      <c r="AM385">
        <f>CORREL(Table1[MonthlyIncome],AK385:AK1854)</f>
        <v>3.9160577123212699E-2</v>
      </c>
      <c r="AN385">
        <f>CORREL(Table1[YearsAtCompany],AK385:AK1854)</f>
        <v>6.9359177664314927E-3</v>
      </c>
      <c r="AO385">
        <f t="shared" si="5"/>
        <v>0</v>
      </c>
    </row>
    <row r="386" spans="1:41" x14ac:dyDescent="0.25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  <c r="AK386" s="4">
        <f>IF(Table1[[#This Row],[Attrition]]="Yes", 1,0)</f>
        <v>0</v>
      </c>
      <c r="AL386">
        <f>CORREL(Table1[Age],AK386:AK1855)</f>
        <v>8.9927574855509104E-2</v>
      </c>
      <c r="AM386">
        <f>CORREL(Table1[MonthlyIncome],AK386:AK1855)</f>
        <v>1.5079681973743563E-2</v>
      </c>
      <c r="AN386">
        <f>CORREL(Table1[YearsAtCompany],AK386:AK1855)</f>
        <v>2.2178236715345401E-2</v>
      </c>
      <c r="AO386">
        <f t="shared" si="5"/>
        <v>0</v>
      </c>
    </row>
    <row r="387" spans="1:41" x14ac:dyDescent="0.25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  <c r="AK387" s="4">
        <f>IF(Table1[[#This Row],[Attrition]]="Yes", 1,0)</f>
        <v>1</v>
      </c>
      <c r="AL387">
        <f>CORREL(Table1[Age],AK387:AK1856)</f>
        <v>2.1635750589001034E-2</v>
      </c>
      <c r="AM387">
        <f>CORREL(Table1[MonthlyIncome],AK387:AK1856)</f>
        <v>1.7172378455897249E-2</v>
      </c>
      <c r="AN387">
        <f>CORREL(Table1[YearsAtCompany],AK387:AK1856)</f>
        <v>3.1750763909862381E-2</v>
      </c>
      <c r="AO387">
        <f t="shared" ref="AO387:AO450" si="6">ABS(AK387)</f>
        <v>1</v>
      </c>
    </row>
    <row r="388" spans="1:41" x14ac:dyDescent="0.25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  <c r="AK388" s="4">
        <f>IF(Table1[[#This Row],[Attrition]]="Yes", 1,0)</f>
        <v>0</v>
      </c>
      <c r="AL388">
        <f>CORREL(Table1[Age],AK388:AK1857)</f>
        <v>-5.701142508549599E-2</v>
      </c>
      <c r="AM388">
        <f>CORREL(Table1[MonthlyIncome],AK388:AK1857)</f>
        <v>1.1360756465920057E-2</v>
      </c>
      <c r="AN388">
        <f>CORREL(Table1[YearsAtCompany],AK388:AK1857)</f>
        <v>-1.4345985866128312E-2</v>
      </c>
      <c r="AO388">
        <f t="shared" si="6"/>
        <v>0</v>
      </c>
    </row>
    <row r="389" spans="1:41" x14ac:dyDescent="0.25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  <c r="AK389" s="4">
        <f>IF(Table1[[#This Row],[Attrition]]="Yes", 1,0)</f>
        <v>0</v>
      </c>
      <c r="AL389">
        <f>CORREL(Table1[Age],AK389:AK1858)</f>
        <v>2.5144350636044584E-2</v>
      </c>
      <c r="AM389">
        <f>CORREL(Table1[MonthlyIncome],AK389:AK1858)</f>
        <v>4.2862135120804404E-2</v>
      </c>
      <c r="AN389">
        <f>CORREL(Table1[YearsAtCompany],AK389:AK1858)</f>
        <v>4.1106306301945693E-2</v>
      </c>
      <c r="AO389">
        <f t="shared" si="6"/>
        <v>0</v>
      </c>
    </row>
    <row r="390" spans="1:41" x14ac:dyDescent="0.25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  <c r="AK390" s="4">
        <f>IF(Table1[[#This Row],[Attrition]]="Yes", 1,0)</f>
        <v>0</v>
      </c>
      <c r="AL390">
        <f>CORREL(Table1[Age],AK390:AK1859)</f>
        <v>1.6855605287715337E-2</v>
      </c>
      <c r="AM390">
        <f>CORREL(Table1[MonthlyIncome],AK390:AK1859)</f>
        <v>-2.3539580662409004E-2</v>
      </c>
      <c r="AN390">
        <f>CORREL(Table1[YearsAtCompany],AK390:AK1859)</f>
        <v>1.8916600142287101E-2</v>
      </c>
      <c r="AO390">
        <f t="shared" si="6"/>
        <v>0</v>
      </c>
    </row>
    <row r="391" spans="1:41" x14ac:dyDescent="0.25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  <c r="AK391" s="4">
        <f>IF(Table1[[#This Row],[Attrition]]="Yes", 1,0)</f>
        <v>0</v>
      </c>
      <c r="AL391">
        <f>CORREL(Table1[Age],AK391:AK1860)</f>
        <v>-7.6850984154045055E-3</v>
      </c>
      <c r="AM391">
        <f>CORREL(Table1[MonthlyIncome],AK391:AK1860)</f>
        <v>-4.1564181250907661E-2</v>
      </c>
      <c r="AN391">
        <f>CORREL(Table1[YearsAtCompany],AK391:AK1860)</f>
        <v>-1.3226556993950204E-2</v>
      </c>
      <c r="AO391">
        <f t="shared" si="6"/>
        <v>0</v>
      </c>
    </row>
    <row r="392" spans="1:41" x14ac:dyDescent="0.25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  <c r="AK392" s="4">
        <f>IF(Table1[[#This Row],[Attrition]]="Yes", 1,0)</f>
        <v>0</v>
      </c>
      <c r="AL392">
        <f>CORREL(Table1[Age],AK392:AK1861)</f>
        <v>3.5253235882507034E-2</v>
      </c>
      <c r="AM392">
        <f>CORREL(Table1[MonthlyIncome],AK392:AK1861)</f>
        <v>4.2719698828992514E-2</v>
      </c>
      <c r="AN392">
        <f>CORREL(Table1[YearsAtCompany],AK392:AK1861)</f>
        <v>6.8819941555340713E-2</v>
      </c>
      <c r="AO392">
        <f t="shared" si="6"/>
        <v>0</v>
      </c>
    </row>
    <row r="393" spans="1:41" x14ac:dyDescent="0.25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  <c r="AK393" s="4">
        <f>IF(Table1[[#This Row],[Attrition]]="Yes", 1,0)</f>
        <v>0</v>
      </c>
      <c r="AL393">
        <f>CORREL(Table1[Age],AK393:AK1862)</f>
        <v>-1.5191617011171617E-2</v>
      </c>
      <c r="AM393">
        <f>CORREL(Table1[MonthlyIncome],AK393:AK1862)</f>
        <v>2.2310929302171791E-2</v>
      </c>
      <c r="AN393">
        <f>CORREL(Table1[YearsAtCompany],AK393:AK1862)</f>
        <v>2.5667295656741151E-2</v>
      </c>
      <c r="AO393">
        <f t="shared" si="6"/>
        <v>0</v>
      </c>
    </row>
    <row r="394" spans="1:41" x14ac:dyDescent="0.25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  <c r="AK394" s="4">
        <f>IF(Table1[[#This Row],[Attrition]]="Yes", 1,0)</f>
        <v>0</v>
      </c>
      <c r="AL394">
        <f>CORREL(Table1[Age],AK394:AK1863)</f>
        <v>-4.5152387484526406E-3</v>
      </c>
      <c r="AM394">
        <f>CORREL(Table1[MonthlyIncome],AK394:AK1863)</f>
        <v>-1.6466065246652731E-2</v>
      </c>
      <c r="AN394">
        <f>CORREL(Table1[YearsAtCompany],AK394:AK1863)</f>
        <v>-3.4421955970421761E-2</v>
      </c>
      <c r="AO394">
        <f t="shared" si="6"/>
        <v>0</v>
      </c>
    </row>
    <row r="395" spans="1:41" x14ac:dyDescent="0.25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  <c r="AK395" s="4">
        <f>IF(Table1[[#This Row],[Attrition]]="Yes", 1,0)</f>
        <v>0</v>
      </c>
      <c r="AL395">
        <f>CORREL(Table1[Age],AK395:AK1864)</f>
        <v>-1.4982488201052451E-2</v>
      </c>
      <c r="AM395">
        <f>CORREL(Table1[MonthlyIncome],AK395:AK1864)</f>
        <v>-3.8515004371819494E-3</v>
      </c>
      <c r="AN395">
        <f>CORREL(Table1[YearsAtCompany],AK395:AK1864)</f>
        <v>-4.3527327172841065E-2</v>
      </c>
      <c r="AO395">
        <f t="shared" si="6"/>
        <v>0</v>
      </c>
    </row>
    <row r="396" spans="1:41" x14ac:dyDescent="0.25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  <c r="AK396" s="4">
        <f>IF(Table1[[#This Row],[Attrition]]="Yes", 1,0)</f>
        <v>0</v>
      </c>
      <c r="AL396">
        <f>CORREL(Table1[Age],AK396:AK1865)</f>
        <v>-2.4926165363317584E-2</v>
      </c>
      <c r="AM396">
        <f>CORREL(Table1[MonthlyIncome],AK396:AK1865)</f>
        <v>-3.9556099410789775E-2</v>
      </c>
      <c r="AN396">
        <f>CORREL(Table1[YearsAtCompany],AK396:AK1865)</f>
        <v>2.3975755404485228E-2</v>
      </c>
      <c r="AO396">
        <f t="shared" si="6"/>
        <v>0</v>
      </c>
    </row>
    <row r="397" spans="1:41" x14ac:dyDescent="0.25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  <c r="AK397" s="4">
        <f>IF(Table1[[#This Row],[Attrition]]="Yes", 1,0)</f>
        <v>0</v>
      </c>
      <c r="AL397">
        <f>CORREL(Table1[Age],AK397:AK1866)</f>
        <v>-6.7818283158107437E-2</v>
      </c>
      <c r="AM397">
        <f>CORREL(Table1[MonthlyIncome],AK397:AK1866)</f>
        <v>-2.1955524835401329E-2</v>
      </c>
      <c r="AN397">
        <f>CORREL(Table1[YearsAtCompany],AK397:AK1866)</f>
        <v>-2.1543882155466494E-2</v>
      </c>
      <c r="AO397">
        <f t="shared" si="6"/>
        <v>0</v>
      </c>
    </row>
    <row r="398" spans="1:41" x14ac:dyDescent="0.25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  <c r="AK398" s="4">
        <f>IF(Table1[[#This Row],[Attrition]]="Yes", 1,0)</f>
        <v>0</v>
      </c>
      <c r="AL398">
        <f>CORREL(Table1[Age],AK398:AK1867)</f>
        <v>1.3341715036022321E-2</v>
      </c>
      <c r="AM398">
        <f>CORREL(Table1[MonthlyIncome],AK398:AK1867)</f>
        <v>1.7173419164447187E-2</v>
      </c>
      <c r="AN398">
        <f>CORREL(Table1[YearsAtCompany],AK398:AK1867)</f>
        <v>1.3750618642291199E-2</v>
      </c>
      <c r="AO398">
        <f t="shared" si="6"/>
        <v>0</v>
      </c>
    </row>
    <row r="399" spans="1:41" x14ac:dyDescent="0.25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  <c r="AK399" s="4">
        <f>IF(Table1[[#This Row],[Attrition]]="Yes", 1,0)</f>
        <v>0</v>
      </c>
      <c r="AL399">
        <f>CORREL(Table1[Age],AK399:AK1868)</f>
        <v>-2.947775820075213E-2</v>
      </c>
      <c r="AM399">
        <f>CORREL(Table1[MonthlyIncome],AK399:AK1868)</f>
        <v>2.8143876751101225E-2</v>
      </c>
      <c r="AN399">
        <f>CORREL(Table1[YearsAtCompany],AK399:AK1868)</f>
        <v>-1.8342652644099025E-2</v>
      </c>
      <c r="AO399">
        <f t="shared" si="6"/>
        <v>0</v>
      </c>
    </row>
    <row r="400" spans="1:41" x14ac:dyDescent="0.25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  <c r="AK400" s="4">
        <f>IF(Table1[[#This Row],[Attrition]]="Yes", 1,0)</f>
        <v>0</v>
      </c>
      <c r="AL400">
        <f>CORREL(Table1[Age],AK400:AK1869)</f>
        <v>-9.5543430296484086E-3</v>
      </c>
      <c r="AM400">
        <f>CORREL(Table1[MonthlyIncome],AK400:AK1869)</f>
        <v>-1.2042116375693775E-2</v>
      </c>
      <c r="AN400">
        <f>CORREL(Table1[YearsAtCompany],AK400:AK1869)</f>
        <v>-1.8614822149388161E-2</v>
      </c>
      <c r="AO400">
        <f t="shared" si="6"/>
        <v>0</v>
      </c>
    </row>
    <row r="401" spans="1:41" x14ac:dyDescent="0.25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  <c r="AK401" s="4">
        <f>IF(Table1[[#This Row],[Attrition]]="Yes", 1,0)</f>
        <v>0</v>
      </c>
      <c r="AL401">
        <f>CORREL(Table1[Age],AK401:AK1870)</f>
        <v>1.4479444077889562E-2</v>
      </c>
      <c r="AM401">
        <f>CORREL(Table1[MonthlyIncome],AK401:AK1870)</f>
        <v>1.0498593551157174E-2</v>
      </c>
      <c r="AN401">
        <f>CORREL(Table1[YearsAtCompany],AK401:AK1870)</f>
        <v>-7.8754900485457629E-4</v>
      </c>
      <c r="AO401">
        <f t="shared" si="6"/>
        <v>0</v>
      </c>
    </row>
    <row r="402" spans="1:41" x14ac:dyDescent="0.25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  <c r="AK402" s="4">
        <f>IF(Table1[[#This Row],[Attrition]]="Yes", 1,0)</f>
        <v>0</v>
      </c>
      <c r="AL402">
        <f>CORREL(Table1[Age],AK402:AK1871)</f>
        <v>4.6435810116359097E-2</v>
      </c>
      <c r="AM402">
        <f>CORREL(Table1[MonthlyIncome],AK402:AK1871)</f>
        <v>-3.5392802915731901E-2</v>
      </c>
      <c r="AN402">
        <f>CORREL(Table1[YearsAtCompany],AK402:AK1871)</f>
        <v>-2.2713742550108964E-2</v>
      </c>
      <c r="AO402">
        <f t="shared" si="6"/>
        <v>0</v>
      </c>
    </row>
    <row r="403" spans="1:41" x14ac:dyDescent="0.25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  <c r="AK403" s="4">
        <f>IF(Table1[[#This Row],[Attrition]]="Yes", 1,0)</f>
        <v>0</v>
      </c>
      <c r="AL403">
        <f>CORREL(Table1[Age],AK403:AK1872)</f>
        <v>1.3921697002611368E-3</v>
      </c>
      <c r="AM403">
        <f>CORREL(Table1[MonthlyIncome],AK403:AK1872)</f>
        <v>-1.0966685013167934E-2</v>
      </c>
      <c r="AN403">
        <f>CORREL(Table1[YearsAtCompany],AK403:AK1872)</f>
        <v>-1.7089902149932713E-2</v>
      </c>
      <c r="AO403">
        <f t="shared" si="6"/>
        <v>0</v>
      </c>
    </row>
    <row r="404" spans="1:41" x14ac:dyDescent="0.25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  <c r="AK404" s="4">
        <f>IF(Table1[[#This Row],[Attrition]]="Yes", 1,0)</f>
        <v>0</v>
      </c>
      <c r="AL404">
        <f>CORREL(Table1[Age],AK404:AK1873)</f>
        <v>-5.0657428648372194E-2</v>
      </c>
      <c r="AM404">
        <f>CORREL(Table1[MonthlyIncome],AK404:AK1873)</f>
        <v>-1.9320928802907113E-2</v>
      </c>
      <c r="AN404">
        <f>CORREL(Table1[YearsAtCompany],AK404:AK1873)</f>
        <v>6.5963300580826134E-3</v>
      </c>
      <c r="AO404">
        <f t="shared" si="6"/>
        <v>0</v>
      </c>
    </row>
    <row r="405" spans="1:41" x14ac:dyDescent="0.25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  <c r="AK405" s="4">
        <f>IF(Table1[[#This Row],[Attrition]]="Yes", 1,0)</f>
        <v>0</v>
      </c>
      <c r="AL405">
        <f>CORREL(Table1[Age],AK405:AK1874)</f>
        <v>-3.3847767662887837E-3</v>
      </c>
      <c r="AM405">
        <f>CORREL(Table1[MonthlyIncome],AK405:AK1874)</f>
        <v>-1.8502640316720779E-2</v>
      </c>
      <c r="AN405">
        <f>CORREL(Table1[YearsAtCompany],AK405:AK1874)</f>
        <v>-1.4084732889486907E-2</v>
      </c>
      <c r="AO405">
        <f t="shared" si="6"/>
        <v>0</v>
      </c>
    </row>
    <row r="406" spans="1:41" x14ac:dyDescent="0.25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  <c r="AK406" s="4">
        <f>IF(Table1[[#This Row],[Attrition]]="Yes", 1,0)</f>
        <v>0</v>
      </c>
      <c r="AL406">
        <f>CORREL(Table1[Age],AK406:AK1875)</f>
        <v>2.4825152267648552E-2</v>
      </c>
      <c r="AM406">
        <f>CORREL(Table1[MonthlyIncome],AK406:AK1875)</f>
        <v>3.8283126312835987E-2</v>
      </c>
      <c r="AN406">
        <f>CORREL(Table1[YearsAtCompany],AK406:AK1875)</f>
        <v>-9.791549913450907E-3</v>
      </c>
      <c r="AO406">
        <f t="shared" si="6"/>
        <v>0</v>
      </c>
    </row>
    <row r="407" spans="1:41" x14ac:dyDescent="0.25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  <c r="AK407" s="4">
        <f>IF(Table1[[#This Row],[Attrition]]="Yes", 1,0)</f>
        <v>1</v>
      </c>
      <c r="AL407">
        <f>CORREL(Table1[Age],AK407:AK1876)</f>
        <v>-3.5523119759225415E-4</v>
      </c>
      <c r="AM407">
        <f>CORREL(Table1[MonthlyIncome],AK407:AK1876)</f>
        <v>1.3184584606332107E-2</v>
      </c>
      <c r="AN407">
        <f>CORREL(Table1[YearsAtCompany],AK407:AK1876)</f>
        <v>1.6131299753223114E-2</v>
      </c>
      <c r="AO407">
        <f t="shared" si="6"/>
        <v>1</v>
      </c>
    </row>
    <row r="408" spans="1:41" x14ac:dyDescent="0.25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  <c r="AK408" s="4">
        <f>IF(Table1[[#This Row],[Attrition]]="Yes", 1,0)</f>
        <v>0</v>
      </c>
      <c r="AL408">
        <f>CORREL(Table1[Age],AK408:AK1877)</f>
        <v>-2.1915882991320444E-2</v>
      </c>
      <c r="AM408">
        <f>CORREL(Table1[MonthlyIncome],AK408:AK1877)</f>
        <v>-1.3277484007344548E-2</v>
      </c>
      <c r="AN408">
        <f>CORREL(Table1[YearsAtCompany],AK408:AK1877)</f>
        <v>-2.9343229317441706E-3</v>
      </c>
      <c r="AO408">
        <f t="shared" si="6"/>
        <v>0</v>
      </c>
    </row>
    <row r="409" spans="1:41" x14ac:dyDescent="0.25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  <c r="AK409" s="4">
        <f>IF(Table1[[#This Row],[Attrition]]="Yes", 1,0)</f>
        <v>0</v>
      </c>
      <c r="AL409">
        <f>CORREL(Table1[Age],AK409:AK1878)</f>
        <v>-2.0937377932226262E-2</v>
      </c>
      <c r="AM409">
        <f>CORREL(Table1[MonthlyIncome],AK409:AK1878)</f>
        <v>-3.1805943764912345E-2</v>
      </c>
      <c r="AN409">
        <f>CORREL(Table1[YearsAtCompany],AK409:AK1878)</f>
        <v>-7.1826022423427966E-3</v>
      </c>
      <c r="AO409">
        <f t="shared" si="6"/>
        <v>0</v>
      </c>
    </row>
    <row r="410" spans="1:41" x14ac:dyDescent="0.25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  <c r="AK410" s="4">
        <f>IF(Table1[[#This Row],[Attrition]]="Yes", 1,0)</f>
        <v>0</v>
      </c>
      <c r="AL410">
        <f>CORREL(Table1[Age],AK410:AK1879)</f>
        <v>1.2212203952430133E-2</v>
      </c>
      <c r="AM410">
        <f>CORREL(Table1[MonthlyIncome],AK410:AK1879)</f>
        <v>-1.6213303697110791E-2</v>
      </c>
      <c r="AN410">
        <f>CORREL(Table1[YearsAtCompany],AK410:AK1879)</f>
        <v>-9.5449895276692436E-3</v>
      </c>
      <c r="AO410">
        <f t="shared" si="6"/>
        <v>0</v>
      </c>
    </row>
    <row r="411" spans="1:41" x14ac:dyDescent="0.25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  <c r="AK411" s="4">
        <f>IF(Table1[[#This Row],[Attrition]]="Yes", 1,0)</f>
        <v>0</v>
      </c>
      <c r="AL411">
        <f>CORREL(Table1[Age],AK411:AK1880)</f>
        <v>9.2165669414670144E-3</v>
      </c>
      <c r="AM411">
        <f>CORREL(Table1[MonthlyIncome],AK411:AK1880)</f>
        <v>4.2737125453689233E-2</v>
      </c>
      <c r="AN411">
        <f>CORREL(Table1[YearsAtCompany],AK411:AK1880)</f>
        <v>-2.0067759224790822E-2</v>
      </c>
      <c r="AO411">
        <f t="shared" si="6"/>
        <v>0</v>
      </c>
    </row>
    <row r="412" spans="1:41" x14ac:dyDescent="0.25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  <c r="AK412" s="4">
        <f>IF(Table1[[#This Row],[Attrition]]="Yes", 1,0)</f>
        <v>0</v>
      </c>
      <c r="AL412">
        <f>CORREL(Table1[Age],AK412:AK1881)</f>
        <v>1.9702321038399778E-2</v>
      </c>
      <c r="AM412">
        <f>CORREL(Table1[MonthlyIncome],AK412:AK1881)</f>
        <v>-4.2533497595276699E-2</v>
      </c>
      <c r="AN412">
        <f>CORREL(Table1[YearsAtCompany],AK412:AK1881)</f>
        <v>-5.0102068868922621E-2</v>
      </c>
      <c r="AO412">
        <f t="shared" si="6"/>
        <v>0</v>
      </c>
    </row>
    <row r="413" spans="1:41" x14ac:dyDescent="0.25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  <c r="AK413" s="4">
        <f>IF(Table1[[#This Row],[Attrition]]="Yes", 1,0)</f>
        <v>0</v>
      </c>
      <c r="AL413">
        <f>CORREL(Table1[Age],AK413:AK1882)</f>
        <v>2.9055678974061874E-2</v>
      </c>
      <c r="AM413">
        <f>CORREL(Table1[MonthlyIncome],AK413:AK1882)</f>
        <v>7.1670294551408531E-3</v>
      </c>
      <c r="AN413">
        <f>CORREL(Table1[YearsAtCompany],AK413:AK1882)</f>
        <v>3.2883663516011012E-2</v>
      </c>
      <c r="AO413">
        <f t="shared" si="6"/>
        <v>0</v>
      </c>
    </row>
    <row r="414" spans="1:41" x14ac:dyDescent="0.25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  <c r="AK414" s="4">
        <f>IF(Table1[[#This Row],[Attrition]]="Yes", 1,0)</f>
        <v>0</v>
      </c>
      <c r="AL414">
        <f>CORREL(Table1[Age],AK414:AK1883)</f>
        <v>3.8637051291304875E-2</v>
      </c>
      <c r="AM414">
        <f>CORREL(Table1[MonthlyIncome],AK414:AK1883)</f>
        <v>2.5294201334290126E-2</v>
      </c>
      <c r="AN414">
        <f>CORREL(Table1[YearsAtCompany],AK414:AK1883)</f>
        <v>1.3991701765027596E-2</v>
      </c>
      <c r="AO414">
        <f t="shared" si="6"/>
        <v>0</v>
      </c>
    </row>
    <row r="415" spans="1:41" x14ac:dyDescent="0.25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  <c r="AK415" s="4">
        <f>IF(Table1[[#This Row],[Attrition]]="Yes", 1,0)</f>
        <v>0</v>
      </c>
      <c r="AL415">
        <f>CORREL(Table1[Age],AK415:AK1884)</f>
        <v>1.3455796627088339E-2</v>
      </c>
      <c r="AM415">
        <f>CORREL(Table1[MonthlyIncome],AK415:AK1884)</f>
        <v>-7.057892996044029E-3</v>
      </c>
      <c r="AN415">
        <f>CORREL(Table1[YearsAtCompany],AK415:AK1884)</f>
        <v>1.38543484399504E-2</v>
      </c>
      <c r="AO415">
        <f t="shared" si="6"/>
        <v>0</v>
      </c>
    </row>
    <row r="416" spans="1:41" x14ac:dyDescent="0.25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  <c r="AK416" s="4">
        <f>IF(Table1[[#This Row],[Attrition]]="Yes", 1,0)</f>
        <v>1</v>
      </c>
      <c r="AL416">
        <f>CORREL(Table1[Age],AK416:AK1885)</f>
        <v>1.9537452791060114E-2</v>
      </c>
      <c r="AM416">
        <f>CORREL(Table1[MonthlyIncome],AK416:AK1885)</f>
        <v>4.2210091485410306E-3</v>
      </c>
      <c r="AN416">
        <f>CORREL(Table1[YearsAtCompany],AK416:AK1885)</f>
        <v>1.6016443195060667E-2</v>
      </c>
      <c r="AO416">
        <f t="shared" si="6"/>
        <v>1</v>
      </c>
    </row>
    <row r="417" spans="1:41" x14ac:dyDescent="0.25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  <c r="AK417" s="4">
        <f>IF(Table1[[#This Row],[Attrition]]="Yes", 1,0)</f>
        <v>1</v>
      </c>
      <c r="AL417">
        <f>CORREL(Table1[Age],AK417:AK1886)</f>
        <v>1.4592758234650269E-2</v>
      </c>
      <c r="AM417">
        <f>CORREL(Table1[MonthlyIncome],AK417:AK1886)</f>
        <v>-2.191288697467899E-2</v>
      </c>
      <c r="AN417">
        <f>CORREL(Table1[YearsAtCompany],AK417:AK1886)</f>
        <v>1.045995246774082E-2</v>
      </c>
      <c r="AO417">
        <f t="shared" si="6"/>
        <v>1</v>
      </c>
    </row>
    <row r="418" spans="1:41" x14ac:dyDescent="0.25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  <c r="AK418" s="4">
        <f>IF(Table1[[#This Row],[Attrition]]="Yes", 1,0)</f>
        <v>0</v>
      </c>
      <c r="AL418">
        <f>CORREL(Table1[Age],AK418:AK1887)</f>
        <v>-2.4610206064443791E-3</v>
      </c>
      <c r="AM418">
        <f>CORREL(Table1[MonthlyIncome],AK418:AK1887)</f>
        <v>-3.8399141167675954E-2</v>
      </c>
      <c r="AN418">
        <f>CORREL(Table1[YearsAtCompany],AK418:AK1887)</f>
        <v>-1.2254477733710776E-2</v>
      </c>
      <c r="AO418">
        <f t="shared" si="6"/>
        <v>0</v>
      </c>
    </row>
    <row r="419" spans="1:41" x14ac:dyDescent="0.25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  <c r="AK419" s="4">
        <f>IF(Table1[[#This Row],[Attrition]]="Yes", 1,0)</f>
        <v>0</v>
      </c>
      <c r="AL419">
        <f>CORREL(Table1[Age],AK419:AK1888)</f>
        <v>-8.9196871289146887E-3</v>
      </c>
      <c r="AM419">
        <f>CORREL(Table1[MonthlyIncome],AK419:AK1888)</f>
        <v>-8.6401335086186432E-3</v>
      </c>
      <c r="AN419">
        <f>CORREL(Table1[YearsAtCompany],AK419:AK1888)</f>
        <v>2.8855004702872396E-2</v>
      </c>
      <c r="AO419">
        <f t="shared" si="6"/>
        <v>0</v>
      </c>
    </row>
    <row r="420" spans="1:41" x14ac:dyDescent="0.25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  <c r="AK420" s="4">
        <f>IF(Table1[[#This Row],[Attrition]]="Yes", 1,0)</f>
        <v>0</v>
      </c>
      <c r="AL420">
        <f>CORREL(Table1[Age],AK420:AK1889)</f>
        <v>-1.1146445983486337E-2</v>
      </c>
      <c r="AM420">
        <f>CORREL(Table1[MonthlyIncome],AK420:AK1889)</f>
        <v>5.2010138117414652E-2</v>
      </c>
      <c r="AN420">
        <f>CORREL(Table1[YearsAtCompany],AK420:AK1889)</f>
        <v>7.048927180883012E-2</v>
      </c>
      <c r="AO420">
        <f t="shared" si="6"/>
        <v>0</v>
      </c>
    </row>
    <row r="421" spans="1:41" x14ac:dyDescent="0.25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  <c r="AK421" s="4">
        <f>IF(Table1[[#This Row],[Attrition]]="Yes", 1,0)</f>
        <v>0</v>
      </c>
      <c r="AL421">
        <f>CORREL(Table1[Age],AK421:AK1890)</f>
        <v>5.5079291747455929E-3</v>
      </c>
      <c r="AM421">
        <f>CORREL(Table1[MonthlyIncome],AK421:AK1890)</f>
        <v>3.881591901067748E-3</v>
      </c>
      <c r="AN421">
        <f>CORREL(Table1[YearsAtCompany],AK421:AK1890)</f>
        <v>2.6842318284732051E-2</v>
      </c>
      <c r="AO421">
        <f t="shared" si="6"/>
        <v>0</v>
      </c>
    </row>
    <row r="422" spans="1:41" x14ac:dyDescent="0.25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  <c r="AK422" s="4">
        <f>IF(Table1[[#This Row],[Attrition]]="Yes", 1,0)</f>
        <v>0</v>
      </c>
      <c r="AL422">
        <f>CORREL(Table1[Age],AK422:AK1891)</f>
        <v>1.526964021601584E-2</v>
      </c>
      <c r="AM422">
        <f>CORREL(Table1[MonthlyIncome],AK422:AK1891)</f>
        <v>9.2721997885785307E-3</v>
      </c>
      <c r="AN422">
        <f>CORREL(Table1[YearsAtCompany],AK422:AK1891)</f>
        <v>3.3312609762268221E-2</v>
      </c>
      <c r="AO422">
        <f t="shared" si="6"/>
        <v>0</v>
      </c>
    </row>
    <row r="423" spans="1:41" x14ac:dyDescent="0.25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  <c r="AK423" s="4">
        <f>IF(Table1[[#This Row],[Attrition]]="Yes", 1,0)</f>
        <v>1</v>
      </c>
      <c r="AL423">
        <f>CORREL(Table1[Age],AK423:AK1892)</f>
        <v>-6.4907954517193917E-2</v>
      </c>
      <c r="AM423">
        <f>CORREL(Table1[MonthlyIncome],AK423:AK1892)</f>
        <v>1.9210795868898008E-2</v>
      </c>
      <c r="AN423">
        <f>CORREL(Table1[YearsAtCompany],AK423:AK1892)</f>
        <v>3.5650465705354181E-3</v>
      </c>
      <c r="AO423">
        <f t="shared" si="6"/>
        <v>1</v>
      </c>
    </row>
    <row r="424" spans="1:41" x14ac:dyDescent="0.25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  <c r="AK424" s="4">
        <f>IF(Table1[[#This Row],[Attrition]]="Yes", 1,0)</f>
        <v>1</v>
      </c>
      <c r="AL424">
        <f>CORREL(Table1[Age],AK424:AK1893)</f>
        <v>-4.5791685794818418E-2</v>
      </c>
      <c r="AM424">
        <f>CORREL(Table1[MonthlyIncome],AK424:AK1893)</f>
        <v>-1.6887289334292534E-2</v>
      </c>
      <c r="AN424">
        <f>CORREL(Table1[YearsAtCompany],AK424:AK1893)</f>
        <v>-4.2295350780014777E-2</v>
      </c>
      <c r="AO424">
        <f t="shared" si="6"/>
        <v>1</v>
      </c>
    </row>
    <row r="425" spans="1:41" x14ac:dyDescent="0.25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  <c r="AK425" s="4">
        <f>IF(Table1[[#This Row],[Attrition]]="Yes", 1,0)</f>
        <v>0</v>
      </c>
      <c r="AL425">
        <f>CORREL(Table1[Age],AK425:AK1894)</f>
        <v>-5.8676313903811443E-2</v>
      </c>
      <c r="AM425">
        <f>CORREL(Table1[MonthlyIncome],AK425:AK1894)</f>
        <v>-2.7823802691616335E-2</v>
      </c>
      <c r="AN425">
        <f>CORREL(Table1[YearsAtCompany],AK425:AK1894)</f>
        <v>-1.5471489669905122E-2</v>
      </c>
      <c r="AO425">
        <f t="shared" si="6"/>
        <v>0</v>
      </c>
    </row>
    <row r="426" spans="1:41" x14ac:dyDescent="0.25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  <c r="AK426" s="4">
        <f>IF(Table1[[#This Row],[Attrition]]="Yes", 1,0)</f>
        <v>0</v>
      </c>
      <c r="AL426">
        <f>CORREL(Table1[Age],AK426:AK1895)</f>
        <v>-1.1524978543432337E-2</v>
      </c>
      <c r="AM426">
        <f>CORREL(Table1[MonthlyIncome],AK426:AK1895)</f>
        <v>8.6907688422924491E-3</v>
      </c>
      <c r="AN426">
        <f>CORREL(Table1[YearsAtCompany],AK426:AK1895)</f>
        <v>1.2323589631007751E-2</v>
      </c>
      <c r="AO426">
        <f t="shared" si="6"/>
        <v>0</v>
      </c>
    </row>
    <row r="427" spans="1:41" x14ac:dyDescent="0.25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  <c r="AK427" s="4">
        <f>IF(Table1[[#This Row],[Attrition]]="Yes", 1,0)</f>
        <v>0</v>
      </c>
      <c r="AL427">
        <f>CORREL(Table1[Age],AK427:AK1896)</f>
        <v>3.4924221923530251E-2</v>
      </c>
      <c r="AM427">
        <f>CORREL(Table1[MonthlyIncome],AK427:AK1896)</f>
        <v>7.5780409811990722E-4</v>
      </c>
      <c r="AN427">
        <f>CORREL(Table1[YearsAtCompany],AK427:AK1896)</f>
        <v>4.739450587977688E-2</v>
      </c>
      <c r="AO427">
        <f t="shared" si="6"/>
        <v>0</v>
      </c>
    </row>
    <row r="428" spans="1:41" x14ac:dyDescent="0.25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  <c r="AK428" s="4">
        <f>IF(Table1[[#This Row],[Attrition]]="Yes", 1,0)</f>
        <v>0</v>
      </c>
      <c r="AL428">
        <f>CORREL(Table1[Age],AK428:AK1897)</f>
        <v>-3.3081779968681641E-2</v>
      </c>
      <c r="AM428">
        <f>CORREL(Table1[MonthlyIncome],AK428:AK1897)</f>
        <v>-4.2330927538732639E-2</v>
      </c>
      <c r="AN428">
        <f>CORREL(Table1[YearsAtCompany],AK428:AK1897)</f>
        <v>-3.1795041125177864E-2</v>
      </c>
      <c r="AO428">
        <f t="shared" si="6"/>
        <v>0</v>
      </c>
    </row>
    <row r="429" spans="1:41" x14ac:dyDescent="0.25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  <c r="AK429" s="4">
        <f>IF(Table1[[#This Row],[Attrition]]="Yes", 1,0)</f>
        <v>0</v>
      </c>
      <c r="AL429">
        <f>CORREL(Table1[Age],AK429:AK1898)</f>
        <v>-6.9768051973580755E-2</v>
      </c>
      <c r="AM429">
        <f>CORREL(Table1[MonthlyIncome],AK429:AK1898)</f>
        <v>-8.8989604376153386E-2</v>
      </c>
      <c r="AN429">
        <f>CORREL(Table1[YearsAtCompany],AK429:AK1898)</f>
        <v>-6.3326839260011591E-2</v>
      </c>
      <c r="AO429">
        <f t="shared" si="6"/>
        <v>0</v>
      </c>
    </row>
    <row r="430" spans="1:41" x14ac:dyDescent="0.25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  <c r="AK430" s="4">
        <f>IF(Table1[[#This Row],[Attrition]]="Yes", 1,0)</f>
        <v>0</v>
      </c>
      <c r="AL430">
        <f>CORREL(Table1[Age],AK430:AK1899)</f>
        <v>-3.6224326179238271E-2</v>
      </c>
      <c r="AM430">
        <f>CORREL(Table1[MonthlyIncome],AK430:AK1899)</f>
        <v>1.8381414940363956E-2</v>
      </c>
      <c r="AN430">
        <f>CORREL(Table1[YearsAtCompany],AK430:AK1899)</f>
        <v>-6.183225112395304E-2</v>
      </c>
      <c r="AO430">
        <f t="shared" si="6"/>
        <v>0</v>
      </c>
    </row>
    <row r="431" spans="1:41" x14ac:dyDescent="0.25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  <c r="AK431" s="4">
        <f>IF(Table1[[#This Row],[Attrition]]="Yes", 1,0)</f>
        <v>0</v>
      </c>
      <c r="AL431">
        <f>CORREL(Table1[Age],AK431:AK1900)</f>
        <v>1.1189533872953484E-2</v>
      </c>
      <c r="AM431">
        <f>CORREL(Table1[MonthlyIncome],AK431:AK1900)</f>
        <v>-4.338008291971561E-2</v>
      </c>
      <c r="AN431">
        <f>CORREL(Table1[YearsAtCompany],AK431:AK1900)</f>
        <v>-4.3475845520388016E-2</v>
      </c>
      <c r="AO431">
        <f t="shared" si="6"/>
        <v>0</v>
      </c>
    </row>
    <row r="432" spans="1:41" x14ac:dyDescent="0.25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  <c r="AK432" s="4">
        <f>IF(Table1[[#This Row],[Attrition]]="Yes", 1,0)</f>
        <v>0</v>
      </c>
      <c r="AL432">
        <f>CORREL(Table1[Age],AK432:AK1901)</f>
        <v>3.5801444965161376E-2</v>
      </c>
      <c r="AM432">
        <f>CORREL(Table1[MonthlyIncome],AK432:AK1901)</f>
        <v>2.0481306727042067E-2</v>
      </c>
      <c r="AN432">
        <f>CORREL(Table1[YearsAtCompany],AK432:AK1901)</f>
        <v>-1.9494877383961454E-2</v>
      </c>
      <c r="AO432">
        <f t="shared" si="6"/>
        <v>0</v>
      </c>
    </row>
    <row r="433" spans="1:41" x14ac:dyDescent="0.25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  <c r="AK433" s="4">
        <f>IF(Table1[[#This Row],[Attrition]]="Yes", 1,0)</f>
        <v>0</v>
      </c>
      <c r="AL433">
        <f>CORREL(Table1[Age],AK433:AK1902)</f>
        <v>-5.8118286065466318E-2</v>
      </c>
      <c r="AM433">
        <f>CORREL(Table1[MonthlyIncome],AK433:AK1902)</f>
        <v>3.3661190760353545E-3</v>
      </c>
      <c r="AN433">
        <f>CORREL(Table1[YearsAtCompany],AK433:AK1902)</f>
        <v>-3.466224354148334E-2</v>
      </c>
      <c r="AO433">
        <f t="shared" si="6"/>
        <v>0</v>
      </c>
    </row>
    <row r="434" spans="1:41" x14ac:dyDescent="0.25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  <c r="AK434" s="4">
        <f>IF(Table1[[#This Row],[Attrition]]="Yes", 1,0)</f>
        <v>0</v>
      </c>
      <c r="AL434">
        <f>CORREL(Table1[Age],AK434:AK1903)</f>
        <v>8.5740759154257898E-2</v>
      </c>
      <c r="AM434">
        <f>CORREL(Table1[MonthlyIncome],AK434:AK1903)</f>
        <v>1.8872631356745197E-2</v>
      </c>
      <c r="AN434">
        <f>CORREL(Table1[YearsAtCompany],AK434:AK1903)</f>
        <v>5.318990157268417E-3</v>
      </c>
      <c r="AO434">
        <f t="shared" si="6"/>
        <v>0</v>
      </c>
    </row>
    <row r="435" spans="1:41" x14ac:dyDescent="0.25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  <c r="AK435" s="4">
        <f>IF(Table1[[#This Row],[Attrition]]="Yes", 1,0)</f>
        <v>0</v>
      </c>
      <c r="AL435">
        <f>CORREL(Table1[Age],AK435:AK1904)</f>
        <v>5.9433303180835804E-2</v>
      </c>
      <c r="AM435">
        <f>CORREL(Table1[MonthlyIncome],AK435:AK1904)</f>
        <v>-1.6420354883020759E-2</v>
      </c>
      <c r="AN435">
        <f>CORREL(Table1[YearsAtCompany],AK435:AK1904)</f>
        <v>-4.1077713861679493E-2</v>
      </c>
      <c r="AO435">
        <f t="shared" si="6"/>
        <v>0</v>
      </c>
    </row>
    <row r="436" spans="1:41" x14ac:dyDescent="0.25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  <c r="AK436" s="4">
        <f>IF(Table1[[#This Row],[Attrition]]="Yes", 1,0)</f>
        <v>0</v>
      </c>
      <c r="AL436">
        <f>CORREL(Table1[Age],AK436:AK1905)</f>
        <v>5.0622521510454194E-4</v>
      </c>
      <c r="AM436">
        <f>CORREL(Table1[MonthlyIncome],AK436:AK1905)</f>
        <v>-1.993834333377565E-2</v>
      </c>
      <c r="AN436">
        <f>CORREL(Table1[YearsAtCompany],AK436:AK1905)</f>
        <v>-2.2493280420080322E-2</v>
      </c>
      <c r="AO436">
        <f t="shared" si="6"/>
        <v>0</v>
      </c>
    </row>
    <row r="437" spans="1:41" x14ac:dyDescent="0.25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  <c r="AK437" s="4">
        <f>IF(Table1[[#This Row],[Attrition]]="Yes", 1,0)</f>
        <v>1</v>
      </c>
      <c r="AL437">
        <f>CORREL(Table1[Age],AK437:AK1906)</f>
        <v>6.2929238194450116E-3</v>
      </c>
      <c r="AM437">
        <f>CORREL(Table1[MonthlyIncome],AK437:AK1906)</f>
        <v>2.1016314016628918E-2</v>
      </c>
      <c r="AN437">
        <f>CORREL(Table1[YearsAtCompany],AK437:AK1906)</f>
        <v>-9.1822213552039938E-3</v>
      </c>
      <c r="AO437">
        <f t="shared" si="6"/>
        <v>1</v>
      </c>
    </row>
    <row r="438" spans="1:41" x14ac:dyDescent="0.25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  <c r="AK438" s="4">
        <f>IF(Table1[[#This Row],[Attrition]]="Yes", 1,0)</f>
        <v>1</v>
      </c>
      <c r="AL438">
        <f>CORREL(Table1[Age],AK438:AK1907)</f>
        <v>1.8835803462013478E-2</v>
      </c>
      <c r="AM438">
        <f>CORREL(Table1[MonthlyIncome],AK438:AK1907)</f>
        <v>2.1602843007401992E-2</v>
      </c>
      <c r="AN438">
        <f>CORREL(Table1[YearsAtCompany],AK438:AK1907)</f>
        <v>2.9246010301148147E-2</v>
      </c>
      <c r="AO438">
        <f t="shared" si="6"/>
        <v>1</v>
      </c>
    </row>
    <row r="439" spans="1:41" x14ac:dyDescent="0.25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  <c r="AK439" s="4">
        <f>IF(Table1[[#This Row],[Attrition]]="Yes", 1,0)</f>
        <v>0</v>
      </c>
      <c r="AL439">
        <f>CORREL(Table1[Age],AK439:AK1908)</f>
        <v>6.9782025456677239E-3</v>
      </c>
      <c r="AM439">
        <f>CORREL(Table1[MonthlyIncome],AK439:AK1908)</f>
        <v>-2.9124033753321416E-2</v>
      </c>
      <c r="AN439">
        <f>CORREL(Table1[YearsAtCompany],AK439:AK1908)</f>
        <v>3.2458886116335281E-2</v>
      </c>
      <c r="AO439">
        <f t="shared" si="6"/>
        <v>0</v>
      </c>
    </row>
    <row r="440" spans="1:41" x14ac:dyDescent="0.25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  <c r="AK440" s="4">
        <f>IF(Table1[[#This Row],[Attrition]]="Yes", 1,0)</f>
        <v>0</v>
      </c>
      <c r="AL440">
        <f>CORREL(Table1[Age],AK440:AK1909)</f>
        <v>-4.8895909486080136E-2</v>
      </c>
      <c r="AM440">
        <f>CORREL(Table1[MonthlyIncome],AK440:AK1909)</f>
        <v>-7.3825506042981314E-3</v>
      </c>
      <c r="AN440">
        <f>CORREL(Table1[YearsAtCompany],AK440:AK1909)</f>
        <v>4.3248143447802437E-2</v>
      </c>
      <c r="AO440">
        <f t="shared" si="6"/>
        <v>0</v>
      </c>
    </row>
    <row r="441" spans="1:41" x14ac:dyDescent="0.25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  <c r="AK441" s="4">
        <f>IF(Table1[[#This Row],[Attrition]]="Yes", 1,0)</f>
        <v>1</v>
      </c>
      <c r="AL441">
        <f>CORREL(Table1[Age],AK441:AK1910)</f>
        <v>-1.8572856210493302E-2</v>
      </c>
      <c r="AM441">
        <f>CORREL(Table1[MonthlyIncome],AK441:AK1910)</f>
        <v>-1.7169966303762305E-3</v>
      </c>
      <c r="AN441">
        <f>CORREL(Table1[YearsAtCompany],AK441:AK1910)</f>
        <v>-6.0680423084393592E-3</v>
      </c>
      <c r="AO441">
        <f t="shared" si="6"/>
        <v>1</v>
      </c>
    </row>
    <row r="442" spans="1:41" x14ac:dyDescent="0.25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  <c r="AK442" s="4">
        <f>IF(Table1[[#This Row],[Attrition]]="Yes", 1,0)</f>
        <v>1</v>
      </c>
      <c r="AL442">
        <f>CORREL(Table1[Age],AK442:AK1911)</f>
        <v>-5.6140675528578127E-2</v>
      </c>
      <c r="AM442">
        <f>CORREL(Table1[MonthlyIncome],AK442:AK1911)</f>
        <v>-2.0807138571240304E-2</v>
      </c>
      <c r="AN442">
        <f>CORREL(Table1[YearsAtCompany],AK442:AK1911)</f>
        <v>-1.6861494143629936E-2</v>
      </c>
      <c r="AO442">
        <f t="shared" si="6"/>
        <v>1</v>
      </c>
    </row>
    <row r="443" spans="1:41" x14ac:dyDescent="0.25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  <c r="AK443" s="4">
        <f>IF(Table1[[#This Row],[Attrition]]="Yes", 1,0)</f>
        <v>0</v>
      </c>
      <c r="AL443">
        <f>CORREL(Table1[Age],AK443:AK1912)</f>
        <v>1.6582505786454035E-2</v>
      </c>
      <c r="AM443">
        <f>CORREL(Table1[MonthlyIncome],AK443:AK1912)</f>
        <v>-2.351344297547454E-2</v>
      </c>
      <c r="AN443">
        <f>CORREL(Table1[YearsAtCompany],AK443:AK1912)</f>
        <v>-7.6354328071564261E-3</v>
      </c>
      <c r="AO443">
        <f t="shared" si="6"/>
        <v>0</v>
      </c>
    </row>
    <row r="444" spans="1:41" x14ac:dyDescent="0.25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  <c r="AK444" s="4">
        <f>IF(Table1[[#This Row],[Attrition]]="Yes", 1,0)</f>
        <v>0</v>
      </c>
      <c r="AL444">
        <f>CORREL(Table1[Age],AK444:AK1913)</f>
        <v>-1.7512589016891757E-2</v>
      </c>
      <c r="AM444">
        <f>CORREL(Table1[MonthlyIncome],AK444:AK1913)</f>
        <v>-1.9263590661772054E-2</v>
      </c>
      <c r="AN444">
        <f>CORREL(Table1[YearsAtCompany],AK444:AK1913)</f>
        <v>-1.1804395751014562E-3</v>
      </c>
      <c r="AO444">
        <f t="shared" si="6"/>
        <v>0</v>
      </c>
    </row>
    <row r="445" spans="1:41" x14ac:dyDescent="0.25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  <c r="AK445" s="4">
        <f>IF(Table1[[#This Row],[Attrition]]="Yes", 1,0)</f>
        <v>1</v>
      </c>
      <c r="AL445">
        <f>CORREL(Table1[Age],AK445:AK1914)</f>
        <v>-1.3192010836133649E-2</v>
      </c>
      <c r="AM445">
        <f>CORREL(Table1[MonthlyIncome],AK445:AK1914)</f>
        <v>-6.7062011421366108E-3</v>
      </c>
      <c r="AN445">
        <f>CORREL(Table1[YearsAtCompany],AK445:AK1914)</f>
        <v>-2.0079048504851395E-2</v>
      </c>
      <c r="AO445">
        <f t="shared" si="6"/>
        <v>1</v>
      </c>
    </row>
    <row r="446" spans="1:41" x14ac:dyDescent="0.25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  <c r="AK446" s="4">
        <f>IF(Table1[[#This Row],[Attrition]]="Yes", 1,0)</f>
        <v>0</v>
      </c>
      <c r="AL446">
        <f>CORREL(Table1[Age],AK446:AK1915)</f>
        <v>2.3157567511667036E-2</v>
      </c>
      <c r="AM446">
        <f>CORREL(Table1[MonthlyIncome],AK446:AK1915)</f>
        <v>-9.576079731045007E-3</v>
      </c>
      <c r="AN446">
        <f>CORREL(Table1[YearsAtCompany],AK446:AK1915)</f>
        <v>-2.4192749456808165E-4</v>
      </c>
      <c r="AO446">
        <f t="shared" si="6"/>
        <v>0</v>
      </c>
    </row>
    <row r="447" spans="1:41" x14ac:dyDescent="0.25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  <c r="AK447" s="4">
        <f>IF(Table1[[#This Row],[Attrition]]="Yes", 1,0)</f>
        <v>0</v>
      </c>
      <c r="AL447">
        <f>CORREL(Table1[Age],AK447:AK1916)</f>
        <v>-3.588179517969152E-2</v>
      </c>
      <c r="AM447">
        <f>CORREL(Table1[MonthlyIncome],AK447:AK1916)</f>
        <v>-2.9048480562330625E-2</v>
      </c>
      <c r="AN447">
        <f>CORREL(Table1[YearsAtCompany],AK447:AK1916)</f>
        <v>-1.8774547025573726E-2</v>
      </c>
      <c r="AO447">
        <f t="shared" si="6"/>
        <v>0</v>
      </c>
    </row>
    <row r="448" spans="1:41" x14ac:dyDescent="0.25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  <c r="AK448" s="4">
        <f>IF(Table1[[#This Row],[Attrition]]="Yes", 1,0)</f>
        <v>0</v>
      </c>
      <c r="AL448">
        <f>CORREL(Table1[Age],AK448:AK1917)</f>
        <v>-1.8932635827960686E-2</v>
      </c>
      <c r="AM448">
        <f>CORREL(Table1[MonthlyIncome],AK448:AK1917)</f>
        <v>-1.4528744826454715E-2</v>
      </c>
      <c r="AN448">
        <f>CORREL(Table1[YearsAtCompany],AK448:AK1917)</f>
        <v>-3.3849433717119577E-2</v>
      </c>
      <c r="AO448">
        <f t="shared" si="6"/>
        <v>0</v>
      </c>
    </row>
    <row r="449" spans="1:41" x14ac:dyDescent="0.25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  <c r="AK449" s="4">
        <f>IF(Table1[[#This Row],[Attrition]]="Yes", 1,0)</f>
        <v>0</v>
      </c>
      <c r="AL449">
        <f>CORREL(Table1[Age],AK449:AK1918)</f>
        <v>-2.9042723243331816E-2</v>
      </c>
      <c r="AM449">
        <f>CORREL(Table1[MonthlyIncome],AK449:AK1918)</f>
        <v>2.6427764176839109E-2</v>
      </c>
      <c r="AN449">
        <f>CORREL(Table1[YearsAtCompany],AK449:AK1918)</f>
        <v>1.4714599622429158E-3</v>
      </c>
      <c r="AO449">
        <f t="shared" si="6"/>
        <v>0</v>
      </c>
    </row>
    <row r="450" spans="1:41" x14ac:dyDescent="0.25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  <c r="AK450" s="4">
        <f>IF(Table1[[#This Row],[Attrition]]="Yes", 1,0)</f>
        <v>0</v>
      </c>
      <c r="AL450">
        <f>CORREL(Table1[Age],AK450:AK1919)</f>
        <v>-2.9886740409077586E-2</v>
      </c>
      <c r="AM450">
        <f>CORREL(Table1[MonthlyIncome],AK450:AK1919)</f>
        <v>1.4186805016092929E-2</v>
      </c>
      <c r="AN450">
        <f>CORREL(Table1[YearsAtCompany],AK450:AK1919)</f>
        <v>-2.1648643301082911E-2</v>
      </c>
      <c r="AO450">
        <f t="shared" si="6"/>
        <v>0</v>
      </c>
    </row>
    <row r="451" spans="1:41" x14ac:dyDescent="0.25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  <c r="AK451" s="4">
        <f>IF(Table1[[#This Row],[Attrition]]="Yes", 1,0)</f>
        <v>0</v>
      </c>
      <c r="AL451">
        <f>CORREL(Table1[Age],AK451:AK1920)</f>
        <v>1.6148525398539768E-2</v>
      </c>
      <c r="AM451">
        <f>CORREL(Table1[MonthlyIncome],AK451:AK1920)</f>
        <v>2.577542309687238E-2</v>
      </c>
      <c r="AN451">
        <f>CORREL(Table1[YearsAtCompany],AK451:AK1920)</f>
        <v>2.2910375873754767E-2</v>
      </c>
      <c r="AO451">
        <f t="shared" ref="AO451:AO514" si="7">ABS(AK451)</f>
        <v>0</v>
      </c>
    </row>
    <row r="452" spans="1:41" x14ac:dyDescent="0.25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  <c r="AK452" s="4">
        <f>IF(Table1[[#This Row],[Attrition]]="Yes", 1,0)</f>
        <v>0</v>
      </c>
      <c r="AL452">
        <f>CORREL(Table1[Age],AK452:AK1921)</f>
        <v>1.830476067063045E-2</v>
      </c>
      <c r="AM452">
        <f>CORREL(Table1[MonthlyIncome],AK452:AK1921)</f>
        <v>3.1513849276034615E-2</v>
      </c>
      <c r="AN452">
        <f>CORREL(Table1[YearsAtCompany],AK452:AK1921)</f>
        <v>-2.4110298169454571E-2</v>
      </c>
      <c r="AO452">
        <f t="shared" si="7"/>
        <v>0</v>
      </c>
    </row>
    <row r="453" spans="1:41" x14ac:dyDescent="0.25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  <c r="AK453" s="4">
        <f>IF(Table1[[#This Row],[Attrition]]="Yes", 1,0)</f>
        <v>0</v>
      </c>
      <c r="AL453">
        <f>CORREL(Table1[Age],AK453:AK1922)</f>
        <v>5.8164126152687817E-2</v>
      </c>
      <c r="AM453">
        <f>CORREL(Table1[MonthlyIncome],AK453:AK1922)</f>
        <v>4.2430693696112097E-2</v>
      </c>
      <c r="AN453">
        <f>CORREL(Table1[YearsAtCompany],AK453:AK1922)</f>
        <v>4.9513704213143654E-3</v>
      </c>
      <c r="AO453">
        <f t="shared" si="7"/>
        <v>0</v>
      </c>
    </row>
    <row r="454" spans="1:41" x14ac:dyDescent="0.25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  <c r="AK454" s="4">
        <f>IF(Table1[[#This Row],[Attrition]]="Yes", 1,0)</f>
        <v>0</v>
      </c>
      <c r="AL454">
        <f>CORREL(Table1[Age],AK454:AK1923)</f>
        <v>2.3837654639874469E-2</v>
      </c>
      <c r="AM454">
        <f>CORREL(Table1[MonthlyIncome],AK454:AK1923)</f>
        <v>2.9541665798529099E-2</v>
      </c>
      <c r="AN454">
        <f>CORREL(Table1[YearsAtCompany],AK454:AK1923)</f>
        <v>6.260689843520785E-2</v>
      </c>
      <c r="AO454">
        <f t="shared" si="7"/>
        <v>0</v>
      </c>
    </row>
    <row r="455" spans="1:41" x14ac:dyDescent="0.25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  <c r="AK455" s="4">
        <f>IF(Table1[[#This Row],[Attrition]]="Yes", 1,0)</f>
        <v>1</v>
      </c>
      <c r="AL455">
        <f>CORREL(Table1[Age],AK455:AK1924)</f>
        <v>-2.6384311727360485E-2</v>
      </c>
      <c r="AM455">
        <f>CORREL(Table1[MonthlyIncome],AK455:AK1924)</f>
        <v>-4.248584296267393E-2</v>
      </c>
      <c r="AN455">
        <f>CORREL(Table1[YearsAtCompany],AK455:AK1924)</f>
        <v>-2.5193250126366834E-2</v>
      </c>
      <c r="AO455">
        <f t="shared" si="7"/>
        <v>1</v>
      </c>
    </row>
    <row r="456" spans="1:41" x14ac:dyDescent="0.25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  <c r="AK456" s="4">
        <f>IF(Table1[[#This Row],[Attrition]]="Yes", 1,0)</f>
        <v>0</v>
      </c>
      <c r="AL456">
        <f>CORREL(Table1[Age],AK456:AK1925)</f>
        <v>-5.3519558411415889E-2</v>
      </c>
      <c r="AM456">
        <f>CORREL(Table1[MonthlyIncome],AK456:AK1925)</f>
        <v>-3.4615750855136684E-2</v>
      </c>
      <c r="AN456">
        <f>CORREL(Table1[YearsAtCompany],AK456:AK1925)</f>
        <v>-2.8166698681370787E-2</v>
      </c>
      <c r="AO456">
        <f t="shared" si="7"/>
        <v>0</v>
      </c>
    </row>
    <row r="457" spans="1:41" x14ac:dyDescent="0.25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  <c r="AK457" s="4">
        <f>IF(Table1[[#This Row],[Attrition]]="Yes", 1,0)</f>
        <v>0</v>
      </c>
      <c r="AL457">
        <f>CORREL(Table1[Age],AK457:AK1926)</f>
        <v>-2.5745879401791971E-2</v>
      </c>
      <c r="AM457">
        <f>CORREL(Table1[MonthlyIncome],AK457:AK1926)</f>
        <v>1.1331999305028092E-2</v>
      </c>
      <c r="AN457">
        <f>CORREL(Table1[YearsAtCompany],AK457:AK1926)</f>
        <v>1.4112285723300734E-2</v>
      </c>
      <c r="AO457">
        <f t="shared" si="7"/>
        <v>0</v>
      </c>
    </row>
    <row r="458" spans="1:41" x14ac:dyDescent="0.25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  <c r="AK458" s="4">
        <f>IF(Table1[[#This Row],[Attrition]]="Yes", 1,0)</f>
        <v>0</v>
      </c>
      <c r="AL458">
        <f>CORREL(Table1[Age],AK458:AK1927)</f>
        <v>-5.9319950965930332E-2</v>
      </c>
      <c r="AM458">
        <f>CORREL(Table1[MonthlyIncome],AK458:AK1927)</f>
        <v>-6.66489635738725E-3</v>
      </c>
      <c r="AN458">
        <f>CORREL(Table1[YearsAtCompany],AK458:AK1927)</f>
        <v>-3.9623218758304254E-2</v>
      </c>
      <c r="AO458">
        <f t="shared" si="7"/>
        <v>0</v>
      </c>
    </row>
    <row r="459" spans="1:41" x14ac:dyDescent="0.25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  <c r="AK459" s="4">
        <f>IF(Table1[[#This Row],[Attrition]]="Yes", 1,0)</f>
        <v>1</v>
      </c>
      <c r="AL459">
        <f>CORREL(Table1[Age],AK459:AK1928)</f>
        <v>-1.9310197895943192E-2</v>
      </c>
      <c r="AM459">
        <f>CORREL(Table1[MonthlyIncome],AK459:AK1928)</f>
        <v>1.1069018605675286E-2</v>
      </c>
      <c r="AN459">
        <f>CORREL(Table1[YearsAtCompany],AK459:AK1928)</f>
        <v>2.6056446553431576E-3</v>
      </c>
      <c r="AO459">
        <f t="shared" si="7"/>
        <v>1</v>
      </c>
    </row>
    <row r="460" spans="1:41" x14ac:dyDescent="0.25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  <c r="AK460" s="4">
        <f>IF(Table1[[#This Row],[Attrition]]="Yes", 1,0)</f>
        <v>0</v>
      </c>
      <c r="AL460">
        <f>CORREL(Table1[Age],AK460:AK1929)</f>
        <v>-2.3878215116753584E-2</v>
      </c>
      <c r="AM460">
        <f>CORREL(Table1[MonthlyIncome],AK460:AK1929)</f>
        <v>-9.0653052430347911E-3</v>
      </c>
      <c r="AN460">
        <f>CORREL(Table1[YearsAtCompany],AK460:AK1929)</f>
        <v>1.1535313278486106E-2</v>
      </c>
      <c r="AO460">
        <f t="shared" si="7"/>
        <v>0</v>
      </c>
    </row>
    <row r="461" spans="1:41" x14ac:dyDescent="0.25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  <c r="AK461" s="4">
        <f>IF(Table1[[#This Row],[Attrition]]="Yes", 1,0)</f>
        <v>0</v>
      </c>
      <c r="AL461">
        <f>CORREL(Table1[Age],AK461:AK1930)</f>
        <v>-5.5342659270139302E-2</v>
      </c>
      <c r="AM461">
        <f>CORREL(Table1[MonthlyIncome],AK461:AK1930)</f>
        <v>-4.0061366612844367E-2</v>
      </c>
      <c r="AN461">
        <f>CORREL(Table1[YearsAtCompany],AK461:AK1930)</f>
        <v>-2.4511124372274134E-2</v>
      </c>
      <c r="AO461">
        <f t="shared" si="7"/>
        <v>0</v>
      </c>
    </row>
    <row r="462" spans="1:41" x14ac:dyDescent="0.25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  <c r="AK462" s="4">
        <f>IF(Table1[[#This Row],[Attrition]]="Yes", 1,0)</f>
        <v>0</v>
      </c>
      <c r="AL462">
        <f>CORREL(Table1[Age],AK462:AK1931)</f>
        <v>-4.3556619062467411E-2</v>
      </c>
      <c r="AM462">
        <f>CORREL(Table1[MonthlyIncome],AK462:AK1931)</f>
        <v>-2.1678331750287785E-2</v>
      </c>
      <c r="AN462">
        <f>CORREL(Table1[YearsAtCompany],AK462:AK1931)</f>
        <v>-5.2401690415027236E-2</v>
      </c>
      <c r="AO462">
        <f t="shared" si="7"/>
        <v>0</v>
      </c>
    </row>
    <row r="463" spans="1:41" x14ac:dyDescent="0.25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  <c r="AK463" s="4">
        <f>IF(Table1[[#This Row],[Attrition]]="Yes", 1,0)</f>
        <v>0</v>
      </c>
      <c r="AL463">
        <f>CORREL(Table1[Age],AK463:AK1932)</f>
        <v>2.240547173480853E-2</v>
      </c>
      <c r="AM463">
        <f>CORREL(Table1[MonthlyIncome],AK463:AK1932)</f>
        <v>1.6416382348212037E-3</v>
      </c>
      <c r="AN463">
        <f>CORREL(Table1[YearsAtCompany],AK463:AK1932)</f>
        <v>-4.2985784046225134E-2</v>
      </c>
      <c r="AO463">
        <f t="shared" si="7"/>
        <v>0</v>
      </c>
    </row>
    <row r="464" spans="1:41" x14ac:dyDescent="0.25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  <c r="AK464" s="4">
        <f>IF(Table1[[#This Row],[Attrition]]="Yes", 1,0)</f>
        <v>0</v>
      </c>
      <c r="AL464">
        <f>CORREL(Table1[Age],AK464:AK1933)</f>
        <v>5.4844603620686556E-2</v>
      </c>
      <c r="AM464">
        <f>CORREL(Table1[MonthlyIncome],AK464:AK1933)</f>
        <v>1.2516110736924293E-2</v>
      </c>
      <c r="AN464">
        <f>CORREL(Table1[YearsAtCompany],AK464:AK1933)</f>
        <v>2.3013400293602368E-2</v>
      </c>
      <c r="AO464">
        <f t="shared" si="7"/>
        <v>0</v>
      </c>
    </row>
    <row r="465" spans="1:41" x14ac:dyDescent="0.25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  <c r="AK465" s="4">
        <f>IF(Table1[[#This Row],[Attrition]]="Yes", 1,0)</f>
        <v>1</v>
      </c>
      <c r="AL465">
        <f>CORREL(Table1[Age],AK465:AK1934)</f>
        <v>9.1247449454341392E-2</v>
      </c>
      <c r="AM465">
        <f>CORREL(Table1[MonthlyIncome],AK465:AK1934)</f>
        <v>3.5387505989153939E-2</v>
      </c>
      <c r="AN465">
        <f>CORREL(Table1[YearsAtCompany],AK465:AK1934)</f>
        <v>3.7896649682555156E-2</v>
      </c>
      <c r="AO465">
        <f t="shared" si="7"/>
        <v>1</v>
      </c>
    </row>
    <row r="466" spans="1:41" x14ac:dyDescent="0.25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  <c r="AK466" s="4">
        <f>IF(Table1[[#This Row],[Attrition]]="Yes", 1,0)</f>
        <v>0</v>
      </c>
      <c r="AL466">
        <f>CORREL(Table1[Age],AK466:AK1935)</f>
        <v>2.6407821325383756E-3</v>
      </c>
      <c r="AM466">
        <f>CORREL(Table1[MonthlyIncome],AK466:AK1935)</f>
        <v>-4.7751008536761869E-2</v>
      </c>
      <c r="AN466">
        <f>CORREL(Table1[YearsAtCompany],AK466:AK1935)</f>
        <v>-1.3962829115044996E-2</v>
      </c>
      <c r="AO466">
        <f t="shared" si="7"/>
        <v>0</v>
      </c>
    </row>
    <row r="467" spans="1:41" x14ac:dyDescent="0.25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  <c r="AK467" s="4">
        <f>IF(Table1[[#This Row],[Attrition]]="Yes", 1,0)</f>
        <v>0</v>
      </c>
      <c r="AL467">
        <f>CORREL(Table1[Age],AK467:AK1936)</f>
        <v>-5.1654407997315565E-3</v>
      </c>
      <c r="AM467">
        <f>CORREL(Table1[MonthlyIncome],AK467:AK1936)</f>
        <v>-1.6873438675444292E-2</v>
      </c>
      <c r="AN467">
        <f>CORREL(Table1[YearsAtCompany],AK467:AK1936)</f>
        <v>9.1640460682848226E-3</v>
      </c>
      <c r="AO467">
        <f t="shared" si="7"/>
        <v>0</v>
      </c>
    </row>
    <row r="468" spans="1:41" x14ac:dyDescent="0.25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  <c r="AK468" s="4">
        <f>IF(Table1[[#This Row],[Attrition]]="Yes", 1,0)</f>
        <v>0</v>
      </c>
      <c r="AL468">
        <f>CORREL(Table1[Age],AK468:AK1937)</f>
        <v>-5.0615421199846598E-2</v>
      </c>
      <c r="AM468">
        <f>CORREL(Table1[MonthlyIncome],AK468:AK1937)</f>
        <v>-5.0464105958700914E-3</v>
      </c>
      <c r="AN468">
        <f>CORREL(Table1[YearsAtCompany],AK468:AK1937)</f>
        <v>2.6993047491627929E-2</v>
      </c>
      <c r="AO468">
        <f t="shared" si="7"/>
        <v>0</v>
      </c>
    </row>
    <row r="469" spans="1:41" x14ac:dyDescent="0.25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  <c r="AK469" s="4">
        <f>IF(Table1[[#This Row],[Attrition]]="Yes", 1,0)</f>
        <v>0</v>
      </c>
      <c r="AL469">
        <f>CORREL(Table1[Age],AK469:AK1938)</f>
        <v>-1.1119459085612593E-2</v>
      </c>
      <c r="AM469">
        <f>CORREL(Table1[MonthlyIncome],AK469:AK1938)</f>
        <v>8.7027912871600627E-3</v>
      </c>
      <c r="AN469">
        <f>CORREL(Table1[YearsAtCompany],AK469:AK1938)</f>
        <v>3.775808816462715E-3</v>
      </c>
      <c r="AO469">
        <f t="shared" si="7"/>
        <v>0</v>
      </c>
    </row>
    <row r="470" spans="1:41" x14ac:dyDescent="0.25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  <c r="AK470" s="4">
        <f>IF(Table1[[#This Row],[Attrition]]="Yes", 1,0)</f>
        <v>0</v>
      </c>
      <c r="AL470">
        <f>CORREL(Table1[Age],AK470:AK1939)</f>
        <v>9.1259003093568918E-3</v>
      </c>
      <c r="AM470">
        <f>CORREL(Table1[MonthlyIncome],AK470:AK1939)</f>
        <v>2.1385371358246804E-2</v>
      </c>
      <c r="AN470">
        <f>CORREL(Table1[YearsAtCompany],AK470:AK1939)</f>
        <v>-1.8678115909097421E-2</v>
      </c>
      <c r="AO470">
        <f t="shared" si="7"/>
        <v>0</v>
      </c>
    </row>
    <row r="471" spans="1:41" x14ac:dyDescent="0.25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  <c r="AK471" s="4">
        <f>IF(Table1[[#This Row],[Attrition]]="Yes", 1,0)</f>
        <v>1</v>
      </c>
      <c r="AL471">
        <f>CORREL(Table1[Age],AK471:AK1940)</f>
        <v>1.8581522001018941E-2</v>
      </c>
      <c r="AM471">
        <f>CORREL(Table1[MonthlyIncome],AK471:AK1940)</f>
        <v>1.8503879564299854E-2</v>
      </c>
      <c r="AN471">
        <f>CORREL(Table1[YearsAtCompany],AK471:AK1940)</f>
        <v>2.6516024841004134E-2</v>
      </c>
      <c r="AO471">
        <f t="shared" si="7"/>
        <v>1</v>
      </c>
    </row>
    <row r="472" spans="1:41" x14ac:dyDescent="0.25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  <c r="AK472" s="4">
        <f>IF(Table1[[#This Row],[Attrition]]="Yes", 1,0)</f>
        <v>0</v>
      </c>
      <c r="AL472">
        <f>CORREL(Table1[Age],AK472:AK1941)</f>
        <v>-3.3851176186171221E-2</v>
      </c>
      <c r="AM472">
        <f>CORREL(Table1[MonthlyIncome],AK472:AK1941)</f>
        <v>1.3600997681159986E-2</v>
      </c>
      <c r="AN472">
        <f>CORREL(Table1[YearsAtCompany],AK472:AK1941)</f>
        <v>6.4607791038580088E-3</v>
      </c>
      <c r="AO472">
        <f t="shared" si="7"/>
        <v>0</v>
      </c>
    </row>
    <row r="473" spans="1:41" x14ac:dyDescent="0.25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  <c r="AK473" s="4">
        <f>IF(Table1[[#This Row],[Attrition]]="Yes", 1,0)</f>
        <v>0</v>
      </c>
      <c r="AL473">
        <f>CORREL(Table1[Age],AK473:AK1942)</f>
        <v>-1.6650835823060504E-2</v>
      </c>
      <c r="AM473">
        <f>CORREL(Table1[MonthlyIncome],AK473:AK1942)</f>
        <v>-1.5471664327241693E-2</v>
      </c>
      <c r="AN473">
        <f>CORREL(Table1[YearsAtCompany],AK473:AK1942)</f>
        <v>-3.4916297218387328E-2</v>
      </c>
      <c r="AO473">
        <f t="shared" si="7"/>
        <v>0</v>
      </c>
    </row>
    <row r="474" spans="1:41" x14ac:dyDescent="0.25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  <c r="AK474" s="4">
        <f>IF(Table1[[#This Row],[Attrition]]="Yes", 1,0)</f>
        <v>0</v>
      </c>
      <c r="AL474">
        <f>CORREL(Table1[Age],AK474:AK1943)</f>
        <v>-3.8197809405452053E-2</v>
      </c>
      <c r="AM474">
        <f>CORREL(Table1[MonthlyIncome],AK474:AK1943)</f>
        <v>5.8702652741719923E-2</v>
      </c>
      <c r="AN474">
        <f>CORREL(Table1[YearsAtCompany],AK474:AK1943)</f>
        <v>5.1588421312025887E-2</v>
      </c>
      <c r="AO474">
        <f t="shared" si="7"/>
        <v>0</v>
      </c>
    </row>
    <row r="475" spans="1:41" x14ac:dyDescent="0.25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  <c r="AK475" s="4">
        <f>IF(Table1[[#This Row],[Attrition]]="Yes", 1,0)</f>
        <v>0</v>
      </c>
      <c r="AL475">
        <f>CORREL(Table1[Age],AK475:AK1944)</f>
        <v>-2.6816115882128382E-3</v>
      </c>
      <c r="AM475">
        <f>CORREL(Table1[MonthlyIncome],AK475:AK1944)</f>
        <v>1.5186480782909687E-2</v>
      </c>
      <c r="AN475">
        <f>CORREL(Table1[YearsAtCompany],AK475:AK1944)</f>
        <v>-9.0129070780829213E-4</v>
      </c>
      <c r="AO475">
        <f t="shared" si="7"/>
        <v>0</v>
      </c>
    </row>
    <row r="476" spans="1:41" x14ac:dyDescent="0.25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  <c r="AK476" s="4">
        <f>IF(Table1[[#This Row],[Attrition]]="Yes", 1,0)</f>
        <v>0</v>
      </c>
      <c r="AL476">
        <f>CORREL(Table1[Age],AK476:AK1945)</f>
        <v>-5.8507593717008158E-2</v>
      </c>
      <c r="AM476">
        <f>CORREL(Table1[MonthlyIncome],AK476:AK1945)</f>
        <v>-8.4918236786239703E-3</v>
      </c>
      <c r="AN476">
        <f>CORREL(Table1[YearsAtCompany],AK476:AK1945)</f>
        <v>1.953220612969167E-2</v>
      </c>
      <c r="AO476">
        <f t="shared" si="7"/>
        <v>0</v>
      </c>
    </row>
    <row r="477" spans="1:41" x14ac:dyDescent="0.25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  <c r="AK477" s="4">
        <f>IF(Table1[[#This Row],[Attrition]]="Yes", 1,0)</f>
        <v>0</v>
      </c>
      <c r="AL477">
        <f>CORREL(Table1[Age],AK477:AK1946)</f>
        <v>3.1443123708378817E-2</v>
      </c>
      <c r="AM477">
        <f>CORREL(Table1[MonthlyIncome],AK477:AK1946)</f>
        <v>4.7351277746643279E-2</v>
      </c>
      <c r="AN477">
        <f>CORREL(Table1[YearsAtCompany],AK477:AK1946)</f>
        <v>1.0199576985043046E-2</v>
      </c>
      <c r="AO477">
        <f t="shared" si="7"/>
        <v>0</v>
      </c>
    </row>
    <row r="478" spans="1:41" x14ac:dyDescent="0.25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  <c r="AK478" s="4">
        <f>IF(Table1[[#This Row],[Attrition]]="Yes", 1,0)</f>
        <v>0</v>
      </c>
      <c r="AL478">
        <f>CORREL(Table1[Age],AK478:AK1947)</f>
        <v>1.7179805738553378E-2</v>
      </c>
      <c r="AM478">
        <f>CORREL(Table1[MonthlyIncome],AK478:AK1947)</f>
        <v>3.9512984364764851E-2</v>
      </c>
      <c r="AN478">
        <f>CORREL(Table1[YearsAtCompany],AK478:AK1947)</f>
        <v>4.8602573555600499E-2</v>
      </c>
      <c r="AO478">
        <f t="shared" si="7"/>
        <v>0</v>
      </c>
    </row>
    <row r="479" spans="1:41" x14ac:dyDescent="0.25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  <c r="AK479" s="4">
        <f>IF(Table1[[#This Row],[Attrition]]="Yes", 1,0)</f>
        <v>0</v>
      </c>
      <c r="AL479">
        <f>CORREL(Table1[Age],AK479:AK1948)</f>
        <v>-8.520146202208553E-3</v>
      </c>
      <c r="AM479">
        <f>CORREL(Table1[MonthlyIncome],AK479:AK1948)</f>
        <v>2.4110924741757257E-3</v>
      </c>
      <c r="AN479">
        <f>CORREL(Table1[YearsAtCompany],AK479:AK1948)</f>
        <v>3.9759078532075012E-2</v>
      </c>
      <c r="AO479">
        <f t="shared" si="7"/>
        <v>0</v>
      </c>
    </row>
    <row r="480" spans="1:41" x14ac:dyDescent="0.25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  <c r="AK480" s="4">
        <f>IF(Table1[[#This Row],[Attrition]]="Yes", 1,0)</f>
        <v>0</v>
      </c>
      <c r="AL480">
        <f>CORREL(Table1[Age],AK480:AK1949)</f>
        <v>3.0020449709522768E-2</v>
      </c>
      <c r="AM480">
        <f>CORREL(Table1[MonthlyIncome],AK480:AK1949)</f>
        <v>-7.3539278068174042E-3</v>
      </c>
      <c r="AN480">
        <f>CORREL(Table1[YearsAtCompany],AK480:AK1949)</f>
        <v>3.497129135338127E-2</v>
      </c>
      <c r="AO480">
        <f t="shared" si="7"/>
        <v>0</v>
      </c>
    </row>
    <row r="481" spans="1:41" x14ac:dyDescent="0.25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  <c r="AK481" s="4">
        <f>IF(Table1[[#This Row],[Attrition]]="Yes", 1,0)</f>
        <v>1</v>
      </c>
      <c r="AL481">
        <f>CORREL(Table1[Age],AK481:AK1950)</f>
        <v>-4.3295987002856529E-3</v>
      </c>
      <c r="AM481">
        <f>CORREL(Table1[MonthlyIncome],AK481:AK1950)</f>
        <v>-5.7436366089164789E-2</v>
      </c>
      <c r="AN481">
        <f>CORREL(Table1[YearsAtCompany],AK481:AK1950)</f>
        <v>-1.7174393256419E-2</v>
      </c>
      <c r="AO481">
        <f t="shared" si="7"/>
        <v>1</v>
      </c>
    </row>
    <row r="482" spans="1:41" x14ac:dyDescent="0.25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  <c r="AK482" s="4">
        <f>IF(Table1[[#This Row],[Attrition]]="Yes", 1,0)</f>
        <v>1</v>
      </c>
      <c r="AL482">
        <f>CORREL(Table1[Age],AK482:AK1951)</f>
        <v>-2.2086398612574296E-3</v>
      </c>
      <c r="AM482">
        <f>CORREL(Table1[MonthlyIncome],AK482:AK1951)</f>
        <v>2.2139755706307569E-2</v>
      </c>
      <c r="AN482">
        <f>CORREL(Table1[YearsAtCompany],AK482:AK1951)</f>
        <v>-3.7945169043424612E-2</v>
      </c>
      <c r="AO482">
        <f t="shared" si="7"/>
        <v>1</v>
      </c>
    </row>
    <row r="483" spans="1:41" x14ac:dyDescent="0.25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  <c r="AK483" s="4">
        <f>IF(Table1[[#This Row],[Attrition]]="Yes", 1,0)</f>
        <v>0</v>
      </c>
      <c r="AL483">
        <f>CORREL(Table1[Age],AK483:AK1952)</f>
        <v>4.7493959853295985E-2</v>
      </c>
      <c r="AM483">
        <f>CORREL(Table1[MonthlyIncome],AK483:AK1952)</f>
        <v>1.0257919800505959E-2</v>
      </c>
      <c r="AN483">
        <f>CORREL(Table1[YearsAtCompany],AK483:AK1952)</f>
        <v>3.2968557949753312E-3</v>
      </c>
      <c r="AO483">
        <f t="shared" si="7"/>
        <v>0</v>
      </c>
    </row>
    <row r="484" spans="1:41" x14ac:dyDescent="0.25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  <c r="AK484" s="4">
        <f>IF(Table1[[#This Row],[Attrition]]="Yes", 1,0)</f>
        <v>1</v>
      </c>
      <c r="AL484">
        <f>CORREL(Table1[Age],AK484:AK1953)</f>
        <v>-4.6386350300536101E-3</v>
      </c>
      <c r="AM484">
        <f>CORREL(Table1[MonthlyIncome],AK484:AK1953)</f>
        <v>2.2495731720206219E-2</v>
      </c>
      <c r="AN484">
        <f>CORREL(Table1[YearsAtCompany],AK484:AK1953)</f>
        <v>-8.8483364489962361E-3</v>
      </c>
      <c r="AO484">
        <f t="shared" si="7"/>
        <v>1</v>
      </c>
    </row>
    <row r="485" spans="1:41" x14ac:dyDescent="0.25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  <c r="AK485" s="4">
        <f>IF(Table1[[#This Row],[Attrition]]="Yes", 1,0)</f>
        <v>0</v>
      </c>
      <c r="AL485">
        <f>CORREL(Table1[Age],AK485:AK1954)</f>
        <v>-3.3755240073905145E-2</v>
      </c>
      <c r="AM485">
        <f>CORREL(Table1[MonthlyIncome],AK485:AK1954)</f>
        <v>6.4730280678420016E-3</v>
      </c>
      <c r="AN485">
        <f>CORREL(Table1[YearsAtCompany],AK485:AK1954)</f>
        <v>1.2137562902548912E-2</v>
      </c>
      <c r="AO485">
        <f t="shared" si="7"/>
        <v>0</v>
      </c>
    </row>
    <row r="486" spans="1:41" x14ac:dyDescent="0.25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  <c r="AK486" s="4">
        <f>IF(Table1[[#This Row],[Attrition]]="Yes", 1,0)</f>
        <v>0</v>
      </c>
      <c r="AL486">
        <f>CORREL(Table1[Age],AK486:AK1955)</f>
        <v>1.9451160133318084E-2</v>
      </c>
      <c r="AM486">
        <f>CORREL(Table1[MonthlyIncome],AK486:AK1955)</f>
        <v>1.8071481463753491E-2</v>
      </c>
      <c r="AN486">
        <f>CORREL(Table1[YearsAtCompany],AK486:AK1955)</f>
        <v>-1.5238020907813008E-2</v>
      </c>
      <c r="AO486">
        <f t="shared" si="7"/>
        <v>0</v>
      </c>
    </row>
    <row r="487" spans="1:41" x14ac:dyDescent="0.25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  <c r="AK487" s="4">
        <f>IF(Table1[[#This Row],[Attrition]]="Yes", 1,0)</f>
        <v>0</v>
      </c>
      <c r="AL487">
        <f>CORREL(Table1[Age],AK487:AK1956)</f>
        <v>1.1290547201166927E-2</v>
      </c>
      <c r="AM487">
        <f>CORREL(Table1[MonthlyIncome],AK487:AK1956)</f>
        <v>-4.0688790204757193E-3</v>
      </c>
      <c r="AN487">
        <f>CORREL(Table1[YearsAtCompany],AK487:AK1956)</f>
        <v>1.1761473954335834E-2</v>
      </c>
      <c r="AO487">
        <f t="shared" si="7"/>
        <v>0</v>
      </c>
    </row>
    <row r="488" spans="1:41" x14ac:dyDescent="0.25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  <c r="AK488" s="4">
        <f>IF(Table1[[#This Row],[Attrition]]="Yes", 1,0)</f>
        <v>0</v>
      </c>
      <c r="AL488">
        <f>CORREL(Table1[Age],AK488:AK1957)</f>
        <v>2.6934681752392126E-2</v>
      </c>
      <c r="AM488">
        <f>CORREL(Table1[MonthlyIncome],AK488:AK1957)</f>
        <v>-2.0505961288268346E-2</v>
      </c>
      <c r="AN488">
        <f>CORREL(Table1[YearsAtCompany],AK488:AK1957)</f>
        <v>-2.5135779180962974E-2</v>
      </c>
      <c r="AO488">
        <f t="shared" si="7"/>
        <v>0</v>
      </c>
    </row>
    <row r="489" spans="1:41" x14ac:dyDescent="0.25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  <c r="AK489" s="4">
        <f>IF(Table1[[#This Row],[Attrition]]="Yes", 1,0)</f>
        <v>0</v>
      </c>
      <c r="AL489">
        <f>CORREL(Table1[Age],AK489:AK1958)</f>
        <v>-2.9003405675861332E-2</v>
      </c>
      <c r="AM489">
        <f>CORREL(Table1[MonthlyIncome],AK489:AK1958)</f>
        <v>4.774257240651008E-2</v>
      </c>
      <c r="AN489">
        <f>CORREL(Table1[YearsAtCompany],AK489:AK1958)</f>
        <v>-1.169018587015133E-2</v>
      </c>
      <c r="AO489">
        <f t="shared" si="7"/>
        <v>0</v>
      </c>
    </row>
    <row r="490" spans="1:41" x14ac:dyDescent="0.25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  <c r="AK490" s="4">
        <f>IF(Table1[[#This Row],[Attrition]]="Yes", 1,0)</f>
        <v>0</v>
      </c>
      <c r="AL490">
        <f>CORREL(Table1[Age],AK490:AK1959)</f>
        <v>5.3432908932052908E-2</v>
      </c>
      <c r="AM490">
        <f>CORREL(Table1[MonthlyIncome],AK490:AK1959)</f>
        <v>3.1288251885016209E-2</v>
      </c>
      <c r="AN490">
        <f>CORREL(Table1[YearsAtCompany],AK490:AK1959)</f>
        <v>3.0928109306271576E-2</v>
      </c>
      <c r="AO490">
        <f t="shared" si="7"/>
        <v>0</v>
      </c>
    </row>
    <row r="491" spans="1:41" x14ac:dyDescent="0.25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  <c r="AK491" s="4">
        <f>IF(Table1[[#This Row],[Attrition]]="Yes", 1,0)</f>
        <v>0</v>
      </c>
      <c r="AL491">
        <f>CORREL(Table1[Age],AK491:AK1960)</f>
        <v>-4.7760283808996301E-2</v>
      </c>
      <c r="AM491">
        <f>CORREL(Table1[MonthlyIncome],AK491:AK1960)</f>
        <v>2.1512236824811222E-3</v>
      </c>
      <c r="AN491">
        <f>CORREL(Table1[YearsAtCompany],AK491:AK1960)</f>
        <v>-1.6464968593722606E-2</v>
      </c>
      <c r="AO491">
        <f t="shared" si="7"/>
        <v>0</v>
      </c>
    </row>
    <row r="492" spans="1:41" x14ac:dyDescent="0.25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  <c r="AK492" s="4">
        <f>IF(Table1[[#This Row],[Attrition]]="Yes", 1,0)</f>
        <v>0</v>
      </c>
      <c r="AL492">
        <f>CORREL(Table1[Age],AK492:AK1961)</f>
        <v>-1.912457919316643E-2</v>
      </c>
      <c r="AM492">
        <f>CORREL(Table1[MonthlyIncome],AK492:AK1961)</f>
        <v>-4.1167082398907734E-2</v>
      </c>
      <c r="AN492">
        <f>CORREL(Table1[YearsAtCompany],AK492:AK1961)</f>
        <v>-3.423126116325368E-2</v>
      </c>
      <c r="AO492">
        <f t="shared" si="7"/>
        <v>0</v>
      </c>
    </row>
    <row r="493" spans="1:41" x14ac:dyDescent="0.25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  <c r="AK493" s="4">
        <f>IF(Table1[[#This Row],[Attrition]]="Yes", 1,0)</f>
        <v>0</v>
      </c>
      <c r="AL493">
        <f>CORREL(Table1[Age],AK493:AK1962)</f>
        <v>-4.3243843584929414E-2</v>
      </c>
      <c r="AM493">
        <f>CORREL(Table1[MonthlyIncome],AK493:AK1962)</f>
        <v>1.9243338501447181E-2</v>
      </c>
      <c r="AN493">
        <f>CORREL(Table1[YearsAtCompany],AK493:AK1962)</f>
        <v>-3.4607087294243458E-2</v>
      </c>
      <c r="AO493">
        <f t="shared" si="7"/>
        <v>0</v>
      </c>
    </row>
    <row r="494" spans="1:41" x14ac:dyDescent="0.25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  <c r="AK494" s="4">
        <f>IF(Table1[[#This Row],[Attrition]]="Yes", 1,0)</f>
        <v>0</v>
      </c>
      <c r="AL494">
        <f>CORREL(Table1[Age],AK494:AK1963)</f>
        <v>1.0983290830805679E-2</v>
      </c>
      <c r="AM494">
        <f>CORREL(Table1[MonthlyIncome],AK494:AK1963)</f>
        <v>-1.8374713909839906E-2</v>
      </c>
      <c r="AN494">
        <f>CORREL(Table1[YearsAtCompany],AK494:AK1963)</f>
        <v>-7.8446385348699948E-3</v>
      </c>
      <c r="AO494">
        <f t="shared" si="7"/>
        <v>0</v>
      </c>
    </row>
    <row r="495" spans="1:41" x14ac:dyDescent="0.25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  <c r="AK495" s="4">
        <f>IF(Table1[[#This Row],[Attrition]]="Yes", 1,0)</f>
        <v>0</v>
      </c>
      <c r="AL495">
        <f>CORREL(Table1[Age],AK495:AK1964)</f>
        <v>-4.3259295245672034E-2</v>
      </c>
      <c r="AM495">
        <f>CORREL(Table1[MonthlyIncome],AK495:AK1964)</f>
        <v>-6.3867062934941154E-2</v>
      </c>
      <c r="AN495">
        <f>CORREL(Table1[YearsAtCompany],AK495:AK1964)</f>
        <v>8.4709129434270176E-3</v>
      </c>
      <c r="AO495">
        <f t="shared" si="7"/>
        <v>0</v>
      </c>
    </row>
    <row r="496" spans="1:41" x14ac:dyDescent="0.25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  <c r="AK496" s="4">
        <f>IF(Table1[[#This Row],[Attrition]]="Yes", 1,0)</f>
        <v>0</v>
      </c>
      <c r="AL496">
        <f>CORREL(Table1[Age],AK496:AK1965)</f>
        <v>-3.6287128726263017E-2</v>
      </c>
      <c r="AM496">
        <f>CORREL(Table1[MonthlyIncome],AK496:AK1965)</f>
        <v>-3.5086338621411854E-2</v>
      </c>
      <c r="AN496">
        <f>CORREL(Table1[YearsAtCompany],AK496:AK1965)</f>
        <v>1.516084535779024E-3</v>
      </c>
      <c r="AO496">
        <f t="shared" si="7"/>
        <v>0</v>
      </c>
    </row>
    <row r="497" spans="1:41" x14ac:dyDescent="0.25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  <c r="AK497" s="4">
        <f>IF(Table1[[#This Row],[Attrition]]="Yes", 1,0)</f>
        <v>1</v>
      </c>
      <c r="AL497">
        <f>CORREL(Table1[Age],AK497:AK1966)</f>
        <v>-9.3573628311701528E-3</v>
      </c>
      <c r="AM497">
        <f>CORREL(Table1[MonthlyIncome],AK497:AK1966)</f>
        <v>3.6327429144193072E-3</v>
      </c>
      <c r="AN497">
        <f>CORREL(Table1[YearsAtCompany],AK497:AK1966)</f>
        <v>2.5422012291341847E-2</v>
      </c>
      <c r="AO497">
        <f t="shared" si="7"/>
        <v>1</v>
      </c>
    </row>
    <row r="498" spans="1:41" x14ac:dyDescent="0.25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  <c r="AK498" s="4">
        <f>IF(Table1[[#This Row],[Attrition]]="Yes", 1,0)</f>
        <v>0</v>
      </c>
      <c r="AL498">
        <f>CORREL(Table1[Age],AK498:AK1967)</f>
        <v>-1.5468557152865915E-2</v>
      </c>
      <c r="AM498">
        <f>CORREL(Table1[MonthlyIncome],AK498:AK1967)</f>
        <v>2.1239059170915148E-2</v>
      </c>
      <c r="AN498">
        <f>CORREL(Table1[YearsAtCompany],AK498:AK1967)</f>
        <v>-3.6911680062334924E-2</v>
      </c>
      <c r="AO498">
        <f t="shared" si="7"/>
        <v>0</v>
      </c>
    </row>
    <row r="499" spans="1:41" x14ac:dyDescent="0.25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  <c r="AK499" s="4">
        <f>IF(Table1[[#This Row],[Attrition]]="Yes", 1,0)</f>
        <v>0</v>
      </c>
      <c r="AL499">
        <f>CORREL(Table1[Age],AK499:AK1968)</f>
        <v>5.940502165793041E-3</v>
      </c>
      <c r="AM499">
        <f>CORREL(Table1[MonthlyIncome],AK499:AK1968)</f>
        <v>3.2493645909056498E-2</v>
      </c>
      <c r="AN499">
        <f>CORREL(Table1[YearsAtCompany],AK499:AK1968)</f>
        <v>-6.2473347931179197E-3</v>
      </c>
      <c r="AO499">
        <f t="shared" si="7"/>
        <v>0</v>
      </c>
    </row>
    <row r="500" spans="1:41" x14ac:dyDescent="0.25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  <c r="AK500" s="4">
        <f>IF(Table1[[#This Row],[Attrition]]="Yes", 1,0)</f>
        <v>0</v>
      </c>
      <c r="AL500">
        <f>CORREL(Table1[Age],AK500:AK1969)</f>
        <v>-4.3682677086554766E-2</v>
      </c>
      <c r="AM500">
        <f>CORREL(Table1[MonthlyIncome],AK500:AK1969)</f>
        <v>1.2531811668794355E-2</v>
      </c>
      <c r="AN500">
        <f>CORREL(Table1[YearsAtCompany],AK500:AK1969)</f>
        <v>4.4315390829242553E-2</v>
      </c>
      <c r="AO500">
        <f t="shared" si="7"/>
        <v>0</v>
      </c>
    </row>
    <row r="501" spans="1:41" x14ac:dyDescent="0.25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  <c r="AK501" s="4">
        <f>IF(Table1[[#This Row],[Attrition]]="Yes", 1,0)</f>
        <v>0</v>
      </c>
      <c r="AL501">
        <f>CORREL(Table1[Age],AK501:AK1970)</f>
        <v>1.4292202453103449E-2</v>
      </c>
      <c r="AM501">
        <f>CORREL(Table1[MonthlyIncome],AK501:AK1970)</f>
        <v>3.6105446168680631E-2</v>
      </c>
      <c r="AN501">
        <f>CORREL(Table1[YearsAtCompany],AK501:AK1970)</f>
        <v>-8.2217953993385714E-3</v>
      </c>
      <c r="AO501">
        <f t="shared" si="7"/>
        <v>0</v>
      </c>
    </row>
    <row r="502" spans="1:41" x14ac:dyDescent="0.25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  <c r="AK502" s="4">
        <f>IF(Table1[[#This Row],[Attrition]]="Yes", 1,0)</f>
        <v>0</v>
      </c>
      <c r="AL502">
        <f>CORREL(Table1[Age],AK502:AK1971)</f>
        <v>4.6949976032657423E-2</v>
      </c>
      <c r="AM502">
        <f>CORREL(Table1[MonthlyIncome],AK502:AK1971)</f>
        <v>3.6475501498704738E-2</v>
      </c>
      <c r="AN502">
        <f>CORREL(Table1[YearsAtCompany],AK502:AK1971)</f>
        <v>2.497346296983247E-2</v>
      </c>
      <c r="AO502">
        <f t="shared" si="7"/>
        <v>0</v>
      </c>
    </row>
    <row r="503" spans="1:41" x14ac:dyDescent="0.25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  <c r="AK503" s="4">
        <f>IF(Table1[[#This Row],[Attrition]]="Yes", 1,0)</f>
        <v>0</v>
      </c>
      <c r="AL503">
        <f>CORREL(Table1[Age],AK503:AK1972)</f>
        <v>-7.3788223139374263E-4</v>
      </c>
      <c r="AM503">
        <f>CORREL(Table1[MonthlyIncome],AK503:AK1972)</f>
        <v>3.8716431019058896E-2</v>
      </c>
      <c r="AN503">
        <f>CORREL(Table1[YearsAtCompany],AK503:AK1972)</f>
        <v>1.0328498113380949E-2</v>
      </c>
      <c r="AO503">
        <f t="shared" si="7"/>
        <v>0</v>
      </c>
    </row>
    <row r="504" spans="1:41" x14ac:dyDescent="0.25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  <c r="AK504" s="4">
        <f>IF(Table1[[#This Row],[Attrition]]="Yes", 1,0)</f>
        <v>0</v>
      </c>
      <c r="AL504">
        <f>CORREL(Table1[Age],AK504:AK1973)</f>
        <v>3.7410316383241077E-2</v>
      </c>
      <c r="AM504">
        <f>CORREL(Table1[MonthlyIncome],AK504:AK1973)</f>
        <v>5.0247541980127174E-2</v>
      </c>
      <c r="AN504">
        <f>CORREL(Table1[YearsAtCompany],AK504:AK1973)</f>
        <v>-8.339242551126537E-3</v>
      </c>
      <c r="AO504">
        <f t="shared" si="7"/>
        <v>0</v>
      </c>
    </row>
    <row r="505" spans="1:41" x14ac:dyDescent="0.25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  <c r="AK505" s="4">
        <f>IF(Table1[[#This Row],[Attrition]]="Yes", 1,0)</f>
        <v>0</v>
      </c>
      <c r="AL505">
        <f>CORREL(Table1[Age],AK505:AK1974)</f>
        <v>2.3204807207426732E-3</v>
      </c>
      <c r="AM505">
        <f>CORREL(Table1[MonthlyIncome],AK505:AK1974)</f>
        <v>-9.8853277209652174E-3</v>
      </c>
      <c r="AN505">
        <f>CORREL(Table1[YearsAtCompany],AK505:AK1974)</f>
        <v>-3.2624078187489684E-2</v>
      </c>
      <c r="AO505">
        <f t="shared" si="7"/>
        <v>0</v>
      </c>
    </row>
    <row r="506" spans="1:41" x14ac:dyDescent="0.25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  <c r="AK506" s="4">
        <f>IF(Table1[[#This Row],[Attrition]]="Yes", 1,0)</f>
        <v>1</v>
      </c>
      <c r="AL506">
        <f>CORREL(Table1[Age],AK506:AK1975)</f>
        <v>5.9475015868679981E-2</v>
      </c>
      <c r="AM506">
        <f>CORREL(Table1[MonthlyIncome],AK506:AK1975)</f>
        <v>-5.2420367204631349E-2</v>
      </c>
      <c r="AN506">
        <f>CORREL(Table1[YearsAtCompany],AK506:AK1975)</f>
        <v>-1.3172019058220595E-2</v>
      </c>
      <c r="AO506">
        <f t="shared" si="7"/>
        <v>1</v>
      </c>
    </row>
    <row r="507" spans="1:41" x14ac:dyDescent="0.25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  <c r="AK507" s="4">
        <f>IF(Table1[[#This Row],[Attrition]]="Yes", 1,0)</f>
        <v>0</v>
      </c>
      <c r="AL507">
        <f>CORREL(Table1[Age],AK507:AK1976)</f>
        <v>-2.3447810333170276E-2</v>
      </c>
      <c r="AM507">
        <f>CORREL(Table1[MonthlyIncome],AK507:AK1976)</f>
        <v>2.2423361925482032E-3</v>
      </c>
      <c r="AN507">
        <f>CORREL(Table1[YearsAtCompany],AK507:AK1976)</f>
        <v>-2.4857969006313687E-3</v>
      </c>
      <c r="AO507">
        <f t="shared" si="7"/>
        <v>0</v>
      </c>
    </row>
    <row r="508" spans="1:41" x14ac:dyDescent="0.25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  <c r="AK508" s="4">
        <f>IF(Table1[[#This Row],[Attrition]]="Yes", 1,0)</f>
        <v>0</v>
      </c>
      <c r="AL508">
        <f>CORREL(Table1[Age],AK508:AK1977)</f>
        <v>1.5145346990455912E-2</v>
      </c>
      <c r="AM508">
        <f>CORREL(Table1[MonthlyIncome],AK508:AK1977)</f>
        <v>-2.5367517533213004E-2</v>
      </c>
      <c r="AN508">
        <f>CORREL(Table1[YearsAtCompany],AK508:AK1977)</f>
        <v>8.6926821916257745E-3</v>
      </c>
      <c r="AO508">
        <f t="shared" si="7"/>
        <v>0</v>
      </c>
    </row>
    <row r="509" spans="1:41" x14ac:dyDescent="0.25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  <c r="AK509" s="4">
        <f>IF(Table1[[#This Row],[Attrition]]="Yes", 1,0)</f>
        <v>0</v>
      </c>
      <c r="AL509">
        <f>CORREL(Table1[Age],AK509:AK1978)</f>
        <v>1.4898079778534143E-2</v>
      </c>
      <c r="AM509">
        <f>CORREL(Table1[MonthlyIncome],AK509:AK1978)</f>
        <v>1.6095404287433213E-2</v>
      </c>
      <c r="AN509">
        <f>CORREL(Table1[YearsAtCompany],AK509:AK1978)</f>
        <v>4.2042645731227686E-2</v>
      </c>
      <c r="AO509">
        <f t="shared" si="7"/>
        <v>0</v>
      </c>
    </row>
    <row r="510" spans="1:41" x14ac:dyDescent="0.25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  <c r="AK510" s="4">
        <f>IF(Table1[[#This Row],[Attrition]]="Yes", 1,0)</f>
        <v>0</v>
      </c>
      <c r="AL510">
        <f>CORREL(Table1[Age],AK510:AK1979)</f>
        <v>4.4252472099621479E-2</v>
      </c>
      <c r="AM510">
        <f>CORREL(Table1[MonthlyIncome],AK510:AK1979)</f>
        <v>2.7160873862614253E-2</v>
      </c>
      <c r="AN510">
        <f>CORREL(Table1[YearsAtCompany],AK510:AK1979)</f>
        <v>-1.5036068768271836E-2</v>
      </c>
      <c r="AO510">
        <f t="shared" si="7"/>
        <v>0</v>
      </c>
    </row>
    <row r="511" spans="1:41" x14ac:dyDescent="0.25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  <c r="AK511" s="4">
        <f>IF(Table1[[#This Row],[Attrition]]="Yes", 1,0)</f>
        <v>0</v>
      </c>
      <c r="AL511">
        <f>CORREL(Table1[Age],AK511:AK1980)</f>
        <v>-1.4338493490822796E-2</v>
      </c>
      <c r="AM511">
        <f>CORREL(Table1[MonthlyIncome],AK511:AK1980)</f>
        <v>1.8865627883870521E-3</v>
      </c>
      <c r="AN511">
        <f>CORREL(Table1[YearsAtCompany],AK511:AK1980)</f>
        <v>-2.286986507738047E-2</v>
      </c>
      <c r="AO511">
        <f t="shared" si="7"/>
        <v>0</v>
      </c>
    </row>
    <row r="512" spans="1:41" x14ac:dyDescent="0.25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  <c r="AK512" s="4">
        <f>IF(Table1[[#This Row],[Attrition]]="Yes", 1,0)</f>
        <v>0</v>
      </c>
      <c r="AL512">
        <f>CORREL(Table1[Age],AK512:AK1981)</f>
        <v>-2.3099634500295861E-2</v>
      </c>
      <c r="AM512">
        <f>CORREL(Table1[MonthlyIncome],AK512:AK1981)</f>
        <v>-5.5736704982745827E-2</v>
      </c>
      <c r="AN512">
        <f>CORREL(Table1[YearsAtCompany],AK512:AK1981)</f>
        <v>1.003963459622462E-2</v>
      </c>
      <c r="AO512">
        <f t="shared" si="7"/>
        <v>0</v>
      </c>
    </row>
    <row r="513" spans="1:41" x14ac:dyDescent="0.25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  <c r="AK513" s="4">
        <f>IF(Table1[[#This Row],[Attrition]]="Yes", 1,0)</f>
        <v>0</v>
      </c>
      <c r="AL513">
        <f>CORREL(Table1[Age],AK513:AK1982)</f>
        <v>-2.5343125440135589E-2</v>
      </c>
      <c r="AM513">
        <f>CORREL(Table1[MonthlyIncome],AK513:AK1982)</f>
        <v>-2.0134892147513704E-2</v>
      </c>
      <c r="AN513">
        <f>CORREL(Table1[YearsAtCompany],AK513:AK1982)</f>
        <v>-3.8986608563460916E-2</v>
      </c>
      <c r="AO513">
        <f t="shared" si="7"/>
        <v>0</v>
      </c>
    </row>
    <row r="514" spans="1:41" x14ac:dyDescent="0.25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  <c r="AK514" s="4">
        <f>IF(Table1[[#This Row],[Attrition]]="Yes", 1,0)</f>
        <v>0</v>
      </c>
      <c r="AL514">
        <f>CORREL(Table1[Age],AK514:AK1983)</f>
        <v>1.1535143708408527E-2</v>
      </c>
      <c r="AM514">
        <f>CORREL(Table1[MonthlyIncome],AK514:AK1983)</f>
        <v>-2.2380472761843757E-2</v>
      </c>
      <c r="AN514">
        <f>CORREL(Table1[YearsAtCompany],AK514:AK1983)</f>
        <v>-1.6258469724112816E-2</v>
      </c>
      <c r="AO514">
        <f t="shared" si="7"/>
        <v>0</v>
      </c>
    </row>
    <row r="515" spans="1:41" x14ac:dyDescent="0.25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  <c r="AK515" s="4">
        <f>IF(Table1[[#This Row],[Attrition]]="Yes", 1,0)</f>
        <v>1</v>
      </c>
      <c r="AL515">
        <f>CORREL(Table1[Age],AK515:AK1984)</f>
        <v>2.811259945225664E-2</v>
      </c>
      <c r="AM515">
        <f>CORREL(Table1[MonthlyIncome],AK515:AK1984)</f>
        <v>4.3519275610108005E-3</v>
      </c>
      <c r="AN515">
        <f>CORREL(Table1[YearsAtCompany],AK515:AK1984)</f>
        <v>4.067470015073496E-2</v>
      </c>
      <c r="AO515">
        <f t="shared" ref="AO515:AO578" si="8">ABS(AK515)</f>
        <v>1</v>
      </c>
    </row>
    <row r="516" spans="1:41" x14ac:dyDescent="0.25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  <c r="AK516" s="4">
        <f>IF(Table1[[#This Row],[Attrition]]="Yes", 1,0)</f>
        <v>1</v>
      </c>
      <c r="AL516">
        <f>CORREL(Table1[Age],AK516:AK1985)</f>
        <v>1.3872346136647624E-2</v>
      </c>
      <c r="AM516">
        <f>CORREL(Table1[MonthlyIncome],AK516:AK1985)</f>
        <v>-4.5957978414728005E-2</v>
      </c>
      <c r="AN516">
        <f>CORREL(Table1[YearsAtCompany],AK516:AK1985)</f>
        <v>-2.7163313570774034E-2</v>
      </c>
      <c r="AO516">
        <f t="shared" si="8"/>
        <v>1</v>
      </c>
    </row>
    <row r="517" spans="1:41" x14ac:dyDescent="0.25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  <c r="AK517" s="4">
        <f>IF(Table1[[#This Row],[Attrition]]="Yes", 1,0)</f>
        <v>0</v>
      </c>
      <c r="AL517">
        <f>CORREL(Table1[Age],AK517:AK1986)</f>
        <v>-3.880762707150542E-3</v>
      </c>
      <c r="AM517">
        <f>CORREL(Table1[MonthlyIncome],AK517:AK1986)</f>
        <v>-8.0637449162184009E-3</v>
      </c>
      <c r="AN517">
        <f>CORREL(Table1[YearsAtCompany],AK517:AK1986)</f>
        <v>1.1109501858923584E-2</v>
      </c>
      <c r="AO517">
        <f t="shared" si="8"/>
        <v>0</v>
      </c>
    </row>
    <row r="518" spans="1:41" x14ac:dyDescent="0.25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  <c r="AK518" s="4">
        <f>IF(Table1[[#This Row],[Attrition]]="Yes", 1,0)</f>
        <v>0</v>
      </c>
      <c r="AL518">
        <f>CORREL(Table1[Age],AK518:AK1987)</f>
        <v>2.4413052963391812E-2</v>
      </c>
      <c r="AM518">
        <f>CORREL(Table1[MonthlyIncome],AK518:AK1987)</f>
        <v>4.4228894348378497E-2</v>
      </c>
      <c r="AN518">
        <f>CORREL(Table1[YearsAtCompany],AK518:AK1987)</f>
        <v>3.1315577299660585E-2</v>
      </c>
      <c r="AO518">
        <f t="shared" si="8"/>
        <v>0</v>
      </c>
    </row>
    <row r="519" spans="1:41" x14ac:dyDescent="0.25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  <c r="AK519" s="4">
        <f>IF(Table1[[#This Row],[Attrition]]="Yes", 1,0)</f>
        <v>0</v>
      </c>
      <c r="AL519">
        <f>CORREL(Table1[Age],AK519:AK1988)</f>
        <v>-1.0826296640645683E-2</v>
      </c>
      <c r="AM519">
        <f>CORREL(Table1[MonthlyIncome],AK519:AK1988)</f>
        <v>-4.1640306472955661E-3</v>
      </c>
      <c r="AN519">
        <f>CORREL(Table1[YearsAtCompany],AK519:AK1988)</f>
        <v>5.522677176185143E-3</v>
      </c>
      <c r="AO519">
        <f t="shared" si="8"/>
        <v>0</v>
      </c>
    </row>
    <row r="520" spans="1:41" x14ac:dyDescent="0.25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  <c r="AK520" s="4">
        <f>IF(Table1[[#This Row],[Attrition]]="Yes", 1,0)</f>
        <v>0</v>
      </c>
      <c r="AL520">
        <f>CORREL(Table1[Age],AK520:AK1989)</f>
        <v>-4.582654746191283E-2</v>
      </c>
      <c r="AM520">
        <f>CORREL(Table1[MonthlyIncome],AK520:AK1989)</f>
        <v>5.6796573232275136E-3</v>
      </c>
      <c r="AN520">
        <f>CORREL(Table1[YearsAtCompany],AK520:AK1989)</f>
        <v>2.2683292991463232E-2</v>
      </c>
      <c r="AO520">
        <f t="shared" si="8"/>
        <v>0</v>
      </c>
    </row>
    <row r="521" spans="1:41" x14ac:dyDescent="0.25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  <c r="AK521" s="4">
        <f>IF(Table1[[#This Row],[Attrition]]="Yes", 1,0)</f>
        <v>0</v>
      </c>
      <c r="AL521">
        <f>CORREL(Table1[Age],AK521:AK1990)</f>
        <v>5.0651136006867992E-2</v>
      </c>
      <c r="AM521">
        <f>CORREL(Table1[MonthlyIncome],AK521:AK1990)</f>
        <v>-5.4335992359851653E-3</v>
      </c>
      <c r="AN521">
        <f>CORREL(Table1[YearsAtCompany],AK521:AK1990)</f>
        <v>4.8721549912537354E-2</v>
      </c>
      <c r="AO521">
        <f t="shared" si="8"/>
        <v>0</v>
      </c>
    </row>
    <row r="522" spans="1:41" x14ac:dyDescent="0.25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  <c r="AK522" s="4">
        <f>IF(Table1[[#This Row],[Attrition]]="Yes", 1,0)</f>
        <v>0</v>
      </c>
      <c r="AL522">
        <f>CORREL(Table1[Age],AK522:AK1991)</f>
        <v>-1.907047855251021E-2</v>
      </c>
      <c r="AM522">
        <f>CORREL(Table1[MonthlyIncome],AK522:AK1991)</f>
        <v>2.6376341338212633E-2</v>
      </c>
      <c r="AN522">
        <f>CORREL(Table1[YearsAtCompany],AK522:AK1991)</f>
        <v>2.9211224445821273E-2</v>
      </c>
      <c r="AO522">
        <f t="shared" si="8"/>
        <v>0</v>
      </c>
    </row>
    <row r="523" spans="1:41" x14ac:dyDescent="0.25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  <c r="AK523" s="4">
        <f>IF(Table1[[#This Row],[Attrition]]="Yes", 1,0)</f>
        <v>0</v>
      </c>
      <c r="AL523">
        <f>CORREL(Table1[Age],AK523:AK1992)</f>
        <v>4.2329304710763377E-2</v>
      </c>
      <c r="AM523">
        <f>CORREL(Table1[MonthlyIncome],AK523:AK1992)</f>
        <v>2.9537442247661798E-2</v>
      </c>
      <c r="AN523">
        <f>CORREL(Table1[YearsAtCompany],AK523:AK1992)</f>
        <v>1.268487949771383E-2</v>
      </c>
      <c r="AO523">
        <f t="shared" si="8"/>
        <v>0</v>
      </c>
    </row>
    <row r="524" spans="1:41" x14ac:dyDescent="0.25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  <c r="AK524" s="4">
        <f>IF(Table1[[#This Row],[Attrition]]="Yes", 1,0)</f>
        <v>0</v>
      </c>
      <c r="AL524">
        <f>CORREL(Table1[Age],AK524:AK1993)</f>
        <v>1.6022013112496774E-2</v>
      </c>
      <c r="AM524">
        <f>CORREL(Table1[MonthlyIncome],AK524:AK1993)</f>
        <v>6.7710899375060488E-2</v>
      </c>
      <c r="AN524">
        <f>CORREL(Table1[YearsAtCompany],AK524:AK1993)</f>
        <v>5.9496746561042979E-2</v>
      </c>
      <c r="AO524">
        <f t="shared" si="8"/>
        <v>0</v>
      </c>
    </row>
    <row r="525" spans="1:41" x14ac:dyDescent="0.25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  <c r="AK525" s="4">
        <f>IF(Table1[[#This Row],[Attrition]]="Yes", 1,0)</f>
        <v>0</v>
      </c>
      <c r="AL525">
        <f>CORREL(Table1[Age],AK525:AK1994)</f>
        <v>-1.9605095304312823E-3</v>
      </c>
      <c r="AM525">
        <f>CORREL(Table1[MonthlyIncome],AK525:AK1994)</f>
        <v>2.285304541759416E-2</v>
      </c>
      <c r="AN525">
        <f>CORREL(Table1[YearsAtCompany],AK525:AK1994)</f>
        <v>-3.8704942065777952E-2</v>
      </c>
      <c r="AO525">
        <f t="shared" si="8"/>
        <v>0</v>
      </c>
    </row>
    <row r="526" spans="1:41" x14ac:dyDescent="0.25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  <c r="AK526" s="4">
        <f>IF(Table1[[#This Row],[Attrition]]="Yes", 1,0)</f>
        <v>0</v>
      </c>
      <c r="AL526">
        <f>CORREL(Table1[Age],AK526:AK1995)</f>
        <v>3.9417877808501037E-3</v>
      </c>
      <c r="AM526">
        <f>CORREL(Table1[MonthlyIncome],AK526:AK1995)</f>
        <v>4.8786133920269217E-2</v>
      </c>
      <c r="AN526">
        <f>CORREL(Table1[YearsAtCompany],AK526:AK1995)</f>
        <v>3.6541543583733571E-2</v>
      </c>
      <c r="AO526">
        <f t="shared" si="8"/>
        <v>0</v>
      </c>
    </row>
    <row r="527" spans="1:41" x14ac:dyDescent="0.25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  <c r="AK527" s="4">
        <f>IF(Table1[[#This Row],[Attrition]]="Yes", 1,0)</f>
        <v>1</v>
      </c>
      <c r="AL527">
        <f>CORREL(Table1[Age],AK527:AK1996)</f>
        <v>-1.630073138118536E-2</v>
      </c>
      <c r="AM527">
        <f>CORREL(Table1[MonthlyIncome],AK527:AK1996)</f>
        <v>2.3739857375365478E-3</v>
      </c>
      <c r="AN527">
        <f>CORREL(Table1[YearsAtCompany],AK527:AK1996)</f>
        <v>6.6206383286680371E-3</v>
      </c>
      <c r="AO527">
        <f t="shared" si="8"/>
        <v>1</v>
      </c>
    </row>
    <row r="528" spans="1:41" x14ac:dyDescent="0.25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  <c r="AK528" s="4">
        <f>IF(Table1[[#This Row],[Attrition]]="Yes", 1,0)</f>
        <v>0</v>
      </c>
      <c r="AL528">
        <f>CORREL(Table1[Age],AK528:AK1997)</f>
        <v>1.2953634430263811E-2</v>
      </c>
      <c r="AM528">
        <f>CORREL(Table1[MonthlyIncome],AK528:AK1997)</f>
        <v>1.555150770808339E-2</v>
      </c>
      <c r="AN528">
        <f>CORREL(Table1[YearsAtCompany],AK528:AK1997)</f>
        <v>-1.4803438342983663E-2</v>
      </c>
      <c r="AO528">
        <f t="shared" si="8"/>
        <v>0</v>
      </c>
    </row>
    <row r="529" spans="1:41" x14ac:dyDescent="0.25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  <c r="AK529" s="4">
        <f>IF(Table1[[#This Row],[Attrition]]="Yes", 1,0)</f>
        <v>0</v>
      </c>
      <c r="AL529">
        <f>CORREL(Table1[Age],AK529:AK1998)</f>
        <v>-1.3949541134361493E-2</v>
      </c>
      <c r="AM529">
        <f>CORREL(Table1[MonthlyIncome],AK529:AK1998)</f>
        <v>-3.2504963956385011E-2</v>
      </c>
      <c r="AN529">
        <f>CORREL(Table1[YearsAtCompany],AK529:AK1998)</f>
        <v>5.902966441195469E-3</v>
      </c>
      <c r="AO529">
        <f t="shared" si="8"/>
        <v>0</v>
      </c>
    </row>
    <row r="530" spans="1:41" x14ac:dyDescent="0.25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  <c r="AK530" s="4">
        <f>IF(Table1[[#This Row],[Attrition]]="Yes", 1,0)</f>
        <v>1</v>
      </c>
      <c r="AL530">
        <f>CORREL(Table1[Age],AK530:AK1999)</f>
        <v>1.2155538400611883E-2</v>
      </c>
      <c r="AM530">
        <f>CORREL(Table1[MonthlyIncome],AK530:AK1999)</f>
        <v>8.8998858922330788E-3</v>
      </c>
      <c r="AN530">
        <f>CORREL(Table1[YearsAtCompany],AK530:AK1999)</f>
        <v>4.8228162921313676E-2</v>
      </c>
      <c r="AO530">
        <f t="shared" si="8"/>
        <v>1</v>
      </c>
    </row>
    <row r="531" spans="1:41" x14ac:dyDescent="0.25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  <c r="AK531" s="4">
        <f>IF(Table1[[#This Row],[Attrition]]="Yes", 1,0)</f>
        <v>0</v>
      </c>
      <c r="AL531">
        <f>CORREL(Table1[Age],AK531:AK2000)</f>
        <v>-1.075217963928783E-2</v>
      </c>
      <c r="AM531">
        <f>CORREL(Table1[MonthlyIncome],AK531:AK2000)</f>
        <v>6.6766078907162614E-3</v>
      </c>
      <c r="AN531">
        <f>CORREL(Table1[YearsAtCompany],AK531:AK2000)</f>
        <v>2.5499517330431615E-2</v>
      </c>
      <c r="AO531">
        <f t="shared" si="8"/>
        <v>0</v>
      </c>
    </row>
    <row r="532" spans="1:41" x14ac:dyDescent="0.25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  <c r="AK532" s="4">
        <f>IF(Table1[[#This Row],[Attrition]]="Yes", 1,0)</f>
        <v>0</v>
      </c>
      <c r="AL532">
        <f>CORREL(Table1[Age],AK532:AK2001)</f>
        <v>3.602207605142347E-2</v>
      </c>
      <c r="AM532">
        <f>CORREL(Table1[MonthlyIncome],AK532:AK2001)</f>
        <v>6.2279750129547009E-3</v>
      </c>
      <c r="AN532">
        <f>CORREL(Table1[YearsAtCompany],AK532:AK2001)</f>
        <v>4.9739243689572901E-2</v>
      </c>
      <c r="AO532">
        <f t="shared" si="8"/>
        <v>0</v>
      </c>
    </row>
    <row r="533" spans="1:41" x14ac:dyDescent="0.25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  <c r="AK533" s="4">
        <f>IF(Table1[[#This Row],[Attrition]]="Yes", 1,0)</f>
        <v>0</v>
      </c>
      <c r="AL533">
        <f>CORREL(Table1[Age],AK533:AK2002)</f>
        <v>1.0021086679325164E-3</v>
      </c>
      <c r="AM533">
        <f>CORREL(Table1[MonthlyIncome],AK533:AK2002)</f>
        <v>-2.4466136491601741E-2</v>
      </c>
      <c r="AN533">
        <f>CORREL(Table1[YearsAtCompany],AK533:AK2002)</f>
        <v>-2.5016043820445727E-2</v>
      </c>
      <c r="AO533">
        <f t="shared" si="8"/>
        <v>0</v>
      </c>
    </row>
    <row r="534" spans="1:41" x14ac:dyDescent="0.25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  <c r="AK534" s="4">
        <f>IF(Table1[[#This Row],[Attrition]]="Yes", 1,0)</f>
        <v>0</v>
      </c>
      <c r="AL534">
        <f>CORREL(Table1[Age],AK534:AK2003)</f>
        <v>-9.8685413634980804E-3</v>
      </c>
      <c r="AM534">
        <f>CORREL(Table1[MonthlyIncome],AK534:AK2003)</f>
        <v>-1.1199573530826783E-2</v>
      </c>
      <c r="AN534">
        <f>CORREL(Table1[YearsAtCompany],AK534:AK2003)</f>
        <v>-3.1276449587096675E-2</v>
      </c>
      <c r="AO534">
        <f t="shared" si="8"/>
        <v>0</v>
      </c>
    </row>
    <row r="535" spans="1:41" x14ac:dyDescent="0.25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  <c r="AK535" s="4">
        <f>IF(Table1[[#This Row],[Attrition]]="Yes", 1,0)</f>
        <v>0</v>
      </c>
      <c r="AL535">
        <f>CORREL(Table1[Age],AK535:AK2004)</f>
        <v>-1.2823846408719785E-2</v>
      </c>
      <c r="AM535">
        <f>CORREL(Table1[MonthlyIncome],AK535:AK2004)</f>
        <v>2.4052045364820064E-2</v>
      </c>
      <c r="AN535">
        <f>CORREL(Table1[YearsAtCompany],AK535:AK2004)</f>
        <v>5.0603777508217637E-2</v>
      </c>
      <c r="AO535">
        <f t="shared" si="8"/>
        <v>0</v>
      </c>
    </row>
    <row r="536" spans="1:41" x14ac:dyDescent="0.25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  <c r="AK536" s="4">
        <f>IF(Table1[[#This Row],[Attrition]]="Yes", 1,0)</f>
        <v>0</v>
      </c>
      <c r="AL536">
        <f>CORREL(Table1[Age],AK536:AK2005)</f>
        <v>-2.6198908051403517E-2</v>
      </c>
      <c r="AM536">
        <f>CORREL(Table1[MonthlyIncome],AK536:AK2005)</f>
        <v>-3.6109529257512686E-2</v>
      </c>
      <c r="AN536">
        <f>CORREL(Table1[YearsAtCompany],AK536:AK2005)</f>
        <v>2.428742908339392E-2</v>
      </c>
      <c r="AO536">
        <f t="shared" si="8"/>
        <v>0</v>
      </c>
    </row>
    <row r="537" spans="1:41" x14ac:dyDescent="0.25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  <c r="AK537" s="4">
        <f>IF(Table1[[#This Row],[Attrition]]="Yes", 1,0)</f>
        <v>0</v>
      </c>
      <c r="AL537">
        <f>CORREL(Table1[Age],AK537:AK2006)</f>
        <v>-5.9218858426900362E-2</v>
      </c>
      <c r="AM537">
        <f>CORREL(Table1[MonthlyIncome],AK537:AK2006)</f>
        <v>-3.4458062857448584E-3</v>
      </c>
      <c r="AN537">
        <f>CORREL(Table1[YearsAtCompany],AK537:AK2006)</f>
        <v>-1.401361393475946E-2</v>
      </c>
      <c r="AO537">
        <f t="shared" si="8"/>
        <v>0</v>
      </c>
    </row>
    <row r="538" spans="1:41" x14ac:dyDescent="0.25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  <c r="AK538" s="4">
        <f>IF(Table1[[#This Row],[Attrition]]="Yes", 1,0)</f>
        <v>0</v>
      </c>
      <c r="AL538">
        <f>CORREL(Table1[Age],AK538:AK2007)</f>
        <v>2.1047519742091292E-2</v>
      </c>
      <c r="AM538">
        <f>CORREL(Table1[MonthlyIncome],AK538:AK2007)</f>
        <v>-3.3909120313139959E-2</v>
      </c>
      <c r="AN538">
        <f>CORREL(Table1[YearsAtCompany],AK538:AK2007)</f>
        <v>-3.9790582433073068E-2</v>
      </c>
      <c r="AO538">
        <f t="shared" si="8"/>
        <v>0</v>
      </c>
    </row>
    <row r="539" spans="1:41" x14ac:dyDescent="0.25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  <c r="AK539" s="4">
        <f>IF(Table1[[#This Row],[Attrition]]="Yes", 1,0)</f>
        <v>0</v>
      </c>
      <c r="AL539">
        <f>CORREL(Table1[Age],AK539:AK2008)</f>
        <v>7.4208549508968371E-3</v>
      </c>
      <c r="AM539">
        <f>CORREL(Table1[MonthlyIncome],AK539:AK2008)</f>
        <v>-5.2583365290374627E-2</v>
      </c>
      <c r="AN539">
        <f>CORREL(Table1[YearsAtCompany],AK539:AK2008)</f>
        <v>-3.9653086853530924E-2</v>
      </c>
      <c r="AO539">
        <f t="shared" si="8"/>
        <v>0</v>
      </c>
    </row>
    <row r="540" spans="1:41" x14ac:dyDescent="0.25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  <c r="AK540" s="4">
        <f>IF(Table1[[#This Row],[Attrition]]="Yes", 1,0)</f>
        <v>0</v>
      </c>
      <c r="AL540">
        <f>CORREL(Table1[Age],AK540:AK2009)</f>
        <v>-8.0125527379701113E-3</v>
      </c>
      <c r="AM540">
        <f>CORREL(Table1[MonthlyIncome],AK540:AK2009)</f>
        <v>-3.1129078167307925E-2</v>
      </c>
      <c r="AN540">
        <f>CORREL(Table1[YearsAtCompany],AK540:AK2009)</f>
        <v>-1.5617871733617811E-2</v>
      </c>
      <c r="AO540">
        <f t="shared" si="8"/>
        <v>0</v>
      </c>
    </row>
    <row r="541" spans="1:41" x14ac:dyDescent="0.25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  <c r="AK541" s="4">
        <f>IF(Table1[[#This Row],[Attrition]]="Yes", 1,0)</f>
        <v>0</v>
      </c>
      <c r="AL541">
        <f>CORREL(Table1[Age],AK541:AK2010)</f>
        <v>2.079614555891042E-2</v>
      </c>
      <c r="AM541">
        <f>CORREL(Table1[MonthlyIncome],AK541:AK2010)</f>
        <v>7.952755019660461E-2</v>
      </c>
      <c r="AN541">
        <f>CORREL(Table1[YearsAtCompany],AK541:AK2010)</f>
        <v>2.5284668666963245E-2</v>
      </c>
      <c r="AO541">
        <f t="shared" si="8"/>
        <v>0</v>
      </c>
    </row>
    <row r="542" spans="1:41" x14ac:dyDescent="0.25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  <c r="AK542" s="4">
        <f>IF(Table1[[#This Row],[Attrition]]="Yes", 1,0)</f>
        <v>1</v>
      </c>
      <c r="AL542">
        <f>CORREL(Table1[Age],AK542:AK2011)</f>
        <v>-1.9956687302046944E-2</v>
      </c>
      <c r="AM542">
        <f>CORREL(Table1[MonthlyIncome],AK542:AK2011)</f>
        <v>-1.1302960635260114E-2</v>
      </c>
      <c r="AN542">
        <f>CORREL(Table1[YearsAtCompany],AK542:AK2011)</f>
        <v>-2.5083287255055788E-2</v>
      </c>
      <c r="AO542">
        <f t="shared" si="8"/>
        <v>1</v>
      </c>
    </row>
    <row r="543" spans="1:41" x14ac:dyDescent="0.25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  <c r="AK543" s="4">
        <f>IF(Table1[[#This Row],[Attrition]]="Yes", 1,0)</f>
        <v>0</v>
      </c>
      <c r="AL543">
        <f>CORREL(Table1[Age],AK543:AK2012)</f>
        <v>4.363917429547693E-2</v>
      </c>
      <c r="AM543">
        <f>CORREL(Table1[MonthlyIncome],AK543:AK2012)</f>
        <v>3.9708204554582467E-2</v>
      </c>
      <c r="AN543">
        <f>CORREL(Table1[YearsAtCompany],AK543:AK2012)</f>
        <v>5.0494404744391215E-2</v>
      </c>
      <c r="AO543">
        <f t="shared" si="8"/>
        <v>0</v>
      </c>
    </row>
    <row r="544" spans="1:41" x14ac:dyDescent="0.25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  <c r="AK544" s="4">
        <f>IF(Table1[[#This Row],[Attrition]]="Yes", 1,0)</f>
        <v>0</v>
      </c>
      <c r="AL544">
        <f>CORREL(Table1[Age],AK544:AK2013)</f>
        <v>-4.8222557715922182E-2</v>
      </c>
      <c r="AM544">
        <f>CORREL(Table1[MonthlyIncome],AK544:AK2013)</f>
        <v>8.4042961423871736E-3</v>
      </c>
      <c r="AN544">
        <f>CORREL(Table1[YearsAtCompany],AK544:AK2013)</f>
        <v>1.2485835814954271E-2</v>
      </c>
      <c r="AO544">
        <f t="shared" si="8"/>
        <v>0</v>
      </c>
    </row>
    <row r="545" spans="1:41" x14ac:dyDescent="0.25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  <c r="AK545" s="4">
        <f>IF(Table1[[#This Row],[Attrition]]="Yes", 1,0)</f>
        <v>0</v>
      </c>
      <c r="AL545">
        <f>CORREL(Table1[Age],AK545:AK2014)</f>
        <v>1.3988644977370843E-3</v>
      </c>
      <c r="AM545">
        <f>CORREL(Table1[MonthlyIncome],AK545:AK2014)</f>
        <v>4.3172052700524717E-2</v>
      </c>
      <c r="AN545">
        <f>CORREL(Table1[YearsAtCompany],AK545:AK2014)</f>
        <v>2.3200296653327832E-2</v>
      </c>
      <c r="AO545">
        <f t="shared" si="8"/>
        <v>0</v>
      </c>
    </row>
    <row r="546" spans="1:41" x14ac:dyDescent="0.25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  <c r="AK546" s="4">
        <f>IF(Table1[[#This Row],[Attrition]]="Yes", 1,0)</f>
        <v>0</v>
      </c>
      <c r="AL546">
        <f>CORREL(Table1[Age],AK546:AK2015)</f>
        <v>2.9795279542731277E-2</v>
      </c>
      <c r="AM546">
        <f>CORREL(Table1[MonthlyIncome],AK546:AK2015)</f>
        <v>6.4696343971825054E-2</v>
      </c>
      <c r="AN546">
        <f>CORREL(Table1[YearsAtCompany],AK546:AK2015)</f>
        <v>8.3213867179972069E-3</v>
      </c>
      <c r="AO546">
        <f t="shared" si="8"/>
        <v>0</v>
      </c>
    </row>
    <row r="547" spans="1:41" x14ac:dyDescent="0.25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  <c r="AK547" s="4">
        <f>IF(Table1[[#This Row],[Attrition]]="Yes", 1,0)</f>
        <v>0</v>
      </c>
      <c r="AL547">
        <f>CORREL(Table1[Age],AK547:AK2016)</f>
        <v>3.6237614655973062E-2</v>
      </c>
      <c r="AM547">
        <f>CORREL(Table1[MonthlyIncome],AK547:AK2016)</f>
        <v>-4.582385292063668E-3</v>
      </c>
      <c r="AN547">
        <f>CORREL(Table1[YearsAtCompany],AK547:AK2016)</f>
        <v>3.2563179602564683E-2</v>
      </c>
      <c r="AO547">
        <f t="shared" si="8"/>
        <v>0</v>
      </c>
    </row>
    <row r="548" spans="1:41" x14ac:dyDescent="0.25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  <c r="AK548" s="4">
        <f>IF(Table1[[#This Row],[Attrition]]="Yes", 1,0)</f>
        <v>0</v>
      </c>
      <c r="AL548">
        <f>CORREL(Table1[Age],AK548:AK2017)</f>
        <v>-1.9739160514590338E-2</v>
      </c>
      <c r="AM548">
        <f>CORREL(Table1[MonthlyIncome],AK548:AK2017)</f>
        <v>3.3463865317428461E-2</v>
      </c>
      <c r="AN548">
        <f>CORREL(Table1[YearsAtCompany],AK548:AK2017)</f>
        <v>1.0311421939404149E-2</v>
      </c>
      <c r="AO548">
        <f t="shared" si="8"/>
        <v>0</v>
      </c>
    </row>
    <row r="549" spans="1:41" x14ac:dyDescent="0.25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  <c r="AK549" s="4">
        <f>IF(Table1[[#This Row],[Attrition]]="Yes", 1,0)</f>
        <v>1</v>
      </c>
      <c r="AL549">
        <f>CORREL(Table1[Age],AK549:AK2018)</f>
        <v>-4.3627113371946032E-4</v>
      </c>
      <c r="AM549">
        <f>CORREL(Table1[MonthlyIncome],AK549:AK2018)</f>
        <v>-5.1663842860267522E-3</v>
      </c>
      <c r="AN549">
        <f>CORREL(Table1[YearsAtCompany],AK549:AK2018)</f>
        <v>-1.4626090139847982E-2</v>
      </c>
      <c r="AO549">
        <f t="shared" si="8"/>
        <v>1</v>
      </c>
    </row>
    <row r="550" spans="1:41" x14ac:dyDescent="0.25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  <c r="AK550" s="4">
        <f>IF(Table1[[#This Row],[Attrition]]="Yes", 1,0)</f>
        <v>0</v>
      </c>
      <c r="AL550">
        <f>CORREL(Table1[Age],AK550:AK2019)</f>
        <v>5.9056214907560252E-2</v>
      </c>
      <c r="AM550">
        <f>CORREL(Table1[MonthlyIncome],AK550:AK2019)</f>
        <v>3.9125894304672067E-2</v>
      </c>
      <c r="AN550">
        <f>CORREL(Table1[YearsAtCompany],AK550:AK2019)</f>
        <v>1.3838277318968839E-2</v>
      </c>
      <c r="AO550">
        <f t="shared" si="8"/>
        <v>0</v>
      </c>
    </row>
    <row r="551" spans="1:41" x14ac:dyDescent="0.25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  <c r="AK551" s="4">
        <f>IF(Table1[[#This Row],[Attrition]]="Yes", 1,0)</f>
        <v>0</v>
      </c>
      <c r="AL551">
        <f>CORREL(Table1[Age],AK551:AK2020)</f>
        <v>-4.3949650316926984E-2</v>
      </c>
      <c r="AM551">
        <f>CORREL(Table1[MonthlyIncome],AK551:AK2020)</f>
        <v>-6.9998909536216028E-2</v>
      </c>
      <c r="AN551">
        <f>CORREL(Table1[YearsAtCompany],AK551:AK2020)</f>
        <v>-2.9711140962015884E-2</v>
      </c>
      <c r="AO551">
        <f t="shared" si="8"/>
        <v>0</v>
      </c>
    </row>
    <row r="552" spans="1:41" x14ac:dyDescent="0.25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  <c r="AK552" s="4">
        <f>IF(Table1[[#This Row],[Attrition]]="Yes", 1,0)</f>
        <v>0</v>
      </c>
      <c r="AL552">
        <f>CORREL(Table1[Age],AK552:AK2021)</f>
        <v>-1.7137612059713959E-2</v>
      </c>
      <c r="AM552">
        <f>CORREL(Table1[MonthlyIncome],AK552:AK2021)</f>
        <v>2.0688788509810142E-2</v>
      </c>
      <c r="AN552">
        <f>CORREL(Table1[YearsAtCompany],AK552:AK2021)</f>
        <v>1.8990433877510978E-2</v>
      </c>
      <c r="AO552">
        <f t="shared" si="8"/>
        <v>0</v>
      </c>
    </row>
    <row r="553" spans="1:41" x14ac:dyDescent="0.25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  <c r="AK553" s="4">
        <f>IF(Table1[[#This Row],[Attrition]]="Yes", 1,0)</f>
        <v>0</v>
      </c>
      <c r="AL553">
        <f>CORREL(Table1[Age],AK553:AK2022)</f>
        <v>-3.8131155364560174E-2</v>
      </c>
      <c r="AM553">
        <f>CORREL(Table1[MonthlyIncome],AK553:AK2022)</f>
        <v>-2.2420512034965354E-2</v>
      </c>
      <c r="AN553">
        <f>CORREL(Table1[YearsAtCompany],AK553:AK2022)</f>
        <v>-6.8465201953835528E-2</v>
      </c>
      <c r="AO553">
        <f t="shared" si="8"/>
        <v>0</v>
      </c>
    </row>
    <row r="554" spans="1:41" x14ac:dyDescent="0.25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  <c r="AK554" s="4">
        <f>IF(Table1[[#This Row],[Attrition]]="Yes", 1,0)</f>
        <v>0</v>
      </c>
      <c r="AL554">
        <f>CORREL(Table1[Age],AK554:AK2023)</f>
        <v>-9.7441324376381366E-3</v>
      </c>
      <c r="AM554">
        <f>CORREL(Table1[MonthlyIncome],AK554:AK2023)</f>
        <v>3.447311518038302E-2</v>
      </c>
      <c r="AN554">
        <f>CORREL(Table1[YearsAtCompany],AK554:AK2023)</f>
        <v>7.5009096232788106E-3</v>
      </c>
      <c r="AO554">
        <f t="shared" si="8"/>
        <v>0</v>
      </c>
    </row>
    <row r="555" spans="1:41" x14ac:dyDescent="0.25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  <c r="AK555" s="4">
        <f>IF(Table1[[#This Row],[Attrition]]="Yes", 1,0)</f>
        <v>0</v>
      </c>
      <c r="AL555">
        <f>CORREL(Table1[Age],AK555:AK2024)</f>
        <v>-2.2038459159216778E-2</v>
      </c>
      <c r="AM555">
        <f>CORREL(Table1[MonthlyIncome],AK555:AK2024)</f>
        <v>-5.814559468929878E-2</v>
      </c>
      <c r="AN555">
        <f>CORREL(Table1[YearsAtCompany],AK555:AK2024)</f>
        <v>9.517790646927168E-3</v>
      </c>
      <c r="AO555">
        <f t="shared" si="8"/>
        <v>0</v>
      </c>
    </row>
    <row r="556" spans="1:41" x14ac:dyDescent="0.25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  <c r="AK556" s="4">
        <f>IF(Table1[[#This Row],[Attrition]]="Yes", 1,0)</f>
        <v>0</v>
      </c>
      <c r="AL556">
        <f>CORREL(Table1[Age],AK556:AK2025)</f>
        <v>3.8245784852523765E-2</v>
      </c>
      <c r="AM556">
        <f>CORREL(Table1[MonthlyIncome],AK556:AK2025)</f>
        <v>-2.2359198816079277E-2</v>
      </c>
      <c r="AN556">
        <f>CORREL(Table1[YearsAtCompany],AK556:AK2025)</f>
        <v>4.7918187102419928E-2</v>
      </c>
      <c r="AO556">
        <f t="shared" si="8"/>
        <v>0</v>
      </c>
    </row>
    <row r="557" spans="1:41" x14ac:dyDescent="0.25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  <c r="AK557" s="4">
        <f>IF(Table1[[#This Row],[Attrition]]="Yes", 1,0)</f>
        <v>0</v>
      </c>
      <c r="AL557">
        <f>CORREL(Table1[Age],AK557:AK2026)</f>
        <v>4.4665472872372797E-2</v>
      </c>
      <c r="AM557">
        <f>CORREL(Table1[MonthlyIncome],AK557:AK2026)</f>
        <v>4.2096014495779209E-4</v>
      </c>
      <c r="AN557">
        <f>CORREL(Table1[YearsAtCompany],AK557:AK2026)</f>
        <v>1.0838051712572985E-3</v>
      </c>
      <c r="AO557">
        <f t="shared" si="8"/>
        <v>0</v>
      </c>
    </row>
    <row r="558" spans="1:41" x14ac:dyDescent="0.25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  <c r="AK558" s="4">
        <f>IF(Table1[[#This Row],[Attrition]]="Yes", 1,0)</f>
        <v>0</v>
      </c>
      <c r="AL558">
        <f>CORREL(Table1[Age],AK558:AK2027)</f>
        <v>-5.720137224743805E-2</v>
      </c>
      <c r="AM558">
        <f>CORREL(Table1[MonthlyIncome],AK558:AK2027)</f>
        <v>-6.4935771606876129E-3</v>
      </c>
      <c r="AN558">
        <f>CORREL(Table1[YearsAtCompany],AK558:AK2027)</f>
        <v>-2.408639649630389E-2</v>
      </c>
      <c r="AO558">
        <f t="shared" si="8"/>
        <v>0</v>
      </c>
    </row>
    <row r="559" spans="1:41" x14ac:dyDescent="0.25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  <c r="AK559" s="4">
        <f>IF(Table1[[#This Row],[Attrition]]="Yes", 1,0)</f>
        <v>0</v>
      </c>
      <c r="AL559">
        <f>CORREL(Table1[Age],AK559:AK2028)</f>
        <v>-2.2383233144750832E-2</v>
      </c>
      <c r="AM559">
        <f>CORREL(Table1[MonthlyIncome],AK559:AK2028)</f>
        <v>5.5948875121618674E-3</v>
      </c>
      <c r="AN559">
        <f>CORREL(Table1[YearsAtCompany],AK559:AK2028)</f>
        <v>-2.8975577546298571E-2</v>
      </c>
      <c r="AO559">
        <f t="shared" si="8"/>
        <v>0</v>
      </c>
    </row>
    <row r="560" spans="1:41" x14ac:dyDescent="0.25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  <c r="AK560" s="4">
        <f>IF(Table1[[#This Row],[Attrition]]="Yes", 1,0)</f>
        <v>0</v>
      </c>
      <c r="AL560">
        <f>CORREL(Table1[Age],AK560:AK2029)</f>
        <v>2.30729741795099E-2</v>
      </c>
      <c r="AM560">
        <f>CORREL(Table1[MonthlyIncome],AK560:AK2029)</f>
        <v>5.1474908614360666E-2</v>
      </c>
      <c r="AN560">
        <f>CORREL(Table1[YearsAtCompany],AK560:AK2029)</f>
        <v>3.8947868759080989E-2</v>
      </c>
      <c r="AO560">
        <f t="shared" si="8"/>
        <v>0</v>
      </c>
    </row>
    <row r="561" spans="1:41" x14ac:dyDescent="0.25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  <c r="AK561" s="4">
        <f>IF(Table1[[#This Row],[Attrition]]="Yes", 1,0)</f>
        <v>0</v>
      </c>
      <c r="AL561">
        <f>CORREL(Table1[Age],AK561:AK2030)</f>
        <v>1.6204790701109934E-2</v>
      </c>
      <c r="AM561">
        <f>CORREL(Table1[MonthlyIncome],AK561:AK2030)</f>
        <v>-4.5217801980235735E-2</v>
      </c>
      <c r="AN561">
        <f>CORREL(Table1[YearsAtCompany],AK561:AK2030)</f>
        <v>2.8132119373866213E-2</v>
      </c>
      <c r="AO561">
        <f t="shared" si="8"/>
        <v>0</v>
      </c>
    </row>
    <row r="562" spans="1:41" x14ac:dyDescent="0.25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  <c r="AK562" s="4">
        <f>IF(Table1[[#This Row],[Attrition]]="Yes", 1,0)</f>
        <v>0</v>
      </c>
      <c r="AL562">
        <f>CORREL(Table1[Age],AK562:AK2031)</f>
        <v>-6.1626515233525331E-3</v>
      </c>
      <c r="AM562">
        <f>CORREL(Table1[MonthlyIncome],AK562:AK2031)</f>
        <v>7.5963169476975997E-3</v>
      </c>
      <c r="AN562">
        <f>CORREL(Table1[YearsAtCompany],AK562:AK2031)</f>
        <v>5.3152759063265359E-2</v>
      </c>
      <c r="AO562">
        <f t="shared" si="8"/>
        <v>0</v>
      </c>
    </row>
    <row r="563" spans="1:41" x14ac:dyDescent="0.25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  <c r="AK563" s="4">
        <f>IF(Table1[[#This Row],[Attrition]]="Yes", 1,0)</f>
        <v>0</v>
      </c>
      <c r="AL563">
        <f>CORREL(Table1[Age],AK563:AK2032)</f>
        <v>-2.9767575148963422E-2</v>
      </c>
      <c r="AM563">
        <f>CORREL(Table1[MonthlyIncome],AK563:AK2032)</f>
        <v>-5.5634883974754997E-3</v>
      </c>
      <c r="AN563">
        <f>CORREL(Table1[YearsAtCompany],AK563:AK2032)</f>
        <v>-6.2207258006528898E-4</v>
      </c>
      <c r="AO563">
        <f t="shared" si="8"/>
        <v>0</v>
      </c>
    </row>
    <row r="564" spans="1:41" x14ac:dyDescent="0.25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  <c r="AK564" s="4">
        <f>IF(Table1[[#This Row],[Attrition]]="Yes", 1,0)</f>
        <v>1</v>
      </c>
      <c r="AL564">
        <f>CORREL(Table1[Age],AK564:AK2033)</f>
        <v>1.3128284543988141E-2</v>
      </c>
      <c r="AM564">
        <f>CORREL(Table1[MonthlyIncome],AK564:AK2033)</f>
        <v>1.8051961700925847E-2</v>
      </c>
      <c r="AN564">
        <f>CORREL(Table1[YearsAtCompany],AK564:AK2033)</f>
        <v>2.361471535502949E-2</v>
      </c>
      <c r="AO564">
        <f t="shared" si="8"/>
        <v>1</v>
      </c>
    </row>
    <row r="565" spans="1:41" x14ac:dyDescent="0.25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  <c r="AK565" s="4">
        <f>IF(Table1[[#This Row],[Attrition]]="Yes", 1,0)</f>
        <v>0</v>
      </c>
      <c r="AL565">
        <f>CORREL(Table1[Age],AK565:AK2034)</f>
        <v>3.4661122103452791E-2</v>
      </c>
      <c r="AM565">
        <f>CORREL(Table1[MonthlyIncome],AK565:AK2034)</f>
        <v>3.236600856718775E-2</v>
      </c>
      <c r="AN565">
        <f>CORREL(Table1[YearsAtCompany],AK565:AK2034)</f>
        <v>1.9229672643865398E-2</v>
      </c>
      <c r="AO565">
        <f t="shared" si="8"/>
        <v>0</v>
      </c>
    </row>
    <row r="566" spans="1:41" x14ac:dyDescent="0.25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  <c r="AK566" s="4">
        <f>IF(Table1[[#This Row],[Attrition]]="Yes", 1,0)</f>
        <v>0</v>
      </c>
      <c r="AL566">
        <f>CORREL(Table1[Age],AK566:AK2035)</f>
        <v>-2.4517397425442299E-2</v>
      </c>
      <c r="AM566">
        <f>CORREL(Table1[MonthlyIncome],AK566:AK2035)</f>
        <v>-3.272883001149976E-2</v>
      </c>
      <c r="AN566">
        <f>CORREL(Table1[YearsAtCompany],AK566:AK2035)</f>
        <v>-3.0650088824763208E-2</v>
      </c>
      <c r="AO566">
        <f t="shared" si="8"/>
        <v>0</v>
      </c>
    </row>
    <row r="567" spans="1:41" x14ac:dyDescent="0.25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  <c r="AK567" s="4">
        <f>IF(Table1[[#This Row],[Attrition]]="Yes", 1,0)</f>
        <v>0</v>
      </c>
      <c r="AL567">
        <f>CORREL(Table1[Age],AK567:AK2036)</f>
        <v>1.5480036321412004E-2</v>
      </c>
      <c r="AM567">
        <f>CORREL(Table1[MonthlyIncome],AK567:AK2036)</f>
        <v>1.8170477692718807E-2</v>
      </c>
      <c r="AN567">
        <f>CORREL(Table1[YearsAtCompany],AK567:AK2036)</f>
        <v>-3.1600558972043072E-2</v>
      </c>
      <c r="AO567">
        <f t="shared" si="8"/>
        <v>0</v>
      </c>
    </row>
    <row r="568" spans="1:41" x14ac:dyDescent="0.25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  <c r="AK568" s="4">
        <f>IF(Table1[[#This Row],[Attrition]]="Yes", 1,0)</f>
        <v>1</v>
      </c>
      <c r="AL568">
        <f>CORREL(Table1[Age],AK568:AK2037)</f>
        <v>1.4814275709951428E-2</v>
      </c>
      <c r="AM568">
        <f>CORREL(Table1[MonthlyIncome],AK568:AK2037)</f>
        <v>-1.9747947886411383E-3</v>
      </c>
      <c r="AN568">
        <f>CORREL(Table1[YearsAtCompany],AK568:AK2037)</f>
        <v>2.3069496788420699E-2</v>
      </c>
      <c r="AO568">
        <f t="shared" si="8"/>
        <v>1</v>
      </c>
    </row>
    <row r="569" spans="1:41" x14ac:dyDescent="0.25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  <c r="AK569" s="4">
        <f>IF(Table1[[#This Row],[Attrition]]="Yes", 1,0)</f>
        <v>0</v>
      </c>
      <c r="AL569">
        <f>CORREL(Table1[Age],AK569:AK2038)</f>
        <v>3.9467494022844191E-2</v>
      </c>
      <c r="AM569">
        <f>CORREL(Table1[MonthlyIncome],AK569:AK2038)</f>
        <v>4.7747101700670896E-2</v>
      </c>
      <c r="AN569">
        <f>CORREL(Table1[YearsAtCompany],AK569:AK2038)</f>
        <v>-9.3867994619167769E-3</v>
      </c>
      <c r="AO569">
        <f t="shared" si="8"/>
        <v>0</v>
      </c>
    </row>
    <row r="570" spans="1:41" x14ac:dyDescent="0.25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  <c r="AK570" s="4">
        <f>IF(Table1[[#This Row],[Attrition]]="Yes", 1,0)</f>
        <v>1</v>
      </c>
      <c r="AL570">
        <f>CORREL(Table1[Age],AK570:AK2039)</f>
        <v>6.2863931793436332E-3</v>
      </c>
      <c r="AM570">
        <f>CORREL(Table1[MonthlyIncome],AK570:AK2039)</f>
        <v>-2.8698582992505973E-2</v>
      </c>
      <c r="AN570">
        <f>CORREL(Table1[YearsAtCompany],AK570:AK2039)</f>
        <v>-6.9639130625469295E-2</v>
      </c>
      <c r="AO570">
        <f t="shared" si="8"/>
        <v>1</v>
      </c>
    </row>
    <row r="571" spans="1:41" x14ac:dyDescent="0.25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  <c r="AK571" s="4">
        <f>IF(Table1[[#This Row],[Attrition]]="Yes", 1,0)</f>
        <v>0</v>
      </c>
      <c r="AL571">
        <f>CORREL(Table1[Age],AK571:AK2040)</f>
        <v>4.6396717289790938E-3</v>
      </c>
      <c r="AM571">
        <f>CORREL(Table1[MonthlyIncome],AK571:AK2040)</f>
        <v>2.2612929888181862E-2</v>
      </c>
      <c r="AN571">
        <f>CORREL(Table1[YearsAtCompany],AK571:AK2040)</f>
        <v>8.7554150667738653E-2</v>
      </c>
      <c r="AO571">
        <f t="shared" si="8"/>
        <v>0</v>
      </c>
    </row>
    <row r="572" spans="1:41" x14ac:dyDescent="0.25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  <c r="AK572" s="4">
        <f>IF(Table1[[#This Row],[Attrition]]="Yes", 1,0)</f>
        <v>0</v>
      </c>
      <c r="AL572">
        <f>CORREL(Table1[Age],AK572:AK2041)</f>
        <v>-2.6941052068125561E-2</v>
      </c>
      <c r="AM572">
        <f>CORREL(Table1[MonthlyIncome],AK572:AK2041)</f>
        <v>-2.8135611622419673E-2</v>
      </c>
      <c r="AN572">
        <f>CORREL(Table1[YearsAtCompany],AK572:AK2041)</f>
        <v>4.386434282626403E-2</v>
      </c>
      <c r="AO572">
        <f t="shared" si="8"/>
        <v>0</v>
      </c>
    </row>
    <row r="573" spans="1:41" x14ac:dyDescent="0.25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  <c r="AK573" s="4">
        <f>IF(Table1[[#This Row],[Attrition]]="Yes", 1,0)</f>
        <v>0</v>
      </c>
      <c r="AL573">
        <f>CORREL(Table1[Age],AK573:AK2042)</f>
        <v>-1.4851964923080031E-2</v>
      </c>
      <c r="AM573">
        <f>CORREL(Table1[MonthlyIncome],AK573:AK2042)</f>
        <v>-2.8853835028674175E-2</v>
      </c>
      <c r="AN573">
        <f>CORREL(Table1[YearsAtCompany],AK573:AK2042)</f>
        <v>-4.519343546733981E-2</v>
      </c>
      <c r="AO573">
        <f t="shared" si="8"/>
        <v>0</v>
      </c>
    </row>
    <row r="574" spans="1:41" x14ac:dyDescent="0.25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  <c r="AK574" s="4">
        <f>IF(Table1[[#This Row],[Attrition]]="Yes", 1,0)</f>
        <v>0</v>
      </c>
      <c r="AL574">
        <f>CORREL(Table1[Age],AK574:AK2043)</f>
        <v>-1.1383617518374101E-3</v>
      </c>
      <c r="AM574">
        <f>CORREL(Table1[MonthlyIncome],AK574:AK2043)</f>
        <v>-2.473309787220283E-2</v>
      </c>
      <c r="AN574">
        <f>CORREL(Table1[YearsAtCompany],AK574:AK2043)</f>
        <v>3.2007592085879041E-2</v>
      </c>
      <c r="AO574">
        <f t="shared" si="8"/>
        <v>0</v>
      </c>
    </row>
    <row r="575" spans="1:41" x14ac:dyDescent="0.25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  <c r="AK575" s="4">
        <f>IF(Table1[[#This Row],[Attrition]]="Yes", 1,0)</f>
        <v>1</v>
      </c>
      <c r="AL575">
        <f>CORREL(Table1[Age],AK575:AK2044)</f>
        <v>5.4724897705415434E-3</v>
      </c>
      <c r="AM575">
        <f>CORREL(Table1[MonthlyIncome],AK575:AK2044)</f>
        <v>6.1560456631186921E-4</v>
      </c>
      <c r="AN575">
        <f>CORREL(Table1[YearsAtCompany],AK575:AK2044)</f>
        <v>-2.3162307531538227E-2</v>
      </c>
      <c r="AO575">
        <f t="shared" si="8"/>
        <v>1</v>
      </c>
    </row>
    <row r="576" spans="1:41" x14ac:dyDescent="0.25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  <c r="AK576" s="4">
        <f>IF(Table1[[#This Row],[Attrition]]="Yes", 1,0)</f>
        <v>0</v>
      </c>
      <c r="AL576">
        <f>CORREL(Table1[Age],AK576:AK2045)</f>
        <v>3.7552736974348348E-2</v>
      </c>
      <c r="AM576">
        <f>CORREL(Table1[MonthlyIncome],AK576:AK2045)</f>
        <v>5.5072638799472627E-2</v>
      </c>
      <c r="AN576">
        <f>CORREL(Table1[YearsAtCompany],AK576:AK2045)</f>
        <v>1.9282575723682468E-2</v>
      </c>
      <c r="AO576">
        <f t="shared" si="8"/>
        <v>0</v>
      </c>
    </row>
    <row r="577" spans="1:41" x14ac:dyDescent="0.25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  <c r="AK577" s="4">
        <f>IF(Table1[[#This Row],[Attrition]]="Yes", 1,0)</f>
        <v>0</v>
      </c>
      <c r="AL577">
        <f>CORREL(Table1[Age],AK577:AK2046)</f>
        <v>1.6156904091002777E-3</v>
      </c>
      <c r="AM577">
        <f>CORREL(Table1[MonthlyIncome],AK577:AK2046)</f>
        <v>-4.8617654246184763E-2</v>
      </c>
      <c r="AN577">
        <f>CORREL(Table1[YearsAtCompany],AK577:AK2046)</f>
        <v>-2.0198923363824978E-2</v>
      </c>
      <c r="AO577">
        <f t="shared" si="8"/>
        <v>0</v>
      </c>
    </row>
    <row r="578" spans="1:41" x14ac:dyDescent="0.25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  <c r="AK578" s="4">
        <f>IF(Table1[[#This Row],[Attrition]]="Yes", 1,0)</f>
        <v>0</v>
      </c>
      <c r="AL578">
        <f>CORREL(Table1[Age],AK578:AK2047)</f>
        <v>-2.4491941486873139E-2</v>
      </c>
      <c r="AM578">
        <f>CORREL(Table1[MonthlyIncome],AK578:AK2047)</f>
        <v>1.4669434902654321E-2</v>
      </c>
      <c r="AN578">
        <f>CORREL(Table1[YearsAtCompany],AK578:AK2047)</f>
        <v>-1.5156092686818773E-2</v>
      </c>
      <c r="AO578">
        <f t="shared" si="8"/>
        <v>0</v>
      </c>
    </row>
    <row r="579" spans="1:41" x14ac:dyDescent="0.25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  <c r="AK579" s="4">
        <f>IF(Table1[[#This Row],[Attrition]]="Yes", 1,0)</f>
        <v>0</v>
      </c>
      <c r="AL579">
        <f>CORREL(Table1[Age],AK579:AK2048)</f>
        <v>1.0158511070898501E-2</v>
      </c>
      <c r="AM579">
        <f>CORREL(Table1[MonthlyIncome],AK579:AK2048)</f>
        <v>1.8001774612670048E-2</v>
      </c>
      <c r="AN579">
        <f>CORREL(Table1[YearsAtCompany],AK579:AK2048)</f>
        <v>1.832924728680114E-3</v>
      </c>
      <c r="AO579">
        <f t="shared" ref="AO579:AO642" si="9">ABS(AK579)</f>
        <v>0</v>
      </c>
    </row>
    <row r="580" spans="1:41" x14ac:dyDescent="0.25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  <c r="AK580" s="4">
        <f>IF(Table1[[#This Row],[Attrition]]="Yes", 1,0)</f>
        <v>0</v>
      </c>
      <c r="AL580">
        <f>CORREL(Table1[Age],AK580:AK2049)</f>
        <v>4.2124359330571584E-2</v>
      </c>
      <c r="AM580">
        <f>CORREL(Table1[MonthlyIncome],AK580:AK2049)</f>
        <v>4.9297712068973728E-3</v>
      </c>
      <c r="AN580">
        <f>CORREL(Table1[YearsAtCompany],AK580:AK2049)</f>
        <v>-4.9644301544620878E-2</v>
      </c>
      <c r="AO580">
        <f t="shared" si="9"/>
        <v>0</v>
      </c>
    </row>
    <row r="581" spans="1:41" x14ac:dyDescent="0.25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  <c r="AK581" s="4">
        <f>IF(Table1[[#This Row],[Attrition]]="Yes", 1,0)</f>
        <v>0</v>
      </c>
      <c r="AL581">
        <f>CORREL(Table1[Age],AK581:AK2050)</f>
        <v>3.2842766021112323E-2</v>
      </c>
      <c r="AM581">
        <f>CORREL(Table1[MonthlyIncome],AK581:AK2050)</f>
        <v>-3.3735871446216162E-2</v>
      </c>
      <c r="AN581">
        <f>CORREL(Table1[YearsAtCompany],AK581:AK2050)</f>
        <v>-2.0539250027277453E-2</v>
      </c>
      <c r="AO581">
        <f t="shared" si="9"/>
        <v>0</v>
      </c>
    </row>
    <row r="582" spans="1:41" x14ac:dyDescent="0.25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  <c r="AK582" s="4">
        <f>IF(Table1[[#This Row],[Attrition]]="Yes", 1,0)</f>
        <v>0</v>
      </c>
      <c r="AL582">
        <f>CORREL(Table1[Age],AK582:AK2051)</f>
        <v>6.066591779002585E-2</v>
      </c>
      <c r="AM582">
        <f>CORREL(Table1[MonthlyIncome],AK582:AK2051)</f>
        <v>2.7189631756508664E-2</v>
      </c>
      <c r="AN582">
        <f>CORREL(Table1[YearsAtCompany],AK582:AK2051)</f>
        <v>6.6903415033164729E-2</v>
      </c>
      <c r="AO582">
        <f t="shared" si="9"/>
        <v>0</v>
      </c>
    </row>
    <row r="583" spans="1:41" x14ac:dyDescent="0.25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  <c r="AK583" s="4">
        <f>IF(Table1[[#This Row],[Attrition]]="Yes", 1,0)</f>
        <v>0</v>
      </c>
      <c r="AL583">
        <f>CORREL(Table1[Age],AK583:AK2052)</f>
        <v>-1.8450620064043226E-2</v>
      </c>
      <c r="AM583">
        <f>CORREL(Table1[MonthlyIncome],AK583:AK2052)</f>
        <v>8.4289842146756874E-3</v>
      </c>
      <c r="AN583">
        <f>CORREL(Table1[YearsAtCompany],AK583:AK2052)</f>
        <v>2.0378520025701324E-2</v>
      </c>
      <c r="AO583">
        <f t="shared" si="9"/>
        <v>0</v>
      </c>
    </row>
    <row r="584" spans="1:41" x14ac:dyDescent="0.25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  <c r="AK584" s="4">
        <f>IF(Table1[[#This Row],[Attrition]]="Yes", 1,0)</f>
        <v>0</v>
      </c>
      <c r="AL584">
        <f>CORREL(Table1[Age],AK584:AK2053)</f>
        <v>-8.1013856393248734E-2</v>
      </c>
      <c r="AM584">
        <f>CORREL(Table1[MonthlyIncome],AK584:AK2053)</f>
        <v>-5.642113648876778E-2</v>
      </c>
      <c r="AN584">
        <f>CORREL(Table1[YearsAtCompany],AK584:AK2053)</f>
        <v>-4.0304683298090879E-2</v>
      </c>
      <c r="AO584">
        <f t="shared" si="9"/>
        <v>0</v>
      </c>
    </row>
    <row r="585" spans="1:41" x14ac:dyDescent="0.25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  <c r="AK585" s="4">
        <f>IF(Table1[[#This Row],[Attrition]]="Yes", 1,0)</f>
        <v>0</v>
      </c>
      <c r="AL585">
        <f>CORREL(Table1[Age],AK585:AK2054)</f>
        <v>4.7107324645180602E-2</v>
      </c>
      <c r="AM585">
        <f>CORREL(Table1[MonthlyIncome],AK585:AK2054)</f>
        <v>9.2868010362709127E-2</v>
      </c>
      <c r="AN585">
        <f>CORREL(Table1[YearsAtCompany],AK585:AK2054)</f>
        <v>6.3790429093796064E-2</v>
      </c>
      <c r="AO585">
        <f t="shared" si="9"/>
        <v>0</v>
      </c>
    </row>
    <row r="586" spans="1:41" x14ac:dyDescent="0.25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  <c r="AK586" s="4">
        <f>IF(Table1[[#This Row],[Attrition]]="Yes", 1,0)</f>
        <v>0</v>
      </c>
      <c r="AL586">
        <f>CORREL(Table1[Age],AK586:AK2055)</f>
        <v>2.3761736420993478E-2</v>
      </c>
      <c r="AM586">
        <f>CORREL(Table1[MonthlyIncome],AK586:AK2055)</f>
        <v>1.4222063191399084E-2</v>
      </c>
      <c r="AN586">
        <f>CORREL(Table1[YearsAtCompany],AK586:AK2055)</f>
        <v>-4.8215271454335268E-2</v>
      </c>
      <c r="AO586">
        <f t="shared" si="9"/>
        <v>0</v>
      </c>
    </row>
    <row r="587" spans="1:41" x14ac:dyDescent="0.25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  <c r="AK587" s="4">
        <f>IF(Table1[[#This Row],[Attrition]]="Yes", 1,0)</f>
        <v>1</v>
      </c>
      <c r="AL587">
        <f>CORREL(Table1[Age],AK587:AK2056)</f>
        <v>-6.3587677614827367E-3</v>
      </c>
      <c r="AM587">
        <f>CORREL(Table1[MonthlyIncome],AK587:AK2056)</f>
        <v>4.373481750454062E-2</v>
      </c>
      <c r="AN587">
        <f>CORREL(Table1[YearsAtCompany],AK587:AK2056)</f>
        <v>2.5809417685335512E-2</v>
      </c>
      <c r="AO587">
        <f t="shared" si="9"/>
        <v>1</v>
      </c>
    </row>
    <row r="588" spans="1:41" x14ac:dyDescent="0.25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  <c r="AK588" s="4">
        <f>IF(Table1[[#This Row],[Attrition]]="Yes", 1,0)</f>
        <v>0</v>
      </c>
      <c r="AL588">
        <f>CORREL(Table1[Age],AK588:AK2057)</f>
        <v>-5.0784747689597023E-2</v>
      </c>
      <c r="AM588">
        <f>CORREL(Table1[MonthlyIncome],AK588:AK2057)</f>
        <v>-1.4572842960078913E-2</v>
      </c>
      <c r="AN588">
        <f>CORREL(Table1[YearsAtCompany],AK588:AK2057)</f>
        <v>2.6680839749801271E-2</v>
      </c>
      <c r="AO588">
        <f t="shared" si="9"/>
        <v>0</v>
      </c>
    </row>
    <row r="589" spans="1:41" x14ac:dyDescent="0.25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  <c r="AK589" s="4">
        <f>IF(Table1[[#This Row],[Attrition]]="Yes", 1,0)</f>
        <v>0</v>
      </c>
      <c r="AL589">
        <f>CORREL(Table1[Age],AK589:AK2058)</f>
        <v>1.6745623869945437E-3</v>
      </c>
      <c r="AM589">
        <f>CORREL(Table1[MonthlyIncome],AK589:AK2058)</f>
        <v>3.4384428740363689E-2</v>
      </c>
      <c r="AN589">
        <f>CORREL(Table1[YearsAtCompany],AK589:AK2058)</f>
        <v>5.1473670387078875E-2</v>
      </c>
      <c r="AO589">
        <f t="shared" si="9"/>
        <v>0</v>
      </c>
    </row>
    <row r="590" spans="1:41" x14ac:dyDescent="0.25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  <c r="AK590" s="4">
        <f>IF(Table1[[#This Row],[Attrition]]="Yes", 1,0)</f>
        <v>0</v>
      </c>
      <c r="AL590">
        <f>CORREL(Table1[Age],AK590:AK2059)</f>
        <v>3.9027413702206297E-2</v>
      </c>
      <c r="AM590">
        <f>CORREL(Table1[MonthlyIncome],AK590:AK2059)</f>
        <v>-8.4149380969385252E-3</v>
      </c>
      <c r="AN590">
        <f>CORREL(Table1[YearsAtCompany],AK590:AK2059)</f>
        <v>-7.5851040030399358E-2</v>
      </c>
      <c r="AO590">
        <f t="shared" si="9"/>
        <v>0</v>
      </c>
    </row>
    <row r="591" spans="1:41" x14ac:dyDescent="0.25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  <c r="AK591" s="4">
        <f>IF(Table1[[#This Row],[Attrition]]="Yes", 1,0)</f>
        <v>1</v>
      </c>
      <c r="AL591">
        <f>CORREL(Table1[Age],AK591:AK2060)</f>
        <v>1.5349302122052395E-2</v>
      </c>
      <c r="AM591">
        <f>CORREL(Table1[MonthlyIncome],AK591:AK2060)</f>
        <v>-3.4963974731692191E-3</v>
      </c>
      <c r="AN591">
        <f>CORREL(Table1[YearsAtCompany],AK591:AK2060)</f>
        <v>-6.5344685581704672E-3</v>
      </c>
      <c r="AO591">
        <f t="shared" si="9"/>
        <v>1</v>
      </c>
    </row>
    <row r="592" spans="1:41" x14ac:dyDescent="0.25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  <c r="AK592" s="4">
        <f>IF(Table1[[#This Row],[Attrition]]="Yes", 1,0)</f>
        <v>0</v>
      </c>
      <c r="AL592">
        <f>CORREL(Table1[Age],AK592:AK2061)</f>
        <v>1.6729972017344864E-2</v>
      </c>
      <c r="AM592">
        <f>CORREL(Table1[MonthlyIncome],AK592:AK2061)</f>
        <v>-2.7140428478617907E-2</v>
      </c>
      <c r="AN592">
        <f>CORREL(Table1[YearsAtCompany],AK592:AK2061)</f>
        <v>3.1890800345837036E-2</v>
      </c>
      <c r="AO592">
        <f t="shared" si="9"/>
        <v>0</v>
      </c>
    </row>
    <row r="593" spans="1:41" x14ac:dyDescent="0.25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  <c r="AK593" s="4">
        <f>IF(Table1[[#This Row],[Attrition]]="Yes", 1,0)</f>
        <v>1</v>
      </c>
      <c r="AL593">
        <f>CORREL(Table1[Age],AK593:AK2062)</f>
        <v>-4.2216643354486515E-3</v>
      </c>
      <c r="AM593">
        <f>CORREL(Table1[MonthlyIncome],AK593:AK2062)</f>
        <v>4.0960174986516364E-2</v>
      </c>
      <c r="AN593">
        <f>CORREL(Table1[YearsAtCompany],AK593:AK2062)</f>
        <v>3.0768900726333082E-2</v>
      </c>
      <c r="AO593">
        <f t="shared" si="9"/>
        <v>1</v>
      </c>
    </row>
    <row r="594" spans="1:41" x14ac:dyDescent="0.25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  <c r="AK594" s="4">
        <f>IF(Table1[[#This Row],[Attrition]]="Yes", 1,0)</f>
        <v>0</v>
      </c>
      <c r="AL594">
        <f>CORREL(Table1[Age],AK594:AK2063)</f>
        <v>-7.9369671028603414E-3</v>
      </c>
      <c r="AM594">
        <f>CORREL(Table1[MonthlyIncome],AK594:AK2063)</f>
        <v>2.3422379560232343E-2</v>
      </c>
      <c r="AN594">
        <f>CORREL(Table1[YearsAtCompany],AK594:AK2063)</f>
        <v>-2.3493237419349725E-2</v>
      </c>
      <c r="AO594">
        <f t="shared" si="9"/>
        <v>0</v>
      </c>
    </row>
    <row r="595" spans="1:41" x14ac:dyDescent="0.25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  <c r="AK595" s="4">
        <f>IF(Table1[[#This Row],[Attrition]]="Yes", 1,0)</f>
        <v>0</v>
      </c>
      <c r="AL595">
        <f>CORREL(Table1[Age],AK595:AK2064)</f>
        <v>-4.5244420750019311E-2</v>
      </c>
      <c r="AM595">
        <f>CORREL(Table1[MonthlyIncome],AK595:AK2064)</f>
        <v>-5.7442479163253582E-2</v>
      </c>
      <c r="AN595">
        <f>CORREL(Table1[YearsAtCompany],AK595:AK2064)</f>
        <v>-5.3797029856821631E-2</v>
      </c>
      <c r="AO595">
        <f t="shared" si="9"/>
        <v>0</v>
      </c>
    </row>
    <row r="596" spans="1:41" x14ac:dyDescent="0.25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  <c r="AK596" s="4">
        <f>IF(Table1[[#This Row],[Attrition]]="Yes", 1,0)</f>
        <v>0</v>
      </c>
      <c r="AL596">
        <f>CORREL(Table1[Age],AK596:AK2065)</f>
        <v>3.6737497064515838E-2</v>
      </c>
      <c r="AM596">
        <f>CORREL(Table1[MonthlyIncome],AK596:AK2065)</f>
        <v>2.5239862285031563E-2</v>
      </c>
      <c r="AN596">
        <f>CORREL(Table1[YearsAtCompany],AK596:AK2065)</f>
        <v>2.8195041546401869E-2</v>
      </c>
      <c r="AO596">
        <f t="shared" si="9"/>
        <v>0</v>
      </c>
    </row>
    <row r="597" spans="1:41" x14ac:dyDescent="0.25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  <c r="AK597" s="4">
        <f>IF(Table1[[#This Row],[Attrition]]="Yes", 1,0)</f>
        <v>1</v>
      </c>
      <c r="AL597">
        <f>CORREL(Table1[Age],AK597:AK2066)</f>
        <v>1.8691648371942461E-2</v>
      </c>
      <c r="AM597">
        <f>CORREL(Table1[MonthlyIncome],AK597:AK2066)</f>
        <v>-2.9669045538405887E-2</v>
      </c>
      <c r="AN597">
        <f>CORREL(Table1[YearsAtCompany],AK597:AK2066)</f>
        <v>-1.2237384948681587E-2</v>
      </c>
      <c r="AO597">
        <f t="shared" si="9"/>
        <v>1</v>
      </c>
    </row>
    <row r="598" spans="1:41" x14ac:dyDescent="0.25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  <c r="AK598" s="4">
        <f>IF(Table1[[#This Row],[Attrition]]="Yes", 1,0)</f>
        <v>0</v>
      </c>
      <c r="AL598">
        <f>CORREL(Table1[Age],AK598:AK2067)</f>
        <v>5.2711900060427808E-2</v>
      </c>
      <c r="AM598">
        <f>CORREL(Table1[MonthlyIncome],AK598:AK2067)</f>
        <v>-3.2710906732373365E-3</v>
      </c>
      <c r="AN598">
        <f>CORREL(Table1[YearsAtCompany],AK598:AK2067)</f>
        <v>-1.3026893363897096E-2</v>
      </c>
      <c r="AO598">
        <f t="shared" si="9"/>
        <v>0</v>
      </c>
    </row>
    <row r="599" spans="1:41" x14ac:dyDescent="0.25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  <c r="AK599" s="4">
        <f>IF(Table1[[#This Row],[Attrition]]="Yes", 1,0)</f>
        <v>0</v>
      </c>
      <c r="AL599">
        <f>CORREL(Table1[Age],AK599:AK2068)</f>
        <v>5.3661552896248008E-2</v>
      </c>
      <c r="AM599">
        <f>CORREL(Table1[MonthlyIncome],AK599:AK2068)</f>
        <v>1.0092362893113329E-2</v>
      </c>
      <c r="AN599">
        <f>CORREL(Table1[YearsAtCompany],AK599:AK2068)</f>
        <v>-1.4006254416879142E-2</v>
      </c>
      <c r="AO599">
        <f t="shared" si="9"/>
        <v>0</v>
      </c>
    </row>
    <row r="600" spans="1:41" x14ac:dyDescent="0.25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  <c r="AK600" s="4">
        <f>IF(Table1[[#This Row],[Attrition]]="Yes", 1,0)</f>
        <v>1</v>
      </c>
      <c r="AL600">
        <f>CORREL(Table1[Age],AK600:AK2069)</f>
        <v>-1.4981993447374574E-2</v>
      </c>
      <c r="AM600">
        <f>CORREL(Table1[MonthlyIncome],AK600:AK2069)</f>
        <v>-1.3124788756905537E-2</v>
      </c>
      <c r="AN600">
        <f>CORREL(Table1[YearsAtCompany],AK600:AK2069)</f>
        <v>-2.4066054616851556E-2</v>
      </c>
      <c r="AO600">
        <f t="shared" si="9"/>
        <v>1</v>
      </c>
    </row>
    <row r="601" spans="1:41" x14ac:dyDescent="0.25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  <c r="AK601" s="4">
        <f>IF(Table1[[#This Row],[Attrition]]="Yes", 1,0)</f>
        <v>0</v>
      </c>
      <c r="AL601">
        <f>CORREL(Table1[Age],AK601:AK2070)</f>
        <v>-4.1619892248573858E-3</v>
      </c>
      <c r="AM601">
        <f>CORREL(Table1[MonthlyIncome],AK601:AK2070)</f>
        <v>-1.3169321106137647E-3</v>
      </c>
      <c r="AN601">
        <f>CORREL(Table1[YearsAtCompany],AK601:AK2070)</f>
        <v>-3.8926547453273688E-2</v>
      </c>
      <c r="AO601">
        <f t="shared" si="9"/>
        <v>0</v>
      </c>
    </row>
    <row r="602" spans="1:41" x14ac:dyDescent="0.25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  <c r="AK602" s="4">
        <f>IF(Table1[[#This Row],[Attrition]]="Yes", 1,0)</f>
        <v>0</v>
      </c>
      <c r="AL602">
        <f>CORREL(Table1[Age],AK602:AK2071)</f>
        <v>-5.9266339643902531E-3</v>
      </c>
      <c r="AM602">
        <f>CORREL(Table1[MonthlyIncome],AK602:AK2071)</f>
        <v>-4.8226621792319201E-2</v>
      </c>
      <c r="AN602">
        <f>CORREL(Table1[YearsAtCompany],AK602:AK2071)</f>
        <v>-4.8282457797807585E-2</v>
      </c>
      <c r="AO602">
        <f t="shared" si="9"/>
        <v>0</v>
      </c>
    </row>
    <row r="603" spans="1:41" x14ac:dyDescent="0.25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  <c r="AK603" s="4">
        <f>IF(Table1[[#This Row],[Attrition]]="Yes", 1,0)</f>
        <v>0</v>
      </c>
      <c r="AL603">
        <f>CORREL(Table1[Age],AK603:AK2072)</f>
        <v>2.6460834055843211E-2</v>
      </c>
      <c r="AM603">
        <f>CORREL(Table1[MonthlyIncome],AK603:AK2072)</f>
        <v>3.1326835314245606E-2</v>
      </c>
      <c r="AN603">
        <f>CORREL(Table1[YearsAtCompany],AK603:AK2072)</f>
        <v>4.8478293435236637E-2</v>
      </c>
      <c r="AO603">
        <f t="shared" si="9"/>
        <v>0</v>
      </c>
    </row>
    <row r="604" spans="1:41" x14ac:dyDescent="0.25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  <c r="AK604" s="4">
        <f>IF(Table1[[#This Row],[Attrition]]="Yes", 1,0)</f>
        <v>0</v>
      </c>
      <c r="AL604">
        <f>CORREL(Table1[Age],AK604:AK2073)</f>
        <v>-3.3184633670981623E-2</v>
      </c>
      <c r="AM604">
        <f>CORREL(Table1[MonthlyIncome],AK604:AK2073)</f>
        <v>-5.983137224477803E-3</v>
      </c>
      <c r="AN604">
        <f>CORREL(Table1[YearsAtCompany],AK604:AK2073)</f>
        <v>5.185342570406723E-2</v>
      </c>
      <c r="AO604">
        <f t="shared" si="9"/>
        <v>0</v>
      </c>
    </row>
    <row r="605" spans="1:41" x14ac:dyDescent="0.25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  <c r="AK605" s="4">
        <f>IF(Table1[[#This Row],[Attrition]]="Yes", 1,0)</f>
        <v>0</v>
      </c>
      <c r="AL605">
        <f>CORREL(Table1[Age],AK605:AK2074)</f>
        <v>-3.2174436348464466E-2</v>
      </c>
      <c r="AM605">
        <f>CORREL(Table1[MonthlyIncome],AK605:AK2074)</f>
        <v>2.8959932579625649E-3</v>
      </c>
      <c r="AN605">
        <f>CORREL(Table1[YearsAtCompany],AK605:AK2074)</f>
        <v>-1.6032127187578148E-2</v>
      </c>
      <c r="AO605">
        <f t="shared" si="9"/>
        <v>0</v>
      </c>
    </row>
    <row r="606" spans="1:41" x14ac:dyDescent="0.25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  <c r="AK606" s="4">
        <f>IF(Table1[[#This Row],[Attrition]]="Yes", 1,0)</f>
        <v>0</v>
      </c>
      <c r="AL606">
        <f>CORREL(Table1[Age],AK606:AK2075)</f>
        <v>4.1565556292304719E-2</v>
      </c>
      <c r="AM606">
        <f>CORREL(Table1[MonthlyIncome],AK606:AK2075)</f>
        <v>-5.2265611278183039E-3</v>
      </c>
      <c r="AN606">
        <f>CORREL(Table1[YearsAtCompany],AK606:AK2075)</f>
        <v>4.2564652181021873E-2</v>
      </c>
      <c r="AO606">
        <f t="shared" si="9"/>
        <v>0</v>
      </c>
    </row>
    <row r="607" spans="1:41" x14ac:dyDescent="0.25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  <c r="AK607" s="4">
        <f>IF(Table1[[#This Row],[Attrition]]="Yes", 1,0)</f>
        <v>0</v>
      </c>
      <c r="AL607">
        <f>CORREL(Table1[Age],AK607:AK2076)</f>
        <v>4.7199156949116486E-2</v>
      </c>
      <c r="AM607">
        <f>CORREL(Table1[MonthlyIncome],AK607:AK2076)</f>
        <v>3.381511170293771E-2</v>
      </c>
      <c r="AN607">
        <f>CORREL(Table1[YearsAtCompany],AK607:AK2076)</f>
        <v>5.1210571768148576E-2</v>
      </c>
      <c r="AO607">
        <f t="shared" si="9"/>
        <v>0</v>
      </c>
    </row>
    <row r="608" spans="1:41" x14ac:dyDescent="0.25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  <c r="AK608" s="4">
        <f>IF(Table1[[#This Row],[Attrition]]="Yes", 1,0)</f>
        <v>0</v>
      </c>
      <c r="AL608">
        <f>CORREL(Table1[Age],AK608:AK2077)</f>
        <v>8.6746134309996184E-2</v>
      </c>
      <c r="AM608">
        <f>CORREL(Table1[MonthlyIncome],AK608:AK2077)</f>
        <v>1.5309430615417011E-2</v>
      </c>
      <c r="AN608">
        <f>CORREL(Table1[YearsAtCompany],AK608:AK2077)</f>
        <v>5.5689877565318444E-2</v>
      </c>
      <c r="AO608">
        <f t="shared" si="9"/>
        <v>0</v>
      </c>
    </row>
    <row r="609" spans="1:41" x14ac:dyDescent="0.25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  <c r="AK609" s="4">
        <f>IF(Table1[[#This Row],[Attrition]]="Yes", 1,0)</f>
        <v>1</v>
      </c>
      <c r="AL609">
        <f>CORREL(Table1[Age],AK609:AK2078)</f>
        <v>-2.4741563073303961E-2</v>
      </c>
      <c r="AM609">
        <f>CORREL(Table1[MonthlyIncome],AK609:AK2078)</f>
        <v>-2.0947756943339141E-2</v>
      </c>
      <c r="AN609">
        <f>CORREL(Table1[YearsAtCompany],AK609:AK2078)</f>
        <v>-7.4193412586895542E-4</v>
      </c>
      <c r="AO609">
        <f t="shared" si="9"/>
        <v>1</v>
      </c>
    </row>
    <row r="610" spans="1:41" x14ac:dyDescent="0.25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  <c r="AK610" s="4">
        <f>IF(Table1[[#This Row],[Attrition]]="Yes", 1,0)</f>
        <v>1</v>
      </c>
      <c r="AL610">
        <f>CORREL(Table1[Age],AK610:AK2079)</f>
        <v>6.6238951584617492E-3</v>
      </c>
      <c r="AM610">
        <f>CORREL(Table1[MonthlyIncome],AK610:AK2079)</f>
        <v>-1.5155342635015067E-2</v>
      </c>
      <c r="AN610">
        <f>CORREL(Table1[YearsAtCompany],AK610:AK2079)</f>
        <v>2.1969695339153161E-2</v>
      </c>
      <c r="AO610">
        <f t="shared" si="9"/>
        <v>1</v>
      </c>
    </row>
    <row r="611" spans="1:41" x14ac:dyDescent="0.25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  <c r="AK611" s="4">
        <f>IF(Table1[[#This Row],[Attrition]]="Yes", 1,0)</f>
        <v>0</v>
      </c>
      <c r="AL611">
        <f>CORREL(Table1[Age],AK611:AK2080)</f>
        <v>-1.2011492180954901E-2</v>
      </c>
      <c r="AM611">
        <f>CORREL(Table1[MonthlyIncome],AK611:AK2080)</f>
        <v>-1.4838648610760029E-2</v>
      </c>
      <c r="AN611">
        <f>CORREL(Table1[YearsAtCompany],AK611:AK2080)</f>
        <v>2.9203102384417059E-2</v>
      </c>
      <c r="AO611">
        <f t="shared" si="9"/>
        <v>0</v>
      </c>
    </row>
    <row r="612" spans="1:41" x14ac:dyDescent="0.25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  <c r="AK612" s="4">
        <f>IF(Table1[[#This Row],[Attrition]]="Yes", 1,0)</f>
        <v>0</v>
      </c>
      <c r="AL612">
        <f>CORREL(Table1[Age],AK612:AK2081)</f>
        <v>1.5710114498057544E-2</v>
      </c>
      <c r="AM612">
        <f>CORREL(Table1[MonthlyIncome],AK612:AK2081)</f>
        <v>1.7811121683399902E-2</v>
      </c>
      <c r="AN612">
        <f>CORREL(Table1[YearsAtCompany],AK612:AK2081)</f>
        <v>3.415488343663791E-2</v>
      </c>
      <c r="AO612">
        <f t="shared" si="9"/>
        <v>0</v>
      </c>
    </row>
    <row r="613" spans="1:41" x14ac:dyDescent="0.25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  <c r="AK613" s="4">
        <f>IF(Table1[[#This Row],[Attrition]]="Yes", 1,0)</f>
        <v>0</v>
      </c>
      <c r="AL613">
        <f>CORREL(Table1[Age],AK613:AK2082)</f>
        <v>2.133401984335654E-2</v>
      </c>
      <c r="AM613">
        <f>CORREL(Table1[MonthlyIncome],AK613:AK2082)</f>
        <v>3.3694084414741185E-2</v>
      </c>
      <c r="AN613">
        <f>CORREL(Table1[YearsAtCompany],AK613:AK2082)</f>
        <v>5.1999992245887701E-2</v>
      </c>
      <c r="AO613">
        <f t="shared" si="9"/>
        <v>0</v>
      </c>
    </row>
    <row r="614" spans="1:41" x14ac:dyDescent="0.25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  <c r="AK614" s="4">
        <f>IF(Table1[[#This Row],[Attrition]]="Yes", 1,0)</f>
        <v>0</v>
      </c>
      <c r="AL614">
        <f>CORREL(Table1[Age],AK614:AK2083)</f>
        <v>1.3170614904269138E-2</v>
      </c>
      <c r="AM614">
        <f>CORREL(Table1[MonthlyIncome],AK614:AK2083)</f>
        <v>-9.7145282484399715E-5</v>
      </c>
      <c r="AN614">
        <f>CORREL(Table1[YearsAtCompany],AK614:AK2083)</f>
        <v>-3.0077744251575046E-3</v>
      </c>
      <c r="AO614">
        <f t="shared" si="9"/>
        <v>0</v>
      </c>
    </row>
    <row r="615" spans="1:41" x14ac:dyDescent="0.25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  <c r="AK615" s="4">
        <f>IF(Table1[[#This Row],[Attrition]]="Yes", 1,0)</f>
        <v>0</v>
      </c>
      <c r="AL615">
        <f>CORREL(Table1[Age],AK615:AK2084)</f>
        <v>4.4907802513342449E-2</v>
      </c>
      <c r="AM615">
        <f>CORREL(Table1[MonthlyIncome],AK615:AK2084)</f>
        <v>3.2085405751674095E-2</v>
      </c>
      <c r="AN615">
        <f>CORREL(Table1[YearsAtCompany],AK615:AK2084)</f>
        <v>1.7918289697956447E-2</v>
      </c>
      <c r="AO615">
        <f t="shared" si="9"/>
        <v>0</v>
      </c>
    </row>
    <row r="616" spans="1:41" x14ac:dyDescent="0.25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  <c r="AK616" s="4">
        <f>IF(Table1[[#This Row],[Attrition]]="Yes", 1,0)</f>
        <v>1</v>
      </c>
      <c r="AL616">
        <f>CORREL(Table1[Age],AK616:AK2085)</f>
        <v>1.1309304960524843E-2</v>
      </c>
      <c r="AM616">
        <f>CORREL(Table1[MonthlyIncome],AK616:AK2085)</f>
        <v>3.1147749375858905E-2</v>
      </c>
      <c r="AN616">
        <f>CORREL(Table1[YearsAtCompany],AK616:AK2085)</f>
        <v>-3.6531852505337359E-2</v>
      </c>
      <c r="AO616">
        <f t="shared" si="9"/>
        <v>1</v>
      </c>
    </row>
    <row r="617" spans="1:41" x14ac:dyDescent="0.25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  <c r="AK617" s="4">
        <f>IF(Table1[[#This Row],[Attrition]]="Yes", 1,0)</f>
        <v>0</v>
      </c>
      <c r="AL617">
        <f>CORREL(Table1[Age],AK617:AK2086)</f>
        <v>-2.7291541001679655E-2</v>
      </c>
      <c r="AM617">
        <f>CORREL(Table1[MonthlyIncome],AK617:AK2086)</f>
        <v>-1.5895568905931089E-2</v>
      </c>
      <c r="AN617">
        <f>CORREL(Table1[YearsAtCompany],AK617:AK2086)</f>
        <v>-4.4630421539569004E-2</v>
      </c>
      <c r="AO617">
        <f t="shared" si="9"/>
        <v>0</v>
      </c>
    </row>
    <row r="618" spans="1:41" x14ac:dyDescent="0.25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  <c r="AK618" s="4">
        <f>IF(Table1[[#This Row],[Attrition]]="Yes", 1,0)</f>
        <v>0</v>
      </c>
      <c r="AL618">
        <f>CORREL(Table1[Age],AK618:AK2087)</f>
        <v>3.6382825657209541E-3</v>
      </c>
      <c r="AM618">
        <f>CORREL(Table1[MonthlyIncome],AK618:AK2087)</f>
        <v>2.0057595347414492E-3</v>
      </c>
      <c r="AN618">
        <f>CORREL(Table1[YearsAtCompany],AK618:AK2087)</f>
        <v>-4.9999536119322618E-2</v>
      </c>
      <c r="AO618">
        <f t="shared" si="9"/>
        <v>0</v>
      </c>
    </row>
    <row r="619" spans="1:41" x14ac:dyDescent="0.25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  <c r="AK619" s="4">
        <f>IF(Table1[[#This Row],[Attrition]]="Yes", 1,0)</f>
        <v>0</v>
      </c>
      <c r="AL619">
        <f>CORREL(Table1[Age],AK619:AK2088)</f>
        <v>-1.7047439553810991E-2</v>
      </c>
      <c r="AM619">
        <f>CORREL(Table1[MonthlyIncome],AK619:AK2088)</f>
        <v>-8.0726060783346126E-2</v>
      </c>
      <c r="AN619">
        <f>CORREL(Table1[YearsAtCompany],AK619:AK2088)</f>
        <v>-4.9018368207134434E-2</v>
      </c>
      <c r="AO619">
        <f t="shared" si="9"/>
        <v>0</v>
      </c>
    </row>
    <row r="620" spans="1:41" x14ac:dyDescent="0.25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  <c r="AK620" s="4">
        <f>IF(Table1[[#This Row],[Attrition]]="Yes", 1,0)</f>
        <v>0</v>
      </c>
      <c r="AL620">
        <f>CORREL(Table1[Age],AK620:AK2089)</f>
        <v>3.4828849056768391E-2</v>
      </c>
      <c r="AM620">
        <f>CORREL(Table1[MonthlyIncome],AK620:AK2089)</f>
        <v>1.1270841871006071E-2</v>
      </c>
      <c r="AN620">
        <f>CORREL(Table1[YearsAtCompany],AK620:AK2089)</f>
        <v>1.9110831329837253E-2</v>
      </c>
      <c r="AO620">
        <f t="shared" si="9"/>
        <v>0</v>
      </c>
    </row>
    <row r="621" spans="1:41" x14ac:dyDescent="0.25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  <c r="AK621" s="4">
        <f>IF(Table1[[#This Row],[Attrition]]="Yes", 1,0)</f>
        <v>0</v>
      </c>
      <c r="AL621">
        <f>CORREL(Table1[Age],AK621:AK2090)</f>
        <v>-1.4770687027148781E-2</v>
      </c>
      <c r="AM621">
        <f>CORREL(Table1[MonthlyIncome],AK621:AK2090)</f>
        <v>-6.1131258351539777E-2</v>
      </c>
      <c r="AN621">
        <f>CORREL(Table1[YearsAtCompany],AK621:AK2090)</f>
        <v>-5.7508017306809323E-2</v>
      </c>
      <c r="AO621">
        <f t="shared" si="9"/>
        <v>0</v>
      </c>
    </row>
    <row r="622" spans="1:41" x14ac:dyDescent="0.25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  <c r="AK622" s="4">
        <f>IF(Table1[[#This Row],[Attrition]]="Yes", 1,0)</f>
        <v>0</v>
      </c>
      <c r="AL622">
        <f>CORREL(Table1[Age],AK622:AK2091)</f>
        <v>6.5369774424135468E-2</v>
      </c>
      <c r="AM622">
        <f>CORREL(Table1[MonthlyIncome],AK622:AK2091)</f>
        <v>-2.2461005013947352E-3</v>
      </c>
      <c r="AN622">
        <f>CORREL(Table1[YearsAtCompany],AK622:AK2091)</f>
        <v>-2.6765394019347935E-3</v>
      </c>
      <c r="AO622">
        <f t="shared" si="9"/>
        <v>0</v>
      </c>
    </row>
    <row r="623" spans="1:41" x14ac:dyDescent="0.25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  <c r="AK623" s="4">
        <f>IF(Table1[[#This Row],[Attrition]]="Yes", 1,0)</f>
        <v>0</v>
      </c>
      <c r="AL623">
        <f>CORREL(Table1[Age],AK623:AK2092)</f>
        <v>-1.417747118129032E-3</v>
      </c>
      <c r="AM623">
        <f>CORREL(Table1[MonthlyIncome],AK623:AK2092)</f>
        <v>-2.5630446944583628E-2</v>
      </c>
      <c r="AN623">
        <f>CORREL(Table1[YearsAtCompany],AK623:AK2092)</f>
        <v>-3.1120677760790999E-2</v>
      </c>
      <c r="AO623">
        <f t="shared" si="9"/>
        <v>0</v>
      </c>
    </row>
    <row r="624" spans="1:41" x14ac:dyDescent="0.25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  <c r="AK624" s="4">
        <f>IF(Table1[[#This Row],[Attrition]]="Yes", 1,0)</f>
        <v>0</v>
      </c>
      <c r="AL624">
        <f>CORREL(Table1[Age],AK624:AK2093)</f>
        <v>-2.8799247209854974E-2</v>
      </c>
      <c r="AM624">
        <f>CORREL(Table1[MonthlyIncome],AK624:AK2093)</f>
        <v>-4.5216210510542042E-3</v>
      </c>
      <c r="AN624">
        <f>CORREL(Table1[YearsAtCompany],AK624:AK2093)</f>
        <v>4.7528753604143152E-2</v>
      </c>
      <c r="AO624">
        <f t="shared" si="9"/>
        <v>0</v>
      </c>
    </row>
    <row r="625" spans="1:41" x14ac:dyDescent="0.25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  <c r="AK625" s="4">
        <f>IF(Table1[[#This Row],[Attrition]]="Yes", 1,0)</f>
        <v>0</v>
      </c>
      <c r="AL625">
        <f>CORREL(Table1[Age],AK625:AK2094)</f>
        <v>-2.7603519550720462E-2</v>
      </c>
      <c r="AM625">
        <f>CORREL(Table1[MonthlyIncome],AK625:AK2094)</f>
        <v>-2.045916163642687E-2</v>
      </c>
      <c r="AN625">
        <f>CORREL(Table1[YearsAtCompany],AK625:AK2094)</f>
        <v>-9.9056594275805914E-3</v>
      </c>
      <c r="AO625">
        <f t="shared" si="9"/>
        <v>0</v>
      </c>
    </row>
    <row r="626" spans="1:41" x14ac:dyDescent="0.25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  <c r="AK626" s="4">
        <f>IF(Table1[[#This Row],[Attrition]]="Yes", 1,0)</f>
        <v>0</v>
      </c>
      <c r="AL626">
        <f>CORREL(Table1[Age],AK626:AK2095)</f>
        <v>-2.8186291533140381E-3</v>
      </c>
      <c r="AM626">
        <f>CORREL(Table1[MonthlyIncome],AK626:AK2095)</f>
        <v>-2.391362008814725E-2</v>
      </c>
      <c r="AN626">
        <f>CORREL(Table1[YearsAtCompany],AK626:AK2095)</f>
        <v>-3.5616373910795952E-2</v>
      </c>
      <c r="AO626">
        <f t="shared" si="9"/>
        <v>0</v>
      </c>
    </row>
    <row r="627" spans="1:41" x14ac:dyDescent="0.25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  <c r="AK627" s="4">
        <f>IF(Table1[[#This Row],[Attrition]]="Yes", 1,0)</f>
        <v>0</v>
      </c>
      <c r="AL627">
        <f>CORREL(Table1[Age],AK627:AK2096)</f>
        <v>1.9527672118155214E-2</v>
      </c>
      <c r="AM627">
        <f>CORREL(Table1[MonthlyIncome],AK627:AK2096)</f>
        <v>-6.0317906989578209E-3</v>
      </c>
      <c r="AN627">
        <f>CORREL(Table1[YearsAtCompany],AK627:AK2096)</f>
        <v>-4.2195162038137925E-2</v>
      </c>
      <c r="AO627">
        <f t="shared" si="9"/>
        <v>0</v>
      </c>
    </row>
    <row r="628" spans="1:41" x14ac:dyDescent="0.25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  <c r="AK628" s="4">
        <f>IF(Table1[[#This Row],[Attrition]]="Yes", 1,0)</f>
        <v>0</v>
      </c>
      <c r="AL628">
        <f>CORREL(Table1[Age],AK628:AK2097)</f>
        <v>5.2247466443677663E-2</v>
      </c>
      <c r="AM628">
        <f>CORREL(Table1[MonthlyIncome],AK628:AK2097)</f>
        <v>7.1649674398431562E-3</v>
      </c>
      <c r="AN628">
        <f>CORREL(Table1[YearsAtCompany],AK628:AK2097)</f>
        <v>4.9871128180988551E-2</v>
      </c>
      <c r="AO628">
        <f t="shared" si="9"/>
        <v>0</v>
      </c>
    </row>
    <row r="629" spans="1:41" x14ac:dyDescent="0.25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  <c r="AK629" s="4">
        <f>IF(Table1[[#This Row],[Attrition]]="Yes", 1,0)</f>
        <v>0</v>
      </c>
      <c r="AL629">
        <f>CORREL(Table1[Age],AK629:AK2098)</f>
        <v>-1.732004624439654E-2</v>
      </c>
      <c r="AM629">
        <f>CORREL(Table1[MonthlyIncome],AK629:AK2098)</f>
        <v>3.1732451085200689E-2</v>
      </c>
      <c r="AN629">
        <f>CORREL(Table1[YearsAtCompany],AK629:AK2098)</f>
        <v>3.5358800423023391E-3</v>
      </c>
      <c r="AO629">
        <f t="shared" si="9"/>
        <v>0</v>
      </c>
    </row>
    <row r="630" spans="1:41" x14ac:dyDescent="0.25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  <c r="AK630" s="4">
        <f>IF(Table1[[#This Row],[Attrition]]="Yes", 1,0)</f>
        <v>0</v>
      </c>
      <c r="AL630">
        <f>CORREL(Table1[Age],AK630:AK2099)</f>
        <v>-4.3473165999265706E-2</v>
      </c>
      <c r="AM630">
        <f>CORREL(Table1[MonthlyIncome],AK630:AK2099)</f>
        <v>-2.9237232431407748E-2</v>
      </c>
      <c r="AN630">
        <f>CORREL(Table1[YearsAtCompany],AK630:AK2099)</f>
        <v>-6.0557323167063741E-3</v>
      </c>
      <c r="AO630">
        <f t="shared" si="9"/>
        <v>0</v>
      </c>
    </row>
    <row r="631" spans="1:41" x14ac:dyDescent="0.25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  <c r="AK631" s="4">
        <f>IF(Table1[[#This Row],[Attrition]]="Yes", 1,0)</f>
        <v>0</v>
      </c>
      <c r="AL631">
        <f>CORREL(Table1[Age],AK631:AK2100)</f>
        <v>-3.5394788220026304E-3</v>
      </c>
      <c r="AM631">
        <f>CORREL(Table1[MonthlyIncome],AK631:AK2100)</f>
        <v>1.8977889330075853E-2</v>
      </c>
      <c r="AN631">
        <f>CORREL(Table1[YearsAtCompany],AK631:AK2100)</f>
        <v>-9.3417445078852104E-3</v>
      </c>
      <c r="AO631">
        <f t="shared" si="9"/>
        <v>0</v>
      </c>
    </row>
    <row r="632" spans="1:41" x14ac:dyDescent="0.25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  <c r="AK632" s="4">
        <f>IF(Table1[[#This Row],[Attrition]]="Yes", 1,0)</f>
        <v>0</v>
      </c>
      <c r="AL632">
        <f>CORREL(Table1[Age],AK632:AK2101)</f>
        <v>7.4388385011931832E-2</v>
      </c>
      <c r="AM632">
        <f>CORREL(Table1[MonthlyIncome],AK632:AK2101)</f>
        <v>-5.2419163301868216E-2</v>
      </c>
      <c r="AN632">
        <f>CORREL(Table1[YearsAtCompany],AK632:AK2101)</f>
        <v>-1.2796879785045732E-2</v>
      </c>
      <c r="AO632">
        <f t="shared" si="9"/>
        <v>0</v>
      </c>
    </row>
    <row r="633" spans="1:41" x14ac:dyDescent="0.25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  <c r="AK633" s="4">
        <f>IF(Table1[[#This Row],[Attrition]]="Yes", 1,0)</f>
        <v>0</v>
      </c>
      <c r="AL633">
        <f>CORREL(Table1[Age],AK633:AK2102)</f>
        <v>5.5384509557093115E-3</v>
      </c>
      <c r="AM633">
        <f>CORREL(Table1[MonthlyIncome],AK633:AK2102)</f>
        <v>-1.4801042567623501E-2</v>
      </c>
      <c r="AN633">
        <f>CORREL(Table1[YearsAtCompany],AK633:AK2102)</f>
        <v>-2.8546365269199295E-2</v>
      </c>
      <c r="AO633">
        <f t="shared" si="9"/>
        <v>0</v>
      </c>
    </row>
    <row r="634" spans="1:41" x14ac:dyDescent="0.25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  <c r="AK634" s="4">
        <f>IF(Table1[[#This Row],[Attrition]]="Yes", 1,0)</f>
        <v>0</v>
      </c>
      <c r="AL634">
        <f>CORREL(Table1[Age],AK634:AK2103)</f>
        <v>5.9598764926873646E-2</v>
      </c>
      <c r="AM634">
        <f>CORREL(Table1[MonthlyIncome],AK634:AK2103)</f>
        <v>9.7530461964159196E-3</v>
      </c>
      <c r="AN634">
        <f>CORREL(Table1[YearsAtCompany],AK634:AK2103)</f>
        <v>-2.2382672409846524E-2</v>
      </c>
      <c r="AO634">
        <f t="shared" si="9"/>
        <v>0</v>
      </c>
    </row>
    <row r="635" spans="1:41" x14ac:dyDescent="0.25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  <c r="AK635" s="4">
        <f>IF(Table1[[#This Row],[Attrition]]="Yes", 1,0)</f>
        <v>0</v>
      </c>
      <c r="AL635">
        <f>CORREL(Table1[Age],AK635:AK2104)</f>
        <v>5.7387520197451997E-2</v>
      </c>
      <c r="AM635">
        <f>CORREL(Table1[MonthlyIncome],AK635:AK2104)</f>
        <v>0.10714143190138321</v>
      </c>
      <c r="AN635">
        <f>CORREL(Table1[YearsAtCompany],AK635:AK2104)</f>
        <v>7.0405972273666836E-2</v>
      </c>
      <c r="AO635">
        <f t="shared" si="9"/>
        <v>0</v>
      </c>
    </row>
    <row r="636" spans="1:41" x14ac:dyDescent="0.25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  <c r="AK636" s="4">
        <f>IF(Table1[[#This Row],[Attrition]]="Yes", 1,0)</f>
        <v>0</v>
      </c>
      <c r="AL636">
        <f>CORREL(Table1[Age],AK636:AK2105)</f>
        <v>-2.1521556319724796E-2</v>
      </c>
      <c r="AM636">
        <f>CORREL(Table1[MonthlyIncome],AK636:AK2105)</f>
        <v>-4.6682650724489017E-2</v>
      </c>
      <c r="AN636">
        <f>CORREL(Table1[YearsAtCompany],AK636:AK2105)</f>
        <v>-2.4715056250794582E-2</v>
      </c>
      <c r="AO636">
        <f t="shared" si="9"/>
        <v>0</v>
      </c>
    </row>
    <row r="637" spans="1:41" x14ac:dyDescent="0.25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  <c r="AK637" s="4">
        <f>IF(Table1[[#This Row],[Attrition]]="Yes", 1,0)</f>
        <v>0</v>
      </c>
      <c r="AL637">
        <f>CORREL(Table1[Age],AK637:AK2106)</f>
        <v>1.7783582178300186E-2</v>
      </c>
      <c r="AM637">
        <f>CORREL(Table1[MonthlyIncome],AK637:AK2106)</f>
        <v>-3.1145739762405488E-2</v>
      </c>
      <c r="AN637">
        <f>CORREL(Table1[YearsAtCompany],AK637:AK2106)</f>
        <v>1.7275099220579813E-2</v>
      </c>
      <c r="AO637">
        <f t="shared" si="9"/>
        <v>0</v>
      </c>
    </row>
    <row r="638" spans="1:41" x14ac:dyDescent="0.25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  <c r="AK638" s="4">
        <f>IF(Table1[[#This Row],[Attrition]]="Yes", 1,0)</f>
        <v>1</v>
      </c>
      <c r="AL638">
        <f>CORREL(Table1[Age],AK638:AK2107)</f>
        <v>-6.5693523305810006E-2</v>
      </c>
      <c r="AM638">
        <f>CORREL(Table1[MonthlyIncome],AK638:AK2107)</f>
        <v>-6.4871921993304424E-2</v>
      </c>
      <c r="AN638">
        <f>CORREL(Table1[YearsAtCompany],AK638:AK2107)</f>
        <v>-1.1767255896132832E-2</v>
      </c>
      <c r="AO638">
        <f t="shared" si="9"/>
        <v>1</v>
      </c>
    </row>
    <row r="639" spans="1:41" x14ac:dyDescent="0.25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  <c r="AK639" s="4">
        <f>IF(Table1[[#This Row],[Attrition]]="Yes", 1,0)</f>
        <v>0</v>
      </c>
      <c r="AL639">
        <f>CORREL(Table1[Age],AK639:AK2108)</f>
        <v>-3.4178394387054833E-2</v>
      </c>
      <c r="AM639">
        <f>CORREL(Table1[MonthlyIncome],AK639:AK2108)</f>
        <v>1.9191219348738162E-2</v>
      </c>
      <c r="AN639">
        <f>CORREL(Table1[YearsAtCompany],AK639:AK2108)</f>
        <v>3.7376952068695233E-3</v>
      </c>
      <c r="AO639">
        <f t="shared" si="9"/>
        <v>0</v>
      </c>
    </row>
    <row r="640" spans="1:41" x14ac:dyDescent="0.25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  <c r="AK640" s="4">
        <f>IF(Table1[[#This Row],[Attrition]]="Yes", 1,0)</f>
        <v>0</v>
      </c>
      <c r="AL640">
        <f>CORREL(Table1[Age],AK640:AK2109)</f>
        <v>5.598524843812077E-2</v>
      </c>
      <c r="AM640">
        <f>CORREL(Table1[MonthlyIncome],AK640:AK2109)</f>
        <v>9.4759026468457117E-2</v>
      </c>
      <c r="AN640">
        <f>CORREL(Table1[YearsAtCompany],AK640:AK2109)</f>
        <v>5.5135663316071955E-2</v>
      </c>
      <c r="AO640">
        <f t="shared" si="9"/>
        <v>0</v>
      </c>
    </row>
    <row r="641" spans="1:41" x14ac:dyDescent="0.25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  <c r="AK641" s="4">
        <f>IF(Table1[[#This Row],[Attrition]]="Yes", 1,0)</f>
        <v>0</v>
      </c>
      <c r="AL641">
        <f>CORREL(Table1[Age],AK641:AK2110)</f>
        <v>6.5990549667453366E-2</v>
      </c>
      <c r="AM641">
        <f>CORREL(Table1[MonthlyIncome],AK641:AK2110)</f>
        <v>2.953768521701558E-2</v>
      </c>
      <c r="AN641">
        <f>CORREL(Table1[YearsAtCompany],AK641:AK2110)</f>
        <v>3.9947234036996418E-2</v>
      </c>
      <c r="AO641">
        <f t="shared" si="9"/>
        <v>0</v>
      </c>
    </row>
    <row r="642" spans="1:41" x14ac:dyDescent="0.25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  <c r="AK642" s="4">
        <f>IF(Table1[[#This Row],[Attrition]]="Yes", 1,0)</f>
        <v>0</v>
      </c>
      <c r="AL642">
        <f>CORREL(Table1[Age],AK642:AK2111)</f>
        <v>-1.5981085008127138E-3</v>
      </c>
      <c r="AM642">
        <f>CORREL(Table1[MonthlyIncome],AK642:AK2111)</f>
        <v>2.9115229205306795E-2</v>
      </c>
      <c r="AN642">
        <f>CORREL(Table1[YearsAtCompany],AK642:AK2111)</f>
        <v>-3.6576993731480427E-2</v>
      </c>
      <c r="AO642">
        <f t="shared" si="9"/>
        <v>0</v>
      </c>
    </row>
    <row r="643" spans="1:41" x14ac:dyDescent="0.25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  <c r="AK643" s="4">
        <f>IF(Table1[[#This Row],[Attrition]]="Yes", 1,0)</f>
        <v>0</v>
      </c>
      <c r="AL643">
        <f>CORREL(Table1[Age],AK643:AK2112)</f>
        <v>3.0893344198278761E-2</v>
      </c>
      <c r="AM643">
        <f>CORREL(Table1[MonthlyIncome],AK643:AK2112)</f>
        <v>-1.6314412335612358E-2</v>
      </c>
      <c r="AN643">
        <f>CORREL(Table1[YearsAtCompany],AK643:AK2112)</f>
        <v>4.6951798821660576E-2</v>
      </c>
      <c r="AO643">
        <f t="shared" ref="AO643:AO706" si="10">ABS(AK643)</f>
        <v>0</v>
      </c>
    </row>
    <row r="644" spans="1:41" x14ac:dyDescent="0.25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  <c r="AK644" s="4">
        <f>IF(Table1[[#This Row],[Attrition]]="Yes", 1,0)</f>
        <v>0</v>
      </c>
      <c r="AL644">
        <f>CORREL(Table1[Age],AK644:AK2113)</f>
        <v>-5.8873946327676632E-2</v>
      </c>
      <c r="AM644">
        <f>CORREL(Table1[MonthlyIncome],AK644:AK2113)</f>
        <v>-2.1127751288841333E-3</v>
      </c>
      <c r="AN644">
        <f>CORREL(Table1[YearsAtCompany],AK644:AK2113)</f>
        <v>9.2484328513119888E-4</v>
      </c>
      <c r="AO644">
        <f t="shared" si="10"/>
        <v>0</v>
      </c>
    </row>
    <row r="645" spans="1:41" x14ac:dyDescent="0.25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  <c r="AK645" s="4">
        <f>IF(Table1[[#This Row],[Attrition]]="Yes", 1,0)</f>
        <v>0</v>
      </c>
      <c r="AL645">
        <f>CORREL(Table1[Age],AK645:AK2114)</f>
        <v>-4.1121489445463871E-2</v>
      </c>
      <c r="AM645">
        <f>CORREL(Table1[MonthlyIncome],AK645:AK2114)</f>
        <v>-4.8614927429359918E-2</v>
      </c>
      <c r="AN645">
        <f>CORREL(Table1[YearsAtCompany],AK645:AK2114)</f>
        <v>1.8466081629285088E-2</v>
      </c>
      <c r="AO645">
        <f t="shared" si="10"/>
        <v>0</v>
      </c>
    </row>
    <row r="646" spans="1:41" x14ac:dyDescent="0.25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  <c r="AK646" s="4">
        <f>IF(Table1[[#This Row],[Attrition]]="Yes", 1,0)</f>
        <v>0</v>
      </c>
      <c r="AL646">
        <f>CORREL(Table1[Age],AK646:AK2115)</f>
        <v>3.2544877329336287E-2</v>
      </c>
      <c r="AM646">
        <f>CORREL(Table1[MonthlyIncome],AK646:AK2115)</f>
        <v>3.7648640612209884E-2</v>
      </c>
      <c r="AN646">
        <f>CORREL(Table1[YearsAtCompany],AK646:AK2115)</f>
        <v>2.8176922578688087E-2</v>
      </c>
      <c r="AO646">
        <f t="shared" si="10"/>
        <v>0</v>
      </c>
    </row>
    <row r="647" spans="1:41" x14ac:dyDescent="0.25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  <c r="AK647" s="4">
        <f>IF(Table1[[#This Row],[Attrition]]="Yes", 1,0)</f>
        <v>1</v>
      </c>
      <c r="AL647">
        <f>CORREL(Table1[Age],AK647:AK2116)</f>
        <v>2.5872872143537812E-2</v>
      </c>
      <c r="AM647">
        <f>CORREL(Table1[MonthlyIncome],AK647:AK2116)</f>
        <v>8.9039309740989343E-3</v>
      </c>
      <c r="AN647">
        <f>CORREL(Table1[YearsAtCompany],AK647:AK2116)</f>
        <v>6.3204120702409827E-2</v>
      </c>
      <c r="AO647">
        <f t="shared" si="10"/>
        <v>1</v>
      </c>
    </row>
    <row r="648" spans="1:41" x14ac:dyDescent="0.25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  <c r="AK648" s="4">
        <f>IF(Table1[[#This Row],[Attrition]]="Yes", 1,0)</f>
        <v>0</v>
      </c>
      <c r="AL648">
        <f>CORREL(Table1[Age],AK648:AK2117)</f>
        <v>-3.2377781860247715E-2</v>
      </c>
      <c r="AM648">
        <f>CORREL(Table1[MonthlyIncome],AK648:AK2117)</f>
        <v>-3.2994817828887746E-2</v>
      </c>
      <c r="AN648">
        <f>CORREL(Table1[YearsAtCompany],AK648:AK2117)</f>
        <v>3.5731998374112846E-2</v>
      </c>
      <c r="AO648">
        <f t="shared" si="10"/>
        <v>0</v>
      </c>
    </row>
    <row r="649" spans="1:41" x14ac:dyDescent="0.25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  <c r="AK649" s="4">
        <f>IF(Table1[[#This Row],[Attrition]]="Yes", 1,0)</f>
        <v>0</v>
      </c>
      <c r="AL649">
        <f>CORREL(Table1[Age],AK649:AK2118)</f>
        <v>2.197917324775548E-2</v>
      </c>
      <c r="AM649">
        <f>CORREL(Table1[MonthlyIncome],AK649:AK2118)</f>
        <v>-1.5005866054710507E-2</v>
      </c>
      <c r="AN649">
        <f>CORREL(Table1[YearsAtCompany],AK649:AK2118)</f>
        <v>-1.7238990028576899E-3</v>
      </c>
      <c r="AO649">
        <f t="shared" si="10"/>
        <v>0</v>
      </c>
    </row>
    <row r="650" spans="1:41" x14ac:dyDescent="0.25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  <c r="AK650" s="4">
        <f>IF(Table1[[#This Row],[Attrition]]="Yes", 1,0)</f>
        <v>0</v>
      </c>
      <c r="AL650">
        <f>CORREL(Table1[Age],AK650:AK2119)</f>
        <v>1.9030418509880714E-2</v>
      </c>
      <c r="AM650">
        <f>CORREL(Table1[MonthlyIncome],AK650:AK2119)</f>
        <v>-5.4838633214744385E-3</v>
      </c>
      <c r="AN650">
        <f>CORREL(Table1[YearsAtCompany],AK650:AK2119)</f>
        <v>-5.5455819508243062E-2</v>
      </c>
      <c r="AO650">
        <f t="shared" si="10"/>
        <v>0</v>
      </c>
    </row>
    <row r="651" spans="1:41" x14ac:dyDescent="0.25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  <c r="AK651" s="4">
        <f>IF(Table1[[#This Row],[Attrition]]="Yes", 1,0)</f>
        <v>0</v>
      </c>
      <c r="AL651">
        <f>CORREL(Table1[Age],AK651:AK2120)</f>
        <v>-8.3995727080918518E-3</v>
      </c>
      <c r="AM651">
        <f>CORREL(Table1[MonthlyIncome],AK651:AK2120)</f>
        <v>-1.4183986497046128E-3</v>
      </c>
      <c r="AN651">
        <f>CORREL(Table1[YearsAtCompany],AK651:AK2120)</f>
        <v>-4.0921247429709651E-2</v>
      </c>
      <c r="AO651">
        <f t="shared" si="10"/>
        <v>0</v>
      </c>
    </row>
    <row r="652" spans="1:41" x14ac:dyDescent="0.25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  <c r="AK652" s="4">
        <f>IF(Table1[[#This Row],[Attrition]]="Yes", 1,0)</f>
        <v>0</v>
      </c>
      <c r="AL652">
        <f>CORREL(Table1[Age],AK652:AK2121)</f>
        <v>-5.6139189263874664E-2</v>
      </c>
      <c r="AM652">
        <f>CORREL(Table1[MonthlyIncome],AK652:AK2121)</f>
        <v>-5.9799588520995046E-2</v>
      </c>
      <c r="AN652">
        <f>CORREL(Table1[YearsAtCompany],AK652:AK2121)</f>
        <v>-3.032124533084193E-2</v>
      </c>
      <c r="AO652">
        <f t="shared" si="10"/>
        <v>0</v>
      </c>
    </row>
    <row r="653" spans="1:41" x14ac:dyDescent="0.25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  <c r="AK653" s="4">
        <f>IF(Table1[[#This Row],[Attrition]]="Yes", 1,0)</f>
        <v>0</v>
      </c>
      <c r="AL653">
        <f>CORREL(Table1[Age],AK653:AK2122)</f>
        <v>-8.3141248129392761E-2</v>
      </c>
      <c r="AM653">
        <f>CORREL(Table1[MonthlyIncome],AK653:AK2122)</f>
        <v>-6.4957118830911362E-2</v>
      </c>
      <c r="AN653">
        <f>CORREL(Table1[YearsAtCompany],AK653:AK2122)</f>
        <v>2.3666554950238865E-3</v>
      </c>
      <c r="AO653">
        <f t="shared" si="10"/>
        <v>0</v>
      </c>
    </row>
    <row r="654" spans="1:41" x14ac:dyDescent="0.25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  <c r="AK654" s="4">
        <f>IF(Table1[[#This Row],[Attrition]]="Yes", 1,0)</f>
        <v>0</v>
      </c>
      <c r="AL654">
        <f>CORREL(Table1[Age],AK654:AK2123)</f>
        <v>-2.5762537253456678E-2</v>
      </c>
      <c r="AM654">
        <f>CORREL(Table1[MonthlyIncome],AK654:AK2123)</f>
        <v>-1.832694394166234E-2</v>
      </c>
      <c r="AN654">
        <f>CORREL(Table1[YearsAtCompany],AK654:AK2123)</f>
        <v>-4.0204831950067285E-2</v>
      </c>
      <c r="AO654">
        <f t="shared" si="10"/>
        <v>0</v>
      </c>
    </row>
    <row r="655" spans="1:41" x14ac:dyDescent="0.25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  <c r="AK655" s="4">
        <f>IF(Table1[[#This Row],[Attrition]]="Yes", 1,0)</f>
        <v>0</v>
      </c>
      <c r="AL655">
        <f>CORREL(Table1[Age],AK655:AK2124)</f>
        <v>1.1063661673563647E-2</v>
      </c>
      <c r="AM655">
        <f>CORREL(Table1[MonthlyIncome],AK655:AK2124)</f>
        <v>-3.6690759099883716E-2</v>
      </c>
      <c r="AN655">
        <f>CORREL(Table1[YearsAtCompany],AK655:AK2124)</f>
        <v>-4.5530402500545727E-2</v>
      </c>
      <c r="AO655">
        <f t="shared" si="10"/>
        <v>0</v>
      </c>
    </row>
    <row r="656" spans="1:41" x14ac:dyDescent="0.25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  <c r="AK656" s="4">
        <f>IF(Table1[[#This Row],[Attrition]]="Yes", 1,0)</f>
        <v>0</v>
      </c>
      <c r="AL656">
        <f>CORREL(Table1[Age],AK656:AK2125)</f>
        <v>2.1971823980842721E-2</v>
      </c>
      <c r="AM656">
        <f>CORREL(Table1[MonthlyIncome],AK656:AK2125)</f>
        <v>7.2469770546137197E-3</v>
      </c>
      <c r="AN656">
        <f>CORREL(Table1[YearsAtCompany],AK656:AK2125)</f>
        <v>-3.5433676157538702E-2</v>
      </c>
      <c r="AO656">
        <f t="shared" si="10"/>
        <v>0</v>
      </c>
    </row>
    <row r="657" spans="1:41" x14ac:dyDescent="0.25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  <c r="AK657" s="4">
        <f>IF(Table1[[#This Row],[Attrition]]="Yes", 1,0)</f>
        <v>0</v>
      </c>
      <c r="AL657">
        <f>CORREL(Table1[Age],AK657:AK2126)</f>
        <v>-6.4821919328904298E-3</v>
      </c>
      <c r="AM657">
        <f>CORREL(Table1[MonthlyIncome],AK657:AK2126)</f>
        <v>-8.0444854931948917E-3</v>
      </c>
      <c r="AN657">
        <f>CORREL(Table1[YearsAtCompany],AK657:AK2126)</f>
        <v>-7.5991892761767882E-3</v>
      </c>
      <c r="AO657">
        <f t="shared" si="10"/>
        <v>0</v>
      </c>
    </row>
    <row r="658" spans="1:41" x14ac:dyDescent="0.25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  <c r="AK658" s="4">
        <f>IF(Table1[[#This Row],[Attrition]]="Yes", 1,0)</f>
        <v>1</v>
      </c>
      <c r="AL658">
        <f>CORREL(Table1[Age],AK658:AK2127)</f>
        <v>-2.4097194351187848E-2</v>
      </c>
      <c r="AM658">
        <f>CORREL(Table1[MonthlyIncome],AK658:AK2127)</f>
        <v>-2.2281662368379612E-2</v>
      </c>
      <c r="AN658">
        <f>CORREL(Table1[YearsAtCompany],AK658:AK2127)</f>
        <v>-5.393858136918251E-2</v>
      </c>
      <c r="AO658">
        <f t="shared" si="10"/>
        <v>1</v>
      </c>
    </row>
    <row r="659" spans="1:41" x14ac:dyDescent="0.25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  <c r="AK659" s="4">
        <f>IF(Table1[[#This Row],[Attrition]]="Yes", 1,0)</f>
        <v>0</v>
      </c>
      <c r="AL659">
        <f>CORREL(Table1[Age],AK659:AK2128)</f>
        <v>6.0462521490634458E-3</v>
      </c>
      <c r="AM659">
        <f>CORREL(Table1[MonthlyIncome],AK659:AK2128)</f>
        <v>-4.6548267335791135E-2</v>
      </c>
      <c r="AN659">
        <f>CORREL(Table1[YearsAtCompany],AK659:AK2128)</f>
        <v>-1.0208333921417718E-2</v>
      </c>
      <c r="AO659">
        <f t="shared" si="10"/>
        <v>0</v>
      </c>
    </row>
    <row r="660" spans="1:41" x14ac:dyDescent="0.25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  <c r="AK660" s="4">
        <f>IF(Table1[[#This Row],[Attrition]]="Yes", 1,0)</f>
        <v>0</v>
      </c>
      <c r="AL660">
        <f>CORREL(Table1[Age],AK660:AK2129)</f>
        <v>-4.5048572494399197E-2</v>
      </c>
      <c r="AM660">
        <f>CORREL(Table1[MonthlyIncome],AK660:AK2129)</f>
        <v>-5.5114051161632226E-2</v>
      </c>
      <c r="AN660">
        <f>CORREL(Table1[YearsAtCompany],AK660:AK2129)</f>
        <v>1.3202276134700035E-2</v>
      </c>
      <c r="AO660">
        <f t="shared" si="10"/>
        <v>0</v>
      </c>
    </row>
    <row r="661" spans="1:41" x14ac:dyDescent="0.25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  <c r="AK661" s="4">
        <f>IF(Table1[[#This Row],[Attrition]]="Yes", 1,0)</f>
        <v>0</v>
      </c>
      <c r="AL661">
        <f>CORREL(Table1[Age],AK661:AK2130)</f>
        <v>-3.1345351620042858E-2</v>
      </c>
      <c r="AM661">
        <f>CORREL(Table1[MonthlyIncome],AK661:AK2130)</f>
        <v>-3.9456298639628989E-2</v>
      </c>
      <c r="AN661">
        <f>CORREL(Table1[YearsAtCompany],AK661:AK2130)</f>
        <v>-4.4337017971356014E-3</v>
      </c>
      <c r="AO661">
        <f t="shared" si="10"/>
        <v>0</v>
      </c>
    </row>
    <row r="662" spans="1:41" x14ac:dyDescent="0.25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  <c r="AK662" s="4">
        <f>IF(Table1[[#This Row],[Attrition]]="Yes", 1,0)</f>
        <v>1</v>
      </c>
      <c r="AL662">
        <f>CORREL(Table1[Age],AK662:AK2131)</f>
        <v>1.6803192135579296E-2</v>
      </c>
      <c r="AM662">
        <f>CORREL(Table1[MonthlyIncome],AK662:AK2131)</f>
        <v>6.0005730360460224E-3</v>
      </c>
      <c r="AN662">
        <f>CORREL(Table1[YearsAtCompany],AK662:AK2131)</f>
        <v>2.4544409802129533E-2</v>
      </c>
      <c r="AO662">
        <f t="shared" si="10"/>
        <v>1</v>
      </c>
    </row>
    <row r="663" spans="1:41" x14ac:dyDescent="0.25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  <c r="AK663" s="4">
        <f>IF(Table1[[#This Row],[Attrition]]="Yes", 1,0)</f>
        <v>0</v>
      </c>
      <c r="AL663">
        <f>CORREL(Table1[Age],AK663:AK2132)</f>
        <v>5.0868415625694033E-3</v>
      </c>
      <c r="AM663">
        <f>CORREL(Table1[MonthlyIncome],AK663:AK2132)</f>
        <v>-3.2642797378580307E-2</v>
      </c>
      <c r="AN663">
        <f>CORREL(Table1[YearsAtCompany],AK663:AK2132)</f>
        <v>3.980688995578973E-3</v>
      </c>
      <c r="AO663">
        <f t="shared" si="10"/>
        <v>0</v>
      </c>
    </row>
    <row r="664" spans="1:41" x14ac:dyDescent="0.25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  <c r="AK664" s="4">
        <f>IF(Table1[[#This Row],[Attrition]]="Yes", 1,0)</f>
        <v>1</v>
      </c>
      <c r="AL664">
        <f>CORREL(Table1[Age],AK664:AK2133)</f>
        <v>1.1297904847463614E-2</v>
      </c>
      <c r="AM664">
        <f>CORREL(Table1[MonthlyIncome],AK664:AK2133)</f>
        <v>-4.6869329276369373E-2</v>
      </c>
      <c r="AN664">
        <f>CORREL(Table1[YearsAtCompany],AK664:AK2133)</f>
        <v>3.469839511700256E-2</v>
      </c>
      <c r="AO664">
        <f t="shared" si="10"/>
        <v>1</v>
      </c>
    </row>
    <row r="665" spans="1:41" x14ac:dyDescent="0.25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  <c r="AK665" s="4">
        <f>IF(Table1[[#This Row],[Attrition]]="Yes", 1,0)</f>
        <v>1</v>
      </c>
      <c r="AL665">
        <f>CORREL(Table1[Age],AK665:AK2134)</f>
        <v>-3.3408085704042828E-2</v>
      </c>
      <c r="AM665">
        <f>CORREL(Table1[MonthlyIncome],AK665:AK2134)</f>
        <v>-1.1706308730245869E-2</v>
      </c>
      <c r="AN665">
        <f>CORREL(Table1[YearsAtCompany],AK665:AK2134)</f>
        <v>3.8556389733620397E-2</v>
      </c>
      <c r="AO665">
        <f t="shared" si="10"/>
        <v>1</v>
      </c>
    </row>
    <row r="666" spans="1:41" x14ac:dyDescent="0.25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  <c r="AK666" s="4">
        <f>IF(Table1[[#This Row],[Attrition]]="Yes", 1,0)</f>
        <v>0</v>
      </c>
      <c r="AL666">
        <f>CORREL(Table1[Age],AK666:AK2135)</f>
        <v>-3.9405448972461711E-2</v>
      </c>
      <c r="AM666">
        <f>CORREL(Table1[MonthlyIncome],AK666:AK2135)</f>
        <v>6.1453803588744794E-3</v>
      </c>
      <c r="AN666">
        <f>CORREL(Table1[YearsAtCompany],AK666:AK2135)</f>
        <v>-2.5144285012023645E-2</v>
      </c>
      <c r="AO666">
        <f t="shared" si="10"/>
        <v>0</v>
      </c>
    </row>
    <row r="667" spans="1:41" x14ac:dyDescent="0.25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  <c r="AK667" s="4">
        <f>IF(Table1[[#This Row],[Attrition]]="Yes", 1,0)</f>
        <v>0</v>
      </c>
      <c r="AL667">
        <f>CORREL(Table1[Age],AK667:AK2136)</f>
        <v>1.5311229895252954E-2</v>
      </c>
      <c r="AM667">
        <f>CORREL(Table1[MonthlyIncome],AK667:AK2136)</f>
        <v>-1.5870307187254844E-2</v>
      </c>
      <c r="AN667">
        <f>CORREL(Table1[YearsAtCompany],AK667:AK2136)</f>
        <v>-4.2831440960261168E-2</v>
      </c>
      <c r="AO667">
        <f t="shared" si="10"/>
        <v>0</v>
      </c>
    </row>
    <row r="668" spans="1:41" x14ac:dyDescent="0.25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  <c r="AK668" s="4">
        <f>IF(Table1[[#This Row],[Attrition]]="Yes", 1,0)</f>
        <v>1</v>
      </c>
      <c r="AL668">
        <f>CORREL(Table1[Age],AK668:AK2137)</f>
        <v>3.1243331012815307E-2</v>
      </c>
      <c r="AM668">
        <f>CORREL(Table1[MonthlyIncome],AK668:AK2137)</f>
        <v>4.0112968060451448E-2</v>
      </c>
      <c r="AN668">
        <f>CORREL(Table1[YearsAtCompany],AK668:AK2137)</f>
        <v>-2.4654767700352669E-2</v>
      </c>
      <c r="AO668">
        <f t="shared" si="10"/>
        <v>1</v>
      </c>
    </row>
    <row r="669" spans="1:41" x14ac:dyDescent="0.25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  <c r="AK669" s="4">
        <f>IF(Table1[[#This Row],[Attrition]]="Yes", 1,0)</f>
        <v>1</v>
      </c>
      <c r="AL669">
        <f>CORREL(Table1[Age],AK669:AK2138)</f>
        <v>5.3958777376734157E-2</v>
      </c>
      <c r="AM669">
        <f>CORREL(Table1[MonthlyIncome],AK669:AK2138)</f>
        <v>8.7824055854590216E-3</v>
      </c>
      <c r="AN669">
        <f>CORREL(Table1[YearsAtCompany],AK669:AK2138)</f>
        <v>-4.168271796278316E-2</v>
      </c>
      <c r="AO669">
        <f t="shared" si="10"/>
        <v>1</v>
      </c>
    </row>
    <row r="670" spans="1:41" x14ac:dyDescent="0.25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  <c r="AK670" s="4">
        <f>IF(Table1[[#This Row],[Attrition]]="Yes", 1,0)</f>
        <v>0</v>
      </c>
      <c r="AL670">
        <f>CORREL(Table1[Age],AK670:AK2139)</f>
        <v>-2.1141577673839236E-2</v>
      </c>
      <c r="AM670">
        <f>CORREL(Table1[MonthlyIncome],AK670:AK2139)</f>
        <v>-7.9375982210282883E-3</v>
      </c>
      <c r="AN670">
        <f>CORREL(Table1[YearsAtCompany],AK670:AK2139)</f>
        <v>-3.5920748744954949E-3</v>
      </c>
      <c r="AO670">
        <f t="shared" si="10"/>
        <v>0</v>
      </c>
    </row>
    <row r="671" spans="1:41" x14ac:dyDescent="0.25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  <c r="AK671" s="4">
        <f>IF(Table1[[#This Row],[Attrition]]="Yes", 1,0)</f>
        <v>1</v>
      </c>
      <c r="AL671">
        <f>CORREL(Table1[Age],AK671:AK2140)</f>
        <v>-3.6861993935943568E-2</v>
      </c>
      <c r="AM671">
        <f>CORREL(Table1[MonthlyIncome],AK671:AK2140)</f>
        <v>-2.9894721596958374E-2</v>
      </c>
      <c r="AN671">
        <f>CORREL(Table1[YearsAtCompany],AK671:AK2140)</f>
        <v>-1.161133424870356E-2</v>
      </c>
      <c r="AO671">
        <f t="shared" si="10"/>
        <v>1</v>
      </c>
    </row>
    <row r="672" spans="1:41" x14ac:dyDescent="0.25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  <c r="AK672" s="4">
        <f>IF(Table1[[#This Row],[Attrition]]="Yes", 1,0)</f>
        <v>0</v>
      </c>
      <c r="AL672">
        <f>CORREL(Table1[Age],AK672:AK2141)</f>
        <v>6.5541569615804388E-2</v>
      </c>
      <c r="AM672">
        <f>CORREL(Table1[MonthlyIncome],AK672:AK2141)</f>
        <v>3.3404694607137797E-2</v>
      </c>
      <c r="AN672">
        <f>CORREL(Table1[YearsAtCompany],AK672:AK2141)</f>
        <v>2.8712330699892697E-2</v>
      </c>
      <c r="AO672">
        <f t="shared" si="10"/>
        <v>0</v>
      </c>
    </row>
    <row r="673" spans="1:41" x14ac:dyDescent="0.25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  <c r="AK673" s="4">
        <f>IF(Table1[[#This Row],[Attrition]]="Yes", 1,0)</f>
        <v>0</v>
      </c>
      <c r="AL673">
        <f>CORREL(Table1[Age],AK673:AK2142)</f>
        <v>8.3047213790438427E-4</v>
      </c>
      <c r="AM673">
        <f>CORREL(Table1[MonthlyIncome],AK673:AK2142)</f>
        <v>3.6273155651837259E-2</v>
      </c>
      <c r="AN673">
        <f>CORREL(Table1[YearsAtCompany],AK673:AK2142)</f>
        <v>1.786917246695684E-2</v>
      </c>
      <c r="AO673">
        <f t="shared" si="10"/>
        <v>0</v>
      </c>
    </row>
    <row r="674" spans="1:41" x14ac:dyDescent="0.25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  <c r="AK674" s="4">
        <f>IF(Table1[[#This Row],[Attrition]]="Yes", 1,0)</f>
        <v>0</v>
      </c>
      <c r="AL674">
        <f>CORREL(Table1[Age],AK674:AK2143)</f>
        <v>-9.106917848473289E-3</v>
      </c>
      <c r="AM674">
        <f>CORREL(Table1[MonthlyIncome],AK674:AK2143)</f>
        <v>-1.7972052488987318E-2</v>
      </c>
      <c r="AN674">
        <f>CORREL(Table1[YearsAtCompany],AK674:AK2143)</f>
        <v>1.7972254252825056E-2</v>
      </c>
      <c r="AO674">
        <f t="shared" si="10"/>
        <v>0</v>
      </c>
    </row>
    <row r="675" spans="1:41" x14ac:dyDescent="0.25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  <c r="AK675" s="4">
        <f>IF(Table1[[#This Row],[Attrition]]="Yes", 1,0)</f>
        <v>0</v>
      </c>
      <c r="AL675">
        <f>CORREL(Table1[Age],AK675:AK2144)</f>
        <v>-1.9477611403954917E-2</v>
      </c>
      <c r="AM675">
        <f>CORREL(Table1[MonthlyIncome],AK675:AK2144)</f>
        <v>-1.490087123490489E-2</v>
      </c>
      <c r="AN675">
        <f>CORREL(Table1[YearsAtCompany],AK675:AK2144)</f>
        <v>-5.2419399901277919E-2</v>
      </c>
      <c r="AO675">
        <f t="shared" si="10"/>
        <v>0</v>
      </c>
    </row>
    <row r="676" spans="1:41" x14ac:dyDescent="0.25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  <c r="AK676" s="4">
        <f>IF(Table1[[#This Row],[Attrition]]="Yes", 1,0)</f>
        <v>0</v>
      </c>
      <c r="AL676">
        <f>CORREL(Table1[Age],AK676:AK2145)</f>
        <v>3.6325059214808511E-2</v>
      </c>
      <c r="AM676">
        <f>CORREL(Table1[MonthlyIncome],AK676:AK2145)</f>
        <v>1.7976986708029906E-2</v>
      </c>
      <c r="AN676">
        <f>CORREL(Table1[YearsAtCompany],AK676:AK2145)</f>
        <v>2.9192012923171008E-2</v>
      </c>
      <c r="AO676">
        <f t="shared" si="10"/>
        <v>0</v>
      </c>
    </row>
    <row r="677" spans="1:41" x14ac:dyDescent="0.25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  <c r="AK677" s="4">
        <f>IF(Table1[[#This Row],[Attrition]]="Yes", 1,0)</f>
        <v>0</v>
      </c>
      <c r="AL677">
        <f>CORREL(Table1[Age],AK677:AK2146)</f>
        <v>-3.2460710553265805E-2</v>
      </c>
      <c r="AM677">
        <f>CORREL(Table1[MonthlyIncome],AK677:AK2146)</f>
        <v>-3.68697496527444E-2</v>
      </c>
      <c r="AN677">
        <f>CORREL(Table1[YearsAtCompany],AK677:AK2146)</f>
        <v>-4.6055791973444546E-2</v>
      </c>
      <c r="AO677">
        <f t="shared" si="10"/>
        <v>0</v>
      </c>
    </row>
    <row r="678" spans="1:41" x14ac:dyDescent="0.25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  <c r="AK678" s="4">
        <f>IF(Table1[[#This Row],[Attrition]]="Yes", 1,0)</f>
        <v>0</v>
      </c>
      <c r="AL678">
        <f>CORREL(Table1[Age],AK678:AK2147)</f>
        <v>-3.1565911089717874E-2</v>
      </c>
      <c r="AM678">
        <f>CORREL(Table1[MonthlyIncome],AK678:AK2147)</f>
        <v>-4.117972396195916E-2</v>
      </c>
      <c r="AN678">
        <f>CORREL(Table1[YearsAtCompany],AK678:AK2147)</f>
        <v>-3.974763854888156E-3</v>
      </c>
      <c r="AO678">
        <f t="shared" si="10"/>
        <v>0</v>
      </c>
    </row>
    <row r="679" spans="1:41" x14ac:dyDescent="0.25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  <c r="AK679" s="4">
        <f>IF(Table1[[#This Row],[Attrition]]="Yes", 1,0)</f>
        <v>0</v>
      </c>
      <c r="AL679">
        <f>CORREL(Table1[Age],AK679:AK2148)</f>
        <v>-1.0857826519918023E-2</v>
      </c>
      <c r="AM679">
        <f>CORREL(Table1[MonthlyIncome],AK679:AK2148)</f>
        <v>1.5157805099638714E-2</v>
      </c>
      <c r="AN679">
        <f>CORREL(Table1[YearsAtCompany],AK679:AK2148)</f>
        <v>9.6413137847881358E-3</v>
      </c>
      <c r="AO679">
        <f t="shared" si="10"/>
        <v>0</v>
      </c>
    </row>
    <row r="680" spans="1:41" x14ac:dyDescent="0.25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  <c r="AK680" s="4">
        <f>IF(Table1[[#This Row],[Attrition]]="Yes", 1,0)</f>
        <v>0</v>
      </c>
      <c r="AL680">
        <f>CORREL(Table1[Age],AK680:AK2149)</f>
        <v>-3.529571084548887E-3</v>
      </c>
      <c r="AM680">
        <f>CORREL(Table1[MonthlyIncome],AK680:AK2149)</f>
        <v>1.4624485163801571E-2</v>
      </c>
      <c r="AN680">
        <f>CORREL(Table1[YearsAtCompany],AK680:AK2149)</f>
        <v>6.628830271953226E-2</v>
      </c>
      <c r="AO680">
        <f t="shared" si="10"/>
        <v>0</v>
      </c>
    </row>
    <row r="681" spans="1:41" x14ac:dyDescent="0.25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  <c r="AK681" s="4">
        <f>IF(Table1[[#This Row],[Attrition]]="Yes", 1,0)</f>
        <v>0</v>
      </c>
      <c r="AL681">
        <f>CORREL(Table1[Age],AK681:AK2150)</f>
        <v>2.5197054815531396E-2</v>
      </c>
      <c r="AM681">
        <f>CORREL(Table1[MonthlyIncome],AK681:AK2150)</f>
        <v>-6.1225315430016254E-2</v>
      </c>
      <c r="AN681">
        <f>CORREL(Table1[YearsAtCompany],AK681:AK2150)</f>
        <v>-1.8601896279859597E-2</v>
      </c>
      <c r="AO681">
        <f t="shared" si="10"/>
        <v>0</v>
      </c>
    </row>
    <row r="682" spans="1:41" x14ac:dyDescent="0.25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  <c r="AK682" s="4">
        <f>IF(Table1[[#This Row],[Attrition]]="Yes", 1,0)</f>
        <v>0</v>
      </c>
      <c r="AL682">
        <f>CORREL(Table1[Age],AK682:AK2151)</f>
        <v>-1.760185325619747E-2</v>
      </c>
      <c r="AM682">
        <f>CORREL(Table1[MonthlyIncome],AK682:AK2151)</f>
        <v>4.0285648764664264E-3</v>
      </c>
      <c r="AN682">
        <f>CORREL(Table1[YearsAtCompany],AK682:AK2151)</f>
        <v>-2.6452656373812118E-2</v>
      </c>
      <c r="AO682">
        <f t="shared" si="10"/>
        <v>0</v>
      </c>
    </row>
    <row r="683" spans="1:41" x14ac:dyDescent="0.25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  <c r="AK683" s="4">
        <f>IF(Table1[[#This Row],[Attrition]]="Yes", 1,0)</f>
        <v>0</v>
      </c>
      <c r="AL683">
        <f>CORREL(Table1[Age],AK683:AK2152)</f>
        <v>6.5085124110849629E-2</v>
      </c>
      <c r="AM683">
        <f>CORREL(Table1[MonthlyIncome],AK683:AK2152)</f>
        <v>3.7392050083944903E-2</v>
      </c>
      <c r="AN683">
        <f>CORREL(Table1[YearsAtCompany],AK683:AK2152)</f>
        <v>1.1087752636084821E-2</v>
      </c>
      <c r="AO683">
        <f t="shared" si="10"/>
        <v>0</v>
      </c>
    </row>
    <row r="684" spans="1:41" x14ac:dyDescent="0.25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  <c r="AK684" s="4">
        <f>IF(Table1[[#This Row],[Attrition]]="Yes", 1,0)</f>
        <v>0</v>
      </c>
      <c r="AL684">
        <f>CORREL(Table1[Age],AK684:AK2153)</f>
        <v>6.3505005716407117E-2</v>
      </c>
      <c r="AM684">
        <f>CORREL(Table1[MonthlyIncome],AK684:AK2153)</f>
        <v>2.6811486991864857E-2</v>
      </c>
      <c r="AN684">
        <f>CORREL(Table1[YearsAtCompany],AK684:AK2153)</f>
        <v>-2.0998857875592955E-2</v>
      </c>
      <c r="AO684">
        <f t="shared" si="10"/>
        <v>0</v>
      </c>
    </row>
    <row r="685" spans="1:41" x14ac:dyDescent="0.25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  <c r="AK685" s="4">
        <f>IF(Table1[[#This Row],[Attrition]]="Yes", 1,0)</f>
        <v>1</v>
      </c>
      <c r="AL685">
        <f>CORREL(Table1[Age],AK685:AK2154)</f>
        <v>-1.779674154779735E-2</v>
      </c>
      <c r="AM685">
        <f>CORREL(Table1[MonthlyIncome],AK685:AK2154)</f>
        <v>-5.560892168375945E-2</v>
      </c>
      <c r="AN685">
        <f>CORREL(Table1[YearsAtCompany],AK685:AK2154)</f>
        <v>-4.5506708234603351E-2</v>
      </c>
      <c r="AO685">
        <f t="shared" si="10"/>
        <v>1</v>
      </c>
    </row>
    <row r="686" spans="1:41" x14ac:dyDescent="0.25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  <c r="AK686" s="4">
        <f>IF(Table1[[#This Row],[Attrition]]="Yes", 1,0)</f>
        <v>0</v>
      </c>
      <c r="AL686">
        <f>CORREL(Table1[Age],AK686:AK2155)</f>
        <v>5.164738484996447E-3</v>
      </c>
      <c r="AM686">
        <f>CORREL(Table1[MonthlyIncome],AK686:AK2155)</f>
        <v>3.0421203663124254E-2</v>
      </c>
      <c r="AN686">
        <f>CORREL(Table1[YearsAtCompany],AK686:AK2155)</f>
        <v>-1.6399971257149426E-2</v>
      </c>
      <c r="AO686">
        <f t="shared" si="10"/>
        <v>0</v>
      </c>
    </row>
    <row r="687" spans="1:41" x14ac:dyDescent="0.25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  <c r="AK687" s="4">
        <f>IF(Table1[[#This Row],[Attrition]]="Yes", 1,0)</f>
        <v>0</v>
      </c>
      <c r="AL687">
        <f>CORREL(Table1[Age],AK687:AK2156)</f>
        <v>1.2613546076167033E-2</v>
      </c>
      <c r="AM687">
        <f>CORREL(Table1[MonthlyIncome],AK687:AK2156)</f>
        <v>2.6161853008439741E-2</v>
      </c>
      <c r="AN687">
        <f>CORREL(Table1[YearsAtCompany],AK687:AK2156)</f>
        <v>4.8030426942043992E-2</v>
      </c>
      <c r="AO687">
        <f t="shared" si="10"/>
        <v>0</v>
      </c>
    </row>
    <row r="688" spans="1:41" x14ac:dyDescent="0.25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  <c r="AK688" s="4">
        <f>IF(Table1[[#This Row],[Attrition]]="Yes", 1,0)</f>
        <v>0</v>
      </c>
      <c r="AL688">
        <f>CORREL(Table1[Age],AK688:AK2157)</f>
        <v>-1.7501144282306706E-2</v>
      </c>
      <c r="AM688">
        <f>CORREL(Table1[MonthlyIncome],AK688:AK2157)</f>
        <v>6.4071829287093403E-3</v>
      </c>
      <c r="AN688">
        <f>CORREL(Table1[YearsAtCompany],AK688:AK2157)</f>
        <v>3.248296991267198E-2</v>
      </c>
      <c r="AO688">
        <f t="shared" si="10"/>
        <v>0</v>
      </c>
    </row>
    <row r="689" spans="1:41" x14ac:dyDescent="0.25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  <c r="AK689" s="4">
        <f>IF(Table1[[#This Row],[Attrition]]="Yes", 1,0)</f>
        <v>0</v>
      </c>
      <c r="AL689">
        <f>CORREL(Table1[Age],AK689:AK2158)</f>
        <v>-1.2539020636959176E-2</v>
      </c>
      <c r="AM689">
        <f>CORREL(Table1[MonthlyIncome],AK689:AK2158)</f>
        <v>1.1182669339100198E-3</v>
      </c>
      <c r="AN689">
        <f>CORREL(Table1[YearsAtCompany],AK689:AK2158)</f>
        <v>1.54811510350348E-2</v>
      </c>
      <c r="AO689">
        <f t="shared" si="10"/>
        <v>0</v>
      </c>
    </row>
    <row r="690" spans="1:41" x14ac:dyDescent="0.25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  <c r="AK690" s="4">
        <f>IF(Table1[[#This Row],[Attrition]]="Yes", 1,0)</f>
        <v>1</v>
      </c>
      <c r="AL690">
        <f>CORREL(Table1[Age],AK690:AK2159)</f>
        <v>-9.8828995469803671E-2</v>
      </c>
      <c r="AM690">
        <f>CORREL(Table1[MonthlyIncome],AK690:AK2159)</f>
        <v>-6.1555337947397343E-2</v>
      </c>
      <c r="AN690">
        <f>CORREL(Table1[YearsAtCompany],AK690:AK2159)</f>
        <v>-1.8088645031420044E-2</v>
      </c>
      <c r="AO690">
        <f t="shared" si="10"/>
        <v>1</v>
      </c>
    </row>
    <row r="691" spans="1:41" x14ac:dyDescent="0.25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  <c r="AK691" s="4">
        <f>IF(Table1[[#This Row],[Attrition]]="Yes", 1,0)</f>
        <v>1</v>
      </c>
      <c r="AL691">
        <f>CORREL(Table1[Age],AK691:AK2160)</f>
        <v>3.235369734523235E-2</v>
      </c>
      <c r="AM691">
        <f>CORREL(Table1[MonthlyIncome],AK691:AK2160)</f>
        <v>2.2035533724497725E-2</v>
      </c>
      <c r="AN691">
        <f>CORREL(Table1[YearsAtCompany],AK691:AK2160)</f>
        <v>1.3644163108531537E-2</v>
      </c>
      <c r="AO691">
        <f t="shared" si="10"/>
        <v>1</v>
      </c>
    </row>
    <row r="692" spans="1:41" x14ac:dyDescent="0.25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  <c r="AK692" s="4">
        <f>IF(Table1[[#This Row],[Attrition]]="Yes", 1,0)</f>
        <v>0</v>
      </c>
      <c r="AL692">
        <f>CORREL(Table1[Age],AK692:AK2161)</f>
        <v>-2.7452240720222034E-2</v>
      </c>
      <c r="AM692">
        <f>CORREL(Table1[MonthlyIncome],AK692:AK2161)</f>
        <v>-5.4020469153077483E-2</v>
      </c>
      <c r="AN692">
        <f>CORREL(Table1[YearsAtCompany],AK692:AK2161)</f>
        <v>-3.0070211724870118E-2</v>
      </c>
      <c r="AO692">
        <f t="shared" si="10"/>
        <v>0</v>
      </c>
    </row>
    <row r="693" spans="1:41" x14ac:dyDescent="0.25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  <c r="AK693" s="4">
        <f>IF(Table1[[#This Row],[Attrition]]="Yes", 1,0)</f>
        <v>0</v>
      </c>
      <c r="AL693">
        <f>CORREL(Table1[Age],AK693:AK2162)</f>
        <v>-4.2502062801275803E-3</v>
      </c>
      <c r="AM693">
        <f>CORREL(Table1[MonthlyIncome],AK693:AK2162)</f>
        <v>2.4120035101478306E-2</v>
      </c>
      <c r="AN693">
        <f>CORREL(Table1[YearsAtCompany],AK693:AK2162)</f>
        <v>-1.6760291952500714E-2</v>
      </c>
      <c r="AO693">
        <f t="shared" si="10"/>
        <v>0</v>
      </c>
    </row>
    <row r="694" spans="1:41" x14ac:dyDescent="0.25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  <c r="AK694" s="4">
        <f>IF(Table1[[#This Row],[Attrition]]="Yes", 1,0)</f>
        <v>0</v>
      </c>
      <c r="AL694">
        <f>CORREL(Table1[Age],AK694:AK2163)</f>
        <v>-5.6268313772453879E-2</v>
      </c>
      <c r="AM694">
        <f>CORREL(Table1[MonthlyIncome],AK694:AK2163)</f>
        <v>-8.1943178560739641E-2</v>
      </c>
      <c r="AN694">
        <f>CORREL(Table1[YearsAtCompany],AK694:AK2163)</f>
        <v>-3.0136501113168897E-2</v>
      </c>
      <c r="AO694">
        <f t="shared" si="10"/>
        <v>0</v>
      </c>
    </row>
    <row r="695" spans="1:41" x14ac:dyDescent="0.25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  <c r="AK695" s="4">
        <f>IF(Table1[[#This Row],[Attrition]]="Yes", 1,0)</f>
        <v>1</v>
      </c>
      <c r="AL695">
        <f>CORREL(Table1[Age],AK695:AK2164)</f>
        <v>-1.8686384588053193E-2</v>
      </c>
      <c r="AM695">
        <f>CORREL(Table1[MonthlyIncome],AK695:AK2164)</f>
        <v>-3.966839278296843E-2</v>
      </c>
      <c r="AN695">
        <f>CORREL(Table1[YearsAtCompany],AK695:AK2164)</f>
        <v>3.6349790517116202E-3</v>
      </c>
      <c r="AO695">
        <f t="shared" si="10"/>
        <v>1</v>
      </c>
    </row>
    <row r="696" spans="1:41" x14ac:dyDescent="0.25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  <c r="AK696" s="4">
        <f>IF(Table1[[#This Row],[Attrition]]="Yes", 1,0)</f>
        <v>0</v>
      </c>
      <c r="AL696">
        <f>CORREL(Table1[Age],AK696:AK2165)</f>
        <v>6.8591751564503122E-3</v>
      </c>
      <c r="AM696">
        <f>CORREL(Table1[MonthlyIncome],AK696:AK2165)</f>
        <v>-4.861980534758966E-2</v>
      </c>
      <c r="AN696">
        <f>CORREL(Table1[YearsAtCompany],AK696:AK2165)</f>
        <v>-3.0161228650335659E-2</v>
      </c>
      <c r="AO696">
        <f t="shared" si="10"/>
        <v>0</v>
      </c>
    </row>
    <row r="697" spans="1:41" x14ac:dyDescent="0.25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  <c r="AK697" s="4">
        <f>IF(Table1[[#This Row],[Attrition]]="Yes", 1,0)</f>
        <v>1</v>
      </c>
      <c r="AL697">
        <f>CORREL(Table1[Age],AK697:AK2166)</f>
        <v>5.981659066619327E-2</v>
      </c>
      <c r="AM697">
        <f>CORREL(Table1[MonthlyIncome],AK697:AK2166)</f>
        <v>8.3123016721075027E-2</v>
      </c>
      <c r="AN697">
        <f>CORREL(Table1[YearsAtCompany],AK697:AK2166)</f>
        <v>3.9335814037211488E-2</v>
      </c>
      <c r="AO697">
        <f t="shared" si="10"/>
        <v>1</v>
      </c>
    </row>
    <row r="698" spans="1:41" x14ac:dyDescent="0.25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  <c r="AK698" s="4">
        <f>IF(Table1[[#This Row],[Attrition]]="Yes", 1,0)</f>
        <v>0</v>
      </c>
      <c r="AL698">
        <f>CORREL(Table1[Age],AK698:AK2167)</f>
        <v>-3.5430108743333051E-3</v>
      </c>
      <c r="AM698">
        <f>CORREL(Table1[MonthlyIncome],AK698:AK2167)</f>
        <v>-2.3915588943444085E-2</v>
      </c>
      <c r="AN698">
        <f>CORREL(Table1[YearsAtCompany],AK698:AK2167)</f>
        <v>-2.9540173771746735E-2</v>
      </c>
      <c r="AO698">
        <f t="shared" si="10"/>
        <v>0</v>
      </c>
    </row>
    <row r="699" spans="1:41" x14ac:dyDescent="0.25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  <c r="AK699" s="4">
        <f>IF(Table1[[#This Row],[Attrition]]="Yes", 1,0)</f>
        <v>0</v>
      </c>
      <c r="AL699">
        <f>CORREL(Table1[Age],AK699:AK2168)</f>
        <v>-3.3038203039499739E-2</v>
      </c>
      <c r="AM699">
        <f>CORREL(Table1[MonthlyIncome],AK699:AK2168)</f>
        <v>-4.8189092454670082E-2</v>
      </c>
      <c r="AN699">
        <f>CORREL(Table1[YearsAtCompany],AK699:AK2168)</f>
        <v>-8.0536989795256687E-3</v>
      </c>
      <c r="AO699">
        <f t="shared" si="10"/>
        <v>0</v>
      </c>
    </row>
    <row r="700" spans="1:41" x14ac:dyDescent="0.25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  <c r="AK700" s="4">
        <f>IF(Table1[[#This Row],[Attrition]]="Yes", 1,0)</f>
        <v>0</v>
      </c>
      <c r="AL700">
        <f>CORREL(Table1[Age],AK700:AK2169)</f>
        <v>1.3601559036032055E-2</v>
      </c>
      <c r="AM700">
        <f>CORREL(Table1[MonthlyIncome],AK700:AK2169)</f>
        <v>-1.4551959536922107E-2</v>
      </c>
      <c r="AN700">
        <f>CORREL(Table1[YearsAtCompany],AK700:AK2169)</f>
        <v>-5.3837572156848227E-4</v>
      </c>
      <c r="AO700">
        <f t="shared" si="10"/>
        <v>0</v>
      </c>
    </row>
    <row r="701" spans="1:41" x14ac:dyDescent="0.25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  <c r="AK701" s="4">
        <f>IF(Table1[[#This Row],[Attrition]]="Yes", 1,0)</f>
        <v>0</v>
      </c>
      <c r="AL701">
        <f>CORREL(Table1[Age],AK701:AK2170)</f>
        <v>3.4382173541731911E-3</v>
      </c>
      <c r="AM701">
        <f>CORREL(Table1[MonthlyIncome],AK701:AK2170)</f>
        <v>-5.036881136491398E-2</v>
      </c>
      <c r="AN701">
        <f>CORREL(Table1[YearsAtCompany],AK701:AK2170)</f>
        <v>2.7134263626454571E-2</v>
      </c>
      <c r="AO701">
        <f t="shared" si="10"/>
        <v>0</v>
      </c>
    </row>
    <row r="702" spans="1:41" x14ac:dyDescent="0.25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  <c r="AK702" s="4">
        <f>IF(Table1[[#This Row],[Attrition]]="Yes", 1,0)</f>
        <v>1</v>
      </c>
      <c r="AL702">
        <f>CORREL(Table1[Age],AK702:AK2171)</f>
        <v>-8.7881324825002296E-4</v>
      </c>
      <c r="AM702">
        <f>CORREL(Table1[MonthlyIncome],AK702:AK2171)</f>
        <v>-5.6527420039886915E-2</v>
      </c>
      <c r="AN702">
        <f>CORREL(Table1[YearsAtCompany],AK702:AK2171)</f>
        <v>-3.767123100476772E-2</v>
      </c>
      <c r="AO702">
        <f t="shared" si="10"/>
        <v>1</v>
      </c>
    </row>
    <row r="703" spans="1:41" x14ac:dyDescent="0.25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  <c r="AK703" s="4">
        <f>IF(Table1[[#This Row],[Attrition]]="Yes", 1,0)</f>
        <v>0</v>
      </c>
      <c r="AL703">
        <f>CORREL(Table1[Age],AK703:AK2172)</f>
        <v>4.4634491293340595E-3</v>
      </c>
      <c r="AM703">
        <f>CORREL(Table1[MonthlyIncome],AK703:AK2172)</f>
        <v>-2.5221092775781035E-3</v>
      </c>
      <c r="AN703">
        <f>CORREL(Table1[YearsAtCompany],AK703:AK2172)</f>
        <v>7.8455322851291448E-3</v>
      </c>
      <c r="AO703">
        <f t="shared" si="10"/>
        <v>0</v>
      </c>
    </row>
    <row r="704" spans="1:41" x14ac:dyDescent="0.25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  <c r="AK704" s="4">
        <f>IF(Table1[[#This Row],[Attrition]]="Yes", 1,0)</f>
        <v>0</v>
      </c>
      <c r="AL704">
        <f>CORREL(Table1[Age],AK704:AK2173)</f>
        <v>4.7174934651192983E-2</v>
      </c>
      <c r="AM704">
        <f>CORREL(Table1[MonthlyIncome],AK704:AK2173)</f>
        <v>9.1456146922509376E-2</v>
      </c>
      <c r="AN704">
        <f>CORREL(Table1[YearsAtCompany],AK704:AK2173)</f>
        <v>6.3055933813925866E-2</v>
      </c>
      <c r="AO704">
        <f t="shared" si="10"/>
        <v>0</v>
      </c>
    </row>
    <row r="705" spans="1:41" x14ac:dyDescent="0.25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  <c r="AK705" s="4">
        <f>IF(Table1[[#This Row],[Attrition]]="Yes", 1,0)</f>
        <v>0</v>
      </c>
      <c r="AL705">
        <f>CORREL(Table1[Age],AK705:AK2174)</f>
        <v>4.680419816642193E-2</v>
      </c>
      <c r="AM705">
        <f>CORREL(Table1[MonthlyIncome],AK705:AK2174)</f>
        <v>7.1229160566744637E-2</v>
      </c>
      <c r="AN705">
        <f>CORREL(Table1[YearsAtCompany],AK705:AK2174)</f>
        <v>5.2861155082133161E-2</v>
      </c>
      <c r="AO705">
        <f t="shared" si="10"/>
        <v>0</v>
      </c>
    </row>
    <row r="706" spans="1:41" x14ac:dyDescent="0.25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  <c r="AK706" s="4">
        <f>IF(Table1[[#This Row],[Attrition]]="Yes", 1,0)</f>
        <v>0</v>
      </c>
      <c r="AL706">
        <f>CORREL(Table1[Age],AK706:AK2175)</f>
        <v>-1.640770019294965E-2</v>
      </c>
      <c r="AM706">
        <f>CORREL(Table1[MonthlyIncome],AK706:AK2175)</f>
        <v>-4.4819601127788593E-2</v>
      </c>
      <c r="AN706">
        <f>CORREL(Table1[YearsAtCompany],AK706:AK2175)</f>
        <v>-3.0445527370429392E-2</v>
      </c>
      <c r="AO706">
        <f t="shared" si="10"/>
        <v>0</v>
      </c>
    </row>
    <row r="707" spans="1:41" x14ac:dyDescent="0.25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  <c r="AK707" s="4">
        <f>IF(Table1[[#This Row],[Attrition]]="Yes", 1,0)</f>
        <v>0</v>
      </c>
      <c r="AL707">
        <f>CORREL(Table1[Age],AK707:AK2176)</f>
        <v>1.7579518449817536E-2</v>
      </c>
      <c r="AM707">
        <f>CORREL(Table1[MonthlyIncome],AK707:AK2176)</f>
        <v>2.2829654280966581E-2</v>
      </c>
      <c r="AN707">
        <f>CORREL(Table1[YearsAtCompany],AK707:AK2176)</f>
        <v>3.7611243708160623E-2</v>
      </c>
      <c r="AO707">
        <f t="shared" ref="AO707:AO770" si="11">ABS(AK707)</f>
        <v>0</v>
      </c>
    </row>
    <row r="708" spans="1:41" x14ac:dyDescent="0.25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  <c r="AK708" s="4">
        <f>IF(Table1[[#This Row],[Attrition]]="Yes", 1,0)</f>
        <v>1</v>
      </c>
      <c r="AL708">
        <f>CORREL(Table1[Age],AK708:AK2177)</f>
        <v>-3.5776353377317403E-2</v>
      </c>
      <c r="AM708">
        <f>CORREL(Table1[MonthlyIncome],AK708:AK2177)</f>
        <v>4.3737158616650978E-2</v>
      </c>
      <c r="AN708">
        <f>CORREL(Table1[YearsAtCompany],AK708:AK2177)</f>
        <v>1.6995956466004938E-3</v>
      </c>
      <c r="AO708">
        <f t="shared" si="11"/>
        <v>1</v>
      </c>
    </row>
    <row r="709" spans="1:41" x14ac:dyDescent="0.25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  <c r="AK709" s="4">
        <f>IF(Table1[[#This Row],[Attrition]]="Yes", 1,0)</f>
        <v>0</v>
      </c>
      <c r="AL709">
        <f>CORREL(Table1[Age],AK709:AK2178)</f>
        <v>2.0696573329671557E-2</v>
      </c>
      <c r="AM709">
        <f>CORREL(Table1[MonthlyIncome],AK709:AK2178)</f>
        <v>5.1070543532056823E-3</v>
      </c>
      <c r="AN709">
        <f>CORREL(Table1[YearsAtCompany],AK709:AK2178)</f>
        <v>-5.8227439520264997E-2</v>
      </c>
      <c r="AO709">
        <f t="shared" si="11"/>
        <v>0</v>
      </c>
    </row>
    <row r="710" spans="1:41" x14ac:dyDescent="0.25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  <c r="AK710" s="4">
        <f>IF(Table1[[#This Row],[Attrition]]="Yes", 1,0)</f>
        <v>0</v>
      </c>
      <c r="AL710">
        <f>CORREL(Table1[Age],AK710:AK2179)</f>
        <v>-2.9600182878208096E-2</v>
      </c>
      <c r="AM710">
        <f>CORREL(Table1[MonthlyIncome],AK710:AK2179)</f>
        <v>-4.5058136439407301E-2</v>
      </c>
      <c r="AN710">
        <f>CORREL(Table1[YearsAtCompany],AK710:AK2179)</f>
        <v>-6.805734029486156E-2</v>
      </c>
      <c r="AO710">
        <f t="shared" si="11"/>
        <v>0</v>
      </c>
    </row>
    <row r="711" spans="1:41" x14ac:dyDescent="0.25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  <c r="AK711" s="4">
        <f>IF(Table1[[#This Row],[Attrition]]="Yes", 1,0)</f>
        <v>1</v>
      </c>
      <c r="AL711">
        <f>CORREL(Table1[Age],AK711:AK2180)</f>
        <v>2.1495276794547005E-2</v>
      </c>
      <c r="AM711">
        <f>CORREL(Table1[MonthlyIncome],AK711:AK2180)</f>
        <v>-2.9634740733393498E-2</v>
      </c>
      <c r="AN711">
        <f>CORREL(Table1[YearsAtCompany],AK711:AK2180)</f>
        <v>4.1587752632077195E-3</v>
      </c>
      <c r="AO711">
        <f t="shared" si="11"/>
        <v>1</v>
      </c>
    </row>
    <row r="712" spans="1:41" x14ac:dyDescent="0.25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  <c r="AK712" s="4">
        <f>IF(Table1[[#This Row],[Attrition]]="Yes", 1,0)</f>
        <v>0</v>
      </c>
      <c r="AL712">
        <f>CORREL(Table1[Age],AK712:AK2181)</f>
        <v>3.2888818678059269E-2</v>
      </c>
      <c r="AM712">
        <f>CORREL(Table1[MonthlyIncome],AK712:AK2181)</f>
        <v>-2.1787767251009928E-2</v>
      </c>
      <c r="AN712">
        <f>CORREL(Table1[YearsAtCompany],AK712:AK2181)</f>
        <v>2.7255450232249654E-2</v>
      </c>
      <c r="AO712">
        <f t="shared" si="11"/>
        <v>0</v>
      </c>
    </row>
    <row r="713" spans="1:41" x14ac:dyDescent="0.25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  <c r="AK713" s="4">
        <f>IF(Table1[[#This Row],[Attrition]]="Yes", 1,0)</f>
        <v>1</v>
      </c>
      <c r="AL713">
        <f>CORREL(Table1[Age],AK713:AK2182)</f>
        <v>-8.8970215952586168E-2</v>
      </c>
      <c r="AM713">
        <f>CORREL(Table1[MonthlyIncome],AK713:AK2182)</f>
        <v>-4.960944068490878E-2</v>
      </c>
      <c r="AN713">
        <f>CORREL(Table1[YearsAtCompany],AK713:AK2182)</f>
        <v>-6.3846481864856849E-2</v>
      </c>
      <c r="AO713">
        <f t="shared" si="11"/>
        <v>1</v>
      </c>
    </row>
    <row r="714" spans="1:41" x14ac:dyDescent="0.25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  <c r="AK714" s="4">
        <f>IF(Table1[[#This Row],[Attrition]]="Yes", 1,0)</f>
        <v>0</v>
      </c>
      <c r="AL714">
        <f>CORREL(Table1[Age],AK714:AK2183)</f>
        <v>8.2560214003090944E-4</v>
      </c>
      <c r="AM714">
        <f>CORREL(Table1[MonthlyIncome],AK714:AK2183)</f>
        <v>1.9121110900482959E-2</v>
      </c>
      <c r="AN714">
        <f>CORREL(Table1[YearsAtCompany],AK714:AK2183)</f>
        <v>3.3352021118502349E-2</v>
      </c>
      <c r="AO714">
        <f t="shared" si="11"/>
        <v>0</v>
      </c>
    </row>
    <row r="715" spans="1:41" x14ac:dyDescent="0.25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  <c r="AK715" s="4">
        <f>IF(Table1[[#This Row],[Attrition]]="Yes", 1,0)</f>
        <v>0</v>
      </c>
      <c r="AL715">
        <f>CORREL(Table1[Age],AK715:AK2184)</f>
        <v>-5.0930035701783345E-4</v>
      </c>
      <c r="AM715">
        <f>CORREL(Table1[MonthlyIncome],AK715:AK2184)</f>
        <v>-5.2079468699928614E-3</v>
      </c>
      <c r="AN715">
        <f>CORREL(Table1[YearsAtCompany],AK715:AK2184)</f>
        <v>1.7842728438260392E-2</v>
      </c>
      <c r="AO715">
        <f t="shared" si="11"/>
        <v>0</v>
      </c>
    </row>
    <row r="716" spans="1:41" x14ac:dyDescent="0.25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  <c r="AK716" s="4">
        <f>IF(Table1[[#This Row],[Attrition]]="Yes", 1,0)</f>
        <v>0</v>
      </c>
      <c r="AL716">
        <f>CORREL(Table1[Age],AK716:AK2185)</f>
        <v>2.1846325071135601E-2</v>
      </c>
      <c r="AM716">
        <f>CORREL(Table1[MonthlyIncome],AK716:AK2185)</f>
        <v>-3.6103243414965604E-2</v>
      </c>
      <c r="AN716">
        <f>CORREL(Table1[YearsAtCompany],AK716:AK2185)</f>
        <v>-1.6288275708329098E-2</v>
      </c>
      <c r="AO716">
        <f t="shared" si="11"/>
        <v>0</v>
      </c>
    </row>
    <row r="717" spans="1:41" x14ac:dyDescent="0.25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  <c r="AK717" s="4">
        <f>IF(Table1[[#This Row],[Attrition]]="Yes", 1,0)</f>
        <v>0</v>
      </c>
      <c r="AL717">
        <f>CORREL(Table1[Age],AK717:AK2186)</f>
        <v>-1.3002602389116595E-2</v>
      </c>
      <c r="AM717">
        <f>CORREL(Table1[MonthlyIncome],AK717:AK2186)</f>
        <v>-7.8895874233990051E-3</v>
      </c>
      <c r="AN717">
        <f>CORREL(Table1[YearsAtCompany],AK717:AK2186)</f>
        <v>-2.0040769915789413E-2</v>
      </c>
      <c r="AO717">
        <f t="shared" si="11"/>
        <v>0</v>
      </c>
    </row>
    <row r="718" spans="1:41" x14ac:dyDescent="0.25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  <c r="AK718" s="4">
        <f>IF(Table1[[#This Row],[Attrition]]="Yes", 1,0)</f>
        <v>0</v>
      </c>
      <c r="AL718">
        <f>CORREL(Table1[Age],AK718:AK2187)</f>
        <v>2.942258945668879E-2</v>
      </c>
      <c r="AM718">
        <f>CORREL(Table1[MonthlyIncome],AK718:AK2187)</f>
        <v>3.3010475850774469E-2</v>
      </c>
      <c r="AN718">
        <f>CORREL(Table1[YearsAtCompany],AK718:AK2187)</f>
        <v>7.2123637927627993E-2</v>
      </c>
      <c r="AO718">
        <f t="shared" si="11"/>
        <v>0</v>
      </c>
    </row>
    <row r="719" spans="1:41" x14ac:dyDescent="0.25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  <c r="AK719" s="4">
        <f>IF(Table1[[#This Row],[Attrition]]="Yes", 1,0)</f>
        <v>0</v>
      </c>
      <c r="AL719">
        <f>CORREL(Table1[Age],AK719:AK2188)</f>
        <v>1.3404479777819979E-2</v>
      </c>
      <c r="AM719">
        <f>CORREL(Table1[MonthlyIncome],AK719:AK2188)</f>
        <v>3.639242485692553E-2</v>
      </c>
      <c r="AN719">
        <f>CORREL(Table1[YearsAtCompany],AK719:AK2188)</f>
        <v>4.0966404936974121E-2</v>
      </c>
      <c r="AO719">
        <f t="shared" si="11"/>
        <v>0</v>
      </c>
    </row>
    <row r="720" spans="1:41" x14ac:dyDescent="0.25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  <c r="AK720" s="4">
        <f>IF(Table1[[#This Row],[Attrition]]="Yes", 1,0)</f>
        <v>0</v>
      </c>
      <c r="AL720">
        <f>CORREL(Table1[Age],AK720:AK2189)</f>
        <v>-2.5495096973741666E-2</v>
      </c>
      <c r="AM720">
        <f>CORREL(Table1[MonthlyIncome],AK720:AK2189)</f>
        <v>-3.5912201976398814E-2</v>
      </c>
      <c r="AN720">
        <f>CORREL(Table1[YearsAtCompany],AK720:AK2189)</f>
        <v>2.671733949233487E-2</v>
      </c>
      <c r="AO720">
        <f t="shared" si="11"/>
        <v>0</v>
      </c>
    </row>
    <row r="721" spans="1:41" x14ac:dyDescent="0.25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  <c r="AK721" s="4">
        <f>IF(Table1[[#This Row],[Attrition]]="Yes", 1,0)</f>
        <v>0</v>
      </c>
      <c r="AL721">
        <f>CORREL(Table1[Age],AK721:AK2190)</f>
        <v>2.26535583563134E-2</v>
      </c>
      <c r="AM721">
        <f>CORREL(Table1[MonthlyIncome],AK721:AK2190)</f>
        <v>1.6192354678894034E-2</v>
      </c>
      <c r="AN721">
        <f>CORREL(Table1[YearsAtCompany],AK721:AK2190)</f>
        <v>1.0255232020018237E-2</v>
      </c>
      <c r="AO721">
        <f t="shared" si="11"/>
        <v>0</v>
      </c>
    </row>
    <row r="722" spans="1:41" x14ac:dyDescent="0.25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  <c r="AK722" s="4">
        <f>IF(Table1[[#This Row],[Attrition]]="Yes", 1,0)</f>
        <v>1</v>
      </c>
      <c r="AL722">
        <f>CORREL(Table1[Age],AK722:AK2191)</f>
        <v>-5.0872219907332504E-2</v>
      </c>
      <c r="AM722">
        <f>CORREL(Table1[MonthlyIncome],AK722:AK2191)</f>
        <v>-5.1265118161106807E-2</v>
      </c>
      <c r="AN722">
        <f>CORREL(Table1[YearsAtCompany],AK722:AK2191)</f>
        <v>-2.7155146673198106E-5</v>
      </c>
      <c r="AO722">
        <f t="shared" si="11"/>
        <v>1</v>
      </c>
    </row>
    <row r="723" spans="1:41" x14ac:dyDescent="0.25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  <c r="AK723" s="4">
        <f>IF(Table1[[#This Row],[Attrition]]="Yes", 1,0)</f>
        <v>0</v>
      </c>
      <c r="AL723">
        <f>CORREL(Table1[Age],AK723:AK2192)</f>
        <v>3.6171242118940876E-3</v>
      </c>
      <c r="AM723">
        <f>CORREL(Table1[MonthlyIncome],AK723:AK2192)</f>
        <v>-4.5828380468729162E-2</v>
      </c>
      <c r="AN723">
        <f>CORREL(Table1[YearsAtCompany],AK723:AK2192)</f>
        <v>-1.0337684571688439E-2</v>
      </c>
      <c r="AO723">
        <f t="shared" si="11"/>
        <v>0</v>
      </c>
    </row>
    <row r="724" spans="1:41" x14ac:dyDescent="0.25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  <c r="AK724" s="4">
        <f>IF(Table1[[#This Row],[Attrition]]="Yes", 1,0)</f>
        <v>0</v>
      </c>
      <c r="AL724">
        <f>CORREL(Table1[Age],AK724:AK2193)</f>
        <v>7.9765819316351076E-3</v>
      </c>
      <c r="AM724">
        <f>CORREL(Table1[MonthlyIncome],AK724:AK2193)</f>
        <v>1.7736090609058532E-2</v>
      </c>
      <c r="AN724">
        <f>CORREL(Table1[YearsAtCompany],AK724:AK2193)</f>
        <v>7.5619967379720937E-3</v>
      </c>
      <c r="AO724">
        <f t="shared" si="11"/>
        <v>0</v>
      </c>
    </row>
    <row r="725" spans="1:41" x14ac:dyDescent="0.25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  <c r="AK725" s="4">
        <f>IF(Table1[[#This Row],[Attrition]]="Yes", 1,0)</f>
        <v>0</v>
      </c>
      <c r="AL725">
        <f>CORREL(Table1[Age],AK725:AK2194)</f>
        <v>2.8208692220124013E-2</v>
      </c>
      <c r="AM725">
        <f>CORREL(Table1[MonthlyIncome],AK725:AK2194)</f>
        <v>1.5944868058895854E-2</v>
      </c>
      <c r="AN725">
        <f>CORREL(Table1[YearsAtCompany],AK725:AK2194)</f>
        <v>-1.3662124959258374E-2</v>
      </c>
      <c r="AO725">
        <f t="shared" si="11"/>
        <v>0</v>
      </c>
    </row>
    <row r="726" spans="1:41" x14ac:dyDescent="0.25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  <c r="AK726" s="4">
        <f>IF(Table1[[#This Row],[Attrition]]="Yes", 1,0)</f>
        <v>0</v>
      </c>
      <c r="AL726">
        <f>CORREL(Table1[Age],AK726:AK2195)</f>
        <v>2.1878427058849535E-2</v>
      </c>
      <c r="AM726">
        <f>CORREL(Table1[MonthlyIncome],AK726:AK2195)</f>
        <v>4.8682744705083089E-2</v>
      </c>
      <c r="AN726">
        <f>CORREL(Table1[YearsAtCompany],AK726:AK2195)</f>
        <v>-3.0262445683449681E-2</v>
      </c>
      <c r="AO726">
        <f t="shared" si="11"/>
        <v>0</v>
      </c>
    </row>
    <row r="727" spans="1:41" x14ac:dyDescent="0.25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  <c r="AK727" s="4">
        <f>IF(Table1[[#This Row],[Attrition]]="Yes", 1,0)</f>
        <v>1</v>
      </c>
      <c r="AL727">
        <f>CORREL(Table1[Age],AK727:AK2196)</f>
        <v>-3.4477202427012785E-2</v>
      </c>
      <c r="AM727">
        <f>CORREL(Table1[MonthlyIncome],AK727:AK2196)</f>
        <v>-4.2395300315194437E-2</v>
      </c>
      <c r="AN727">
        <f>CORREL(Table1[YearsAtCompany],AK727:AK2196)</f>
        <v>-2.9015550330966734E-2</v>
      </c>
      <c r="AO727">
        <f t="shared" si="11"/>
        <v>1</v>
      </c>
    </row>
    <row r="728" spans="1:41" x14ac:dyDescent="0.25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  <c r="AK728" s="4">
        <f>IF(Table1[[#This Row],[Attrition]]="Yes", 1,0)</f>
        <v>0</v>
      </c>
      <c r="AL728">
        <f>CORREL(Table1[Age],AK728:AK2197)</f>
        <v>6.331968771125851E-2</v>
      </c>
      <c r="AM728">
        <f>CORREL(Table1[MonthlyIncome],AK728:AK2197)</f>
        <v>1.8436828362486953E-2</v>
      </c>
      <c r="AN728">
        <f>CORREL(Table1[YearsAtCompany],AK728:AK2197)</f>
        <v>1.0790583520850255E-2</v>
      </c>
      <c r="AO728">
        <f t="shared" si="11"/>
        <v>0</v>
      </c>
    </row>
    <row r="729" spans="1:41" x14ac:dyDescent="0.25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  <c r="AK729" s="4">
        <f>IF(Table1[[#This Row],[Attrition]]="Yes", 1,0)</f>
        <v>0</v>
      </c>
      <c r="AL729">
        <f>CORREL(Table1[Age],AK729:AK2198)</f>
        <v>8.1595217116621366E-3</v>
      </c>
      <c r="AM729">
        <f>CORREL(Table1[MonthlyIncome],AK729:AK2198)</f>
        <v>2.0290796439099222E-2</v>
      </c>
      <c r="AN729">
        <f>CORREL(Table1[YearsAtCompany],AK729:AK2198)</f>
        <v>-2.643603984196697E-2</v>
      </c>
      <c r="AO729">
        <f t="shared" si="11"/>
        <v>0</v>
      </c>
    </row>
    <row r="730" spans="1:41" x14ac:dyDescent="0.25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  <c r="AK730" s="4">
        <f>IF(Table1[[#This Row],[Attrition]]="Yes", 1,0)</f>
        <v>0</v>
      </c>
      <c r="AL730">
        <f>CORREL(Table1[Age],AK730:AK2199)</f>
        <v>-2.2774570598058583E-2</v>
      </c>
      <c r="AM730">
        <f>CORREL(Table1[MonthlyIncome],AK730:AK2199)</f>
        <v>4.5076943208670409E-3</v>
      </c>
      <c r="AN730">
        <f>CORREL(Table1[YearsAtCompany],AK730:AK2199)</f>
        <v>4.1919638533411456E-2</v>
      </c>
      <c r="AO730">
        <f t="shared" si="11"/>
        <v>0</v>
      </c>
    </row>
    <row r="731" spans="1:41" x14ac:dyDescent="0.25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  <c r="AK731" s="4">
        <f>IF(Table1[[#This Row],[Attrition]]="Yes", 1,0)</f>
        <v>0</v>
      </c>
      <c r="AL731">
        <f>CORREL(Table1[Age],AK731:AK2200)</f>
        <v>6.1952836033722309E-3</v>
      </c>
      <c r="AM731">
        <f>CORREL(Table1[MonthlyIncome],AK731:AK2200)</f>
        <v>7.3603743847882094E-3</v>
      </c>
      <c r="AN731">
        <f>CORREL(Table1[YearsAtCompany],AK731:AK2200)</f>
        <v>-9.0427241540765885E-3</v>
      </c>
      <c r="AO731">
        <f t="shared" si="11"/>
        <v>0</v>
      </c>
    </row>
    <row r="732" spans="1:41" x14ac:dyDescent="0.25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  <c r="AK732" s="4">
        <f>IF(Table1[[#This Row],[Attrition]]="Yes", 1,0)</f>
        <v>0</v>
      </c>
      <c r="AL732">
        <f>CORREL(Table1[Age],AK732:AK2201)</f>
        <v>1.3929517395530911E-2</v>
      </c>
      <c r="AM732">
        <f>CORREL(Table1[MonthlyIncome],AK732:AK2201)</f>
        <v>2.4857404096669034E-3</v>
      </c>
      <c r="AN732">
        <f>CORREL(Table1[YearsAtCompany],AK732:AK2201)</f>
        <v>-2.5077725338503932E-2</v>
      </c>
      <c r="AO732">
        <f t="shared" si="11"/>
        <v>0</v>
      </c>
    </row>
    <row r="733" spans="1:41" x14ac:dyDescent="0.25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  <c r="AK733" s="4">
        <f>IF(Table1[[#This Row],[Attrition]]="Yes", 1,0)</f>
        <v>1</v>
      </c>
      <c r="AL733">
        <f>CORREL(Table1[Age],AK733:AK2202)</f>
        <v>6.6352107924916859E-2</v>
      </c>
      <c r="AM733">
        <f>CORREL(Table1[MonthlyIncome],AK733:AK2202)</f>
        <v>6.6254981638434796E-2</v>
      </c>
      <c r="AN733">
        <f>CORREL(Table1[YearsAtCompany],AK733:AK2202)</f>
        <v>6.4460652398524616E-3</v>
      </c>
      <c r="AO733">
        <f t="shared" si="11"/>
        <v>1</v>
      </c>
    </row>
    <row r="734" spans="1:41" x14ac:dyDescent="0.25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  <c r="AK734" s="4">
        <f>IF(Table1[[#This Row],[Attrition]]="Yes", 1,0)</f>
        <v>1</v>
      </c>
      <c r="AL734">
        <f>CORREL(Table1[Age],AK734:AK2203)</f>
        <v>-8.1972128049877427E-2</v>
      </c>
      <c r="AM734">
        <f>CORREL(Table1[MonthlyIncome],AK734:AK2203)</f>
        <v>-3.4621531006889632E-2</v>
      </c>
      <c r="AN734">
        <f>CORREL(Table1[YearsAtCompany],AK734:AK2203)</f>
        <v>-4.4188005270083243E-2</v>
      </c>
      <c r="AO734">
        <f t="shared" si="11"/>
        <v>1</v>
      </c>
    </row>
    <row r="735" spans="1:41" x14ac:dyDescent="0.25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  <c r="AK735" s="4">
        <f>IF(Table1[[#This Row],[Attrition]]="Yes", 1,0)</f>
        <v>0</v>
      </c>
      <c r="AL735">
        <f>CORREL(Table1[Age],AK735:AK2204)</f>
        <v>-8.8594698421948608E-3</v>
      </c>
      <c r="AM735">
        <f>CORREL(Table1[MonthlyIncome],AK735:AK2204)</f>
        <v>8.9828495779673192E-3</v>
      </c>
      <c r="AN735">
        <f>CORREL(Table1[YearsAtCompany],AK735:AK2204)</f>
        <v>-1.6114469405070022E-2</v>
      </c>
      <c r="AO735">
        <f t="shared" si="11"/>
        <v>0</v>
      </c>
    </row>
    <row r="736" spans="1:41" x14ac:dyDescent="0.25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  <c r="AK736" s="4">
        <f>IF(Table1[[#This Row],[Attrition]]="Yes", 1,0)</f>
        <v>0</v>
      </c>
      <c r="AL736">
        <f>CORREL(Table1[Age],AK736:AK2205)</f>
        <v>3.3275041955061787E-3</v>
      </c>
      <c r="AM736">
        <f>CORREL(Table1[MonthlyIncome],AK736:AK2205)</f>
        <v>4.3974873395893239E-3</v>
      </c>
      <c r="AN736">
        <f>CORREL(Table1[YearsAtCompany],AK736:AK2205)</f>
        <v>5.6844826780731911E-2</v>
      </c>
      <c r="AO736">
        <f t="shared" si="11"/>
        <v>0</v>
      </c>
    </row>
    <row r="737" spans="1:41" x14ac:dyDescent="0.25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  <c r="AK737" s="4">
        <f>IF(Table1[[#This Row],[Attrition]]="Yes", 1,0)</f>
        <v>0</v>
      </c>
      <c r="AL737">
        <f>CORREL(Table1[Age],AK737:AK2206)</f>
        <v>-1.4994475527008071E-2</v>
      </c>
      <c r="AM737">
        <f>CORREL(Table1[MonthlyIncome],AK737:AK2206)</f>
        <v>-4.6336909699230051E-2</v>
      </c>
      <c r="AN737">
        <f>CORREL(Table1[YearsAtCompany],AK737:AK2206)</f>
        <v>-8.8045679219111387E-3</v>
      </c>
      <c r="AO737">
        <f t="shared" si="11"/>
        <v>0</v>
      </c>
    </row>
    <row r="738" spans="1:41" x14ac:dyDescent="0.25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  <c r="AK738" s="4">
        <f>IF(Table1[[#This Row],[Attrition]]="Yes", 1,0)</f>
        <v>0</v>
      </c>
      <c r="AL738">
        <f>CORREL(Table1[Age],AK738:AK2207)</f>
        <v>-4.7311100143671958E-4</v>
      </c>
      <c r="AM738">
        <f>CORREL(Table1[MonthlyIncome],AK738:AK2207)</f>
        <v>7.8596605587677684E-2</v>
      </c>
      <c r="AN738">
        <f>CORREL(Table1[YearsAtCompany],AK738:AK2207)</f>
        <v>4.6741313638077375E-2</v>
      </c>
      <c r="AO738">
        <f t="shared" si="11"/>
        <v>0</v>
      </c>
    </row>
    <row r="739" spans="1:41" x14ac:dyDescent="0.25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  <c r="AK739" s="4">
        <f>IF(Table1[[#This Row],[Attrition]]="Yes", 1,0)</f>
        <v>0</v>
      </c>
      <c r="AL739">
        <f>CORREL(Table1[Age],AK739:AK2208)</f>
        <v>1.3151075326397747E-2</v>
      </c>
      <c r="AM739">
        <f>CORREL(Table1[MonthlyIncome],AK739:AK2208)</f>
        <v>4.3696132998962758E-2</v>
      </c>
      <c r="AN739">
        <f>CORREL(Table1[YearsAtCompany],AK739:AK2208)</f>
        <v>6.7417207611347757E-2</v>
      </c>
      <c r="AO739">
        <f t="shared" si="11"/>
        <v>0</v>
      </c>
    </row>
    <row r="740" spans="1:41" x14ac:dyDescent="0.25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  <c r="AK740" s="4">
        <f>IF(Table1[[#This Row],[Attrition]]="Yes", 1,0)</f>
        <v>0</v>
      </c>
      <c r="AL740">
        <f>CORREL(Table1[Age],AK740:AK2209)</f>
        <v>4.3757467957715422E-2</v>
      </c>
      <c r="AM740">
        <f>CORREL(Table1[MonthlyIncome],AK740:AK2209)</f>
        <v>5.0745056280461089E-2</v>
      </c>
      <c r="AN740">
        <f>CORREL(Table1[YearsAtCompany],AK740:AK2209)</f>
        <v>9.3527721308011458E-2</v>
      </c>
      <c r="AO740">
        <f t="shared" si="11"/>
        <v>0</v>
      </c>
    </row>
    <row r="741" spans="1:41" x14ac:dyDescent="0.25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  <c r="AK741" s="4">
        <f>IF(Table1[[#This Row],[Attrition]]="Yes", 1,0)</f>
        <v>0</v>
      </c>
      <c r="AL741">
        <f>CORREL(Table1[Age],AK741:AK2210)</f>
        <v>-2.4636597776860798E-2</v>
      </c>
      <c r="AM741">
        <f>CORREL(Table1[MonthlyIncome],AK741:AK2210)</f>
        <v>-7.635635339001462E-2</v>
      </c>
      <c r="AN741">
        <f>CORREL(Table1[YearsAtCompany],AK741:AK2210)</f>
        <v>-2.2890793077974123E-2</v>
      </c>
      <c r="AO741">
        <f t="shared" si="11"/>
        <v>0</v>
      </c>
    </row>
    <row r="742" spans="1:41" x14ac:dyDescent="0.25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  <c r="AK742" s="4">
        <f>IF(Table1[[#This Row],[Attrition]]="Yes", 1,0)</f>
        <v>0</v>
      </c>
      <c r="AL742">
        <f>CORREL(Table1[Age],AK742:AK2211)</f>
        <v>-7.0988633514040694E-2</v>
      </c>
      <c r="AM742">
        <f>CORREL(Table1[MonthlyIncome],AK742:AK2211)</f>
        <v>-3.4115687082344977E-2</v>
      </c>
      <c r="AN742">
        <f>CORREL(Table1[YearsAtCompany],AK742:AK2211)</f>
        <v>-2.1620361449392809E-2</v>
      </c>
      <c r="AO742">
        <f t="shared" si="11"/>
        <v>0</v>
      </c>
    </row>
    <row r="743" spans="1:41" x14ac:dyDescent="0.25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  <c r="AK743" s="4">
        <f>IF(Table1[[#This Row],[Attrition]]="Yes", 1,0)</f>
        <v>0</v>
      </c>
      <c r="AL743">
        <f>CORREL(Table1[Age],AK743:AK2212)</f>
        <v>-4.637512812478066E-2</v>
      </c>
      <c r="AM743">
        <f>CORREL(Table1[MonthlyIncome],AK743:AK2212)</f>
        <v>-2.445038752228678E-2</v>
      </c>
      <c r="AN743">
        <f>CORREL(Table1[YearsAtCompany],AK743:AK2212)</f>
        <v>-2.0792970822408191E-2</v>
      </c>
      <c r="AO743">
        <f t="shared" si="11"/>
        <v>0</v>
      </c>
    </row>
    <row r="744" spans="1:41" x14ac:dyDescent="0.25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  <c r="AK744" s="4">
        <f>IF(Table1[[#This Row],[Attrition]]="Yes", 1,0)</f>
        <v>0</v>
      </c>
      <c r="AL744">
        <f>CORREL(Table1[Age],AK744:AK2213)</f>
        <v>-1.7654096015917956E-3</v>
      </c>
      <c r="AM744">
        <f>CORREL(Table1[MonthlyIncome],AK744:AK2213)</f>
        <v>2.354326966779758E-2</v>
      </c>
      <c r="AN744">
        <f>CORREL(Table1[YearsAtCompany],AK744:AK2213)</f>
        <v>1.2634069850766256E-4</v>
      </c>
      <c r="AO744">
        <f t="shared" si="11"/>
        <v>0</v>
      </c>
    </row>
    <row r="745" spans="1:41" x14ac:dyDescent="0.25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  <c r="AK745" s="4">
        <f>IF(Table1[[#This Row],[Attrition]]="Yes", 1,0)</f>
        <v>0</v>
      </c>
      <c r="AL745">
        <f>CORREL(Table1[Age],AK745:AK2214)</f>
        <v>3.1914475352115064E-2</v>
      </c>
      <c r="AM745">
        <f>CORREL(Table1[MonthlyIncome],AK745:AK2214)</f>
        <v>1.5074562122903279E-2</v>
      </c>
      <c r="AN745">
        <f>CORREL(Table1[YearsAtCompany],AK745:AK2214)</f>
        <v>-4.0816097945899918E-3</v>
      </c>
      <c r="AO745">
        <f t="shared" si="11"/>
        <v>0</v>
      </c>
    </row>
    <row r="746" spans="1:41" x14ac:dyDescent="0.25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  <c r="AK746" s="4">
        <f>IF(Table1[[#This Row],[Attrition]]="Yes", 1,0)</f>
        <v>1</v>
      </c>
      <c r="AL746">
        <f>CORREL(Table1[Age],AK746:AK2215)</f>
        <v>2.351277581415602E-2</v>
      </c>
      <c r="AM746">
        <f>CORREL(Table1[MonthlyIncome],AK746:AK2215)</f>
        <v>6.9163251175864984E-2</v>
      </c>
      <c r="AN746">
        <f>CORREL(Table1[YearsAtCompany],AK746:AK2215)</f>
        <v>2.9280689832264107E-2</v>
      </c>
      <c r="AO746">
        <f t="shared" si="11"/>
        <v>1</v>
      </c>
    </row>
    <row r="747" spans="1:41" x14ac:dyDescent="0.25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  <c r="AK747" s="4">
        <f>IF(Table1[[#This Row],[Attrition]]="Yes", 1,0)</f>
        <v>0</v>
      </c>
      <c r="AL747">
        <f>CORREL(Table1[Age],AK747:AK2216)</f>
        <v>8.2264872998611599E-2</v>
      </c>
      <c r="AM747">
        <f>CORREL(Table1[MonthlyIncome],AK747:AK2216)</f>
        <v>2.0502953284380787E-2</v>
      </c>
      <c r="AN747">
        <f>CORREL(Table1[YearsAtCompany],AK747:AK2216)</f>
        <v>1.5463794438009047E-2</v>
      </c>
      <c r="AO747">
        <f t="shared" si="11"/>
        <v>0</v>
      </c>
    </row>
    <row r="748" spans="1:41" x14ac:dyDescent="0.25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  <c r="AK748" s="4">
        <f>IF(Table1[[#This Row],[Attrition]]="Yes", 1,0)</f>
        <v>0</v>
      </c>
      <c r="AL748">
        <f>CORREL(Table1[Age],AK748:AK2217)</f>
        <v>2.3436493174344437E-2</v>
      </c>
      <c r="AM748">
        <f>CORREL(Table1[MonthlyIncome],AK748:AK2217)</f>
        <v>5.2268564356977749E-2</v>
      </c>
      <c r="AN748">
        <f>CORREL(Table1[YearsAtCompany],AK748:AK2217)</f>
        <v>6.8525523034086475E-2</v>
      </c>
      <c r="AO748">
        <f t="shared" si="11"/>
        <v>0</v>
      </c>
    </row>
    <row r="749" spans="1:41" x14ac:dyDescent="0.25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  <c r="AK749" s="4">
        <f>IF(Table1[[#This Row],[Attrition]]="Yes", 1,0)</f>
        <v>0</v>
      </c>
      <c r="AL749">
        <f>CORREL(Table1[Age],AK749:AK2218)</f>
        <v>-2.6028385992638486E-2</v>
      </c>
      <c r="AM749">
        <f>CORREL(Table1[MonthlyIncome],AK749:AK2218)</f>
        <v>-2.3858551354569778E-2</v>
      </c>
      <c r="AN749">
        <f>CORREL(Table1[YearsAtCompany],AK749:AK2218)</f>
        <v>-6.4744335667345748E-2</v>
      </c>
      <c r="AO749">
        <f t="shared" si="11"/>
        <v>0</v>
      </c>
    </row>
    <row r="750" spans="1:41" x14ac:dyDescent="0.25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  <c r="AK750" s="4">
        <f>IF(Table1[[#This Row],[Attrition]]="Yes", 1,0)</f>
        <v>1</v>
      </c>
      <c r="AL750">
        <f>CORREL(Table1[Age],AK750:AK2219)</f>
        <v>-1.7075574710496706E-2</v>
      </c>
      <c r="AM750">
        <f>CORREL(Table1[MonthlyIncome],AK750:AK2219)</f>
        <v>8.6164941194539751E-3</v>
      </c>
      <c r="AN750">
        <f>CORREL(Table1[YearsAtCompany],AK750:AK2219)</f>
        <v>-1.0692632216312413E-2</v>
      </c>
      <c r="AO750">
        <f t="shared" si="11"/>
        <v>1</v>
      </c>
    </row>
    <row r="751" spans="1:41" x14ac:dyDescent="0.25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  <c r="AK751" s="4">
        <f>IF(Table1[[#This Row],[Attrition]]="Yes", 1,0)</f>
        <v>1</v>
      </c>
      <c r="AL751">
        <f>CORREL(Table1[Age],AK751:AK2220)</f>
        <v>-8.627706677682697E-3</v>
      </c>
      <c r="AM751">
        <f>CORREL(Table1[MonthlyIncome],AK751:AK2220)</f>
        <v>-1.4080225040475926E-2</v>
      </c>
      <c r="AN751">
        <f>CORREL(Table1[YearsAtCompany],AK751:AK2220)</f>
        <v>-1.9236660498241852E-3</v>
      </c>
      <c r="AO751">
        <f t="shared" si="11"/>
        <v>1</v>
      </c>
    </row>
    <row r="752" spans="1:41" x14ac:dyDescent="0.25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  <c r="AK752" s="4">
        <f>IF(Table1[[#This Row],[Attrition]]="Yes", 1,0)</f>
        <v>0</v>
      </c>
      <c r="AL752">
        <f>CORREL(Table1[Age],AK752:AK2221)</f>
        <v>2.2075319107143975E-4</v>
      </c>
      <c r="AM752">
        <f>CORREL(Table1[MonthlyIncome],AK752:AK2221)</f>
        <v>-1.4177231717324273E-2</v>
      </c>
      <c r="AN752">
        <f>CORREL(Table1[YearsAtCompany],AK752:AK2221)</f>
        <v>-1.5877154287351099E-2</v>
      </c>
      <c r="AO752">
        <f t="shared" si="11"/>
        <v>0</v>
      </c>
    </row>
    <row r="753" spans="1:41" x14ac:dyDescent="0.25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  <c r="AK753" s="4">
        <f>IF(Table1[[#This Row],[Attrition]]="Yes", 1,0)</f>
        <v>0</v>
      </c>
      <c r="AL753">
        <f>CORREL(Table1[Age],AK753:AK2222)</f>
        <v>5.2686801610664719E-2</v>
      </c>
      <c r="AM753">
        <f>CORREL(Table1[MonthlyIncome],AK753:AK2222)</f>
        <v>1.8931864125832781E-2</v>
      </c>
      <c r="AN753">
        <f>CORREL(Table1[YearsAtCompany],AK753:AK2222)</f>
        <v>1.6595923662261612E-2</v>
      </c>
      <c r="AO753">
        <f t="shared" si="11"/>
        <v>0</v>
      </c>
    </row>
    <row r="754" spans="1:41" x14ac:dyDescent="0.25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  <c r="AK754" s="4">
        <f>IF(Table1[[#This Row],[Attrition]]="Yes", 1,0)</f>
        <v>1</v>
      </c>
      <c r="AL754">
        <f>CORREL(Table1[Age],AK754:AK2223)</f>
        <v>1.6921632487670101E-2</v>
      </c>
      <c r="AM754">
        <f>CORREL(Table1[MonthlyIncome],AK754:AK2223)</f>
        <v>3.8954683798352839E-2</v>
      </c>
      <c r="AN754">
        <f>CORREL(Table1[YearsAtCompany],AK754:AK2223)</f>
        <v>1.6194335454126671E-2</v>
      </c>
      <c r="AO754">
        <f t="shared" si="11"/>
        <v>1</v>
      </c>
    </row>
    <row r="755" spans="1:41" x14ac:dyDescent="0.25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  <c r="AK755" s="4">
        <f>IF(Table1[[#This Row],[Attrition]]="Yes", 1,0)</f>
        <v>0</v>
      </c>
      <c r="AL755">
        <f>CORREL(Table1[Age],AK755:AK2224)</f>
        <v>6.4643420072939307E-3</v>
      </c>
      <c r="AM755">
        <f>CORREL(Table1[MonthlyIncome],AK755:AK2224)</f>
        <v>4.3868119903545499E-2</v>
      </c>
      <c r="AN755">
        <f>CORREL(Table1[YearsAtCompany],AK755:AK2224)</f>
        <v>3.8590599562190069E-2</v>
      </c>
      <c r="AO755">
        <f t="shared" si="11"/>
        <v>0</v>
      </c>
    </row>
    <row r="756" spans="1:41" x14ac:dyDescent="0.25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  <c r="AK756" s="4">
        <f>IF(Table1[[#This Row],[Attrition]]="Yes", 1,0)</f>
        <v>0</v>
      </c>
      <c r="AL756">
        <f>CORREL(Table1[Age],AK756:AK2225)</f>
        <v>-3.2639020548769729E-2</v>
      </c>
      <c r="AM756">
        <f>CORREL(Table1[MonthlyIncome],AK756:AK2225)</f>
        <v>7.8519566835585936E-3</v>
      </c>
      <c r="AN756">
        <f>CORREL(Table1[YearsAtCompany],AK756:AK2225)</f>
        <v>2.8298314427633264E-2</v>
      </c>
      <c r="AO756">
        <f t="shared" si="11"/>
        <v>0</v>
      </c>
    </row>
    <row r="757" spans="1:41" x14ac:dyDescent="0.25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  <c r="AK757" s="4">
        <f>IF(Table1[[#This Row],[Attrition]]="Yes", 1,0)</f>
        <v>0</v>
      </c>
      <c r="AL757">
        <f>CORREL(Table1[Age],AK757:AK2226)</f>
        <v>-4.7260254270169576E-2</v>
      </c>
      <c r="AM757">
        <f>CORREL(Table1[MonthlyIncome],AK757:AK2226)</f>
        <v>-5.9279522554877388E-2</v>
      </c>
      <c r="AN757">
        <f>CORREL(Table1[YearsAtCompany],AK757:AK2226)</f>
        <v>2.3291543141243367E-3</v>
      </c>
      <c r="AO757">
        <f t="shared" si="11"/>
        <v>0</v>
      </c>
    </row>
    <row r="758" spans="1:41" x14ac:dyDescent="0.25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  <c r="AK758" s="4">
        <f>IF(Table1[[#This Row],[Attrition]]="Yes", 1,0)</f>
        <v>0</v>
      </c>
      <c r="AL758">
        <f>CORREL(Table1[Age],AK758:AK2227)</f>
        <v>1.0226736163414681E-2</v>
      </c>
      <c r="AM758">
        <f>CORREL(Table1[MonthlyIncome],AK758:AK2227)</f>
        <v>-3.3335524398664718E-2</v>
      </c>
      <c r="AN758">
        <f>CORREL(Table1[YearsAtCompany],AK758:AK2227)</f>
        <v>-6.0466138956713336E-2</v>
      </c>
      <c r="AO758">
        <f t="shared" si="11"/>
        <v>0</v>
      </c>
    </row>
    <row r="759" spans="1:41" x14ac:dyDescent="0.25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  <c r="AK759" s="4">
        <f>IF(Table1[[#This Row],[Attrition]]="Yes", 1,0)</f>
        <v>0</v>
      </c>
      <c r="AL759">
        <f>CORREL(Table1[Age],AK759:AK2228)</f>
        <v>-5.3370255223858958E-2</v>
      </c>
      <c r="AM759">
        <f>CORREL(Table1[MonthlyIncome],AK759:AK2228)</f>
        <v>-3.8634032926615779E-4</v>
      </c>
      <c r="AN759">
        <f>CORREL(Table1[YearsAtCompany],AK759:AK2228)</f>
        <v>-2.4542601152376147E-2</v>
      </c>
      <c r="AO759">
        <f t="shared" si="11"/>
        <v>0</v>
      </c>
    </row>
    <row r="760" spans="1:41" x14ac:dyDescent="0.25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  <c r="AK760" s="4">
        <f>IF(Table1[[#This Row],[Attrition]]="Yes", 1,0)</f>
        <v>0</v>
      </c>
      <c r="AL760">
        <f>CORREL(Table1[Age],AK760:AK2229)</f>
        <v>1.2160578686820415E-2</v>
      </c>
      <c r="AM760">
        <f>CORREL(Table1[MonthlyIncome],AK760:AK2229)</f>
        <v>-8.0638175391872929E-3</v>
      </c>
      <c r="AN760">
        <f>CORREL(Table1[YearsAtCompany],AK760:AK2229)</f>
        <v>-2.4334177105919112E-2</v>
      </c>
      <c r="AO760">
        <f t="shared" si="11"/>
        <v>0</v>
      </c>
    </row>
    <row r="761" spans="1:41" x14ac:dyDescent="0.25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  <c r="AK761" s="4">
        <f>IF(Table1[[#This Row],[Attrition]]="Yes", 1,0)</f>
        <v>0</v>
      </c>
      <c r="AL761">
        <f>CORREL(Table1[Age],AK761:AK2230)</f>
        <v>1.2675079278822818E-4</v>
      </c>
      <c r="AM761">
        <f>CORREL(Table1[MonthlyIncome],AK761:AK2230)</f>
        <v>-1.1939796126538371E-3</v>
      </c>
      <c r="AN761">
        <f>CORREL(Table1[YearsAtCompany],AK761:AK2230)</f>
        <v>2.0790005429099145E-2</v>
      </c>
      <c r="AO761">
        <f t="shared" si="11"/>
        <v>0</v>
      </c>
    </row>
    <row r="762" spans="1:41" x14ac:dyDescent="0.25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  <c r="AK762" s="4">
        <f>IF(Table1[[#This Row],[Attrition]]="Yes", 1,0)</f>
        <v>0</v>
      </c>
      <c r="AL762">
        <f>CORREL(Table1[Age],AK762:AK2231)</f>
        <v>2.0039113982813841E-2</v>
      </c>
      <c r="AM762">
        <f>CORREL(Table1[MonthlyIncome],AK762:AK2231)</f>
        <v>1.9131758907510569E-2</v>
      </c>
      <c r="AN762">
        <f>CORREL(Table1[YearsAtCompany],AK762:AK2231)</f>
        <v>-4.243902394486799E-3</v>
      </c>
      <c r="AO762">
        <f t="shared" si="11"/>
        <v>0</v>
      </c>
    </row>
    <row r="763" spans="1:41" x14ac:dyDescent="0.25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  <c r="AK763" s="4">
        <f>IF(Table1[[#This Row],[Attrition]]="Yes", 1,0)</f>
        <v>1</v>
      </c>
      <c r="AL763">
        <f>CORREL(Table1[Age],AK763:AK2232)</f>
        <v>2.8305012879497878E-2</v>
      </c>
      <c r="AM763">
        <f>CORREL(Table1[MonthlyIncome],AK763:AK2232)</f>
        <v>-2.9774749798806839E-3</v>
      </c>
      <c r="AN763">
        <f>CORREL(Table1[YearsAtCompany],AK763:AK2232)</f>
        <v>4.8463276245398958E-2</v>
      </c>
      <c r="AO763">
        <f t="shared" si="11"/>
        <v>1</v>
      </c>
    </row>
    <row r="764" spans="1:41" x14ac:dyDescent="0.25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  <c r="AK764" s="4">
        <f>IF(Table1[[#This Row],[Attrition]]="Yes", 1,0)</f>
        <v>1</v>
      </c>
      <c r="AL764">
        <f>CORREL(Table1[Age],AK764:AK2233)</f>
        <v>-8.476401781259758E-3</v>
      </c>
      <c r="AM764">
        <f>CORREL(Table1[MonthlyIncome],AK764:AK2233)</f>
        <v>1.786175218998538E-2</v>
      </c>
      <c r="AN764">
        <f>CORREL(Table1[YearsAtCompany],AK764:AK2233)</f>
        <v>2.0783778931432722E-2</v>
      </c>
      <c r="AO764">
        <f t="shared" si="11"/>
        <v>1</v>
      </c>
    </row>
    <row r="765" spans="1:41" x14ac:dyDescent="0.25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  <c r="AK765" s="4">
        <f>IF(Table1[[#This Row],[Attrition]]="Yes", 1,0)</f>
        <v>0</v>
      </c>
      <c r="AL765">
        <f>CORREL(Table1[Age],AK765:AK2234)</f>
        <v>1.9095282352369514E-2</v>
      </c>
      <c r="AM765">
        <f>CORREL(Table1[MonthlyIncome],AK765:AK2234)</f>
        <v>4.8589338590407045E-2</v>
      </c>
      <c r="AN765">
        <f>CORREL(Table1[YearsAtCompany],AK765:AK2234)</f>
        <v>5.1322571206095069E-2</v>
      </c>
      <c r="AO765">
        <f t="shared" si="11"/>
        <v>0</v>
      </c>
    </row>
    <row r="766" spans="1:41" x14ac:dyDescent="0.25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  <c r="AK766" s="4">
        <f>IF(Table1[[#This Row],[Attrition]]="Yes", 1,0)</f>
        <v>0</v>
      </c>
      <c r="AL766">
        <f>CORREL(Table1[Age],AK766:AK2235)</f>
        <v>-1.1427010809054734E-2</v>
      </c>
      <c r="AM766">
        <f>CORREL(Table1[MonthlyIncome],AK766:AK2235)</f>
        <v>-9.851668425819712E-3</v>
      </c>
      <c r="AN766">
        <f>CORREL(Table1[YearsAtCompany],AK766:AK2235)</f>
        <v>-5.5943579413420978E-2</v>
      </c>
      <c r="AO766">
        <f t="shared" si="11"/>
        <v>0</v>
      </c>
    </row>
    <row r="767" spans="1:41" x14ac:dyDescent="0.25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  <c r="AK767" s="4">
        <f>IF(Table1[[#This Row],[Attrition]]="Yes", 1,0)</f>
        <v>0</v>
      </c>
      <c r="AL767">
        <f>CORREL(Table1[Age],AK767:AK2236)</f>
        <v>1.2386658368203371E-2</v>
      </c>
      <c r="AM767">
        <f>CORREL(Table1[MonthlyIncome],AK767:AK2236)</f>
        <v>8.887549968093619E-3</v>
      </c>
      <c r="AN767">
        <f>CORREL(Table1[YearsAtCompany],AK767:AK2236)</f>
        <v>1.8560919783467765E-2</v>
      </c>
      <c r="AO767">
        <f t="shared" si="11"/>
        <v>0</v>
      </c>
    </row>
    <row r="768" spans="1:41" x14ac:dyDescent="0.25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  <c r="AK768" s="4">
        <f>IF(Table1[[#This Row],[Attrition]]="Yes", 1,0)</f>
        <v>0</v>
      </c>
      <c r="AL768">
        <f>CORREL(Table1[Age],AK768:AK2237)</f>
        <v>2.2943107354031151E-3</v>
      </c>
      <c r="AM768">
        <f>CORREL(Table1[MonthlyIncome],AK768:AK2237)</f>
        <v>1.9005981690215445E-2</v>
      </c>
      <c r="AN768">
        <f>CORREL(Table1[YearsAtCompany],AK768:AK2237)</f>
        <v>-1.2757429741499036E-3</v>
      </c>
      <c r="AO768">
        <f t="shared" si="11"/>
        <v>0</v>
      </c>
    </row>
    <row r="769" spans="1:41" x14ac:dyDescent="0.25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  <c r="AK769" s="4">
        <f>IF(Table1[[#This Row],[Attrition]]="Yes", 1,0)</f>
        <v>0</v>
      </c>
      <c r="AL769">
        <f>CORREL(Table1[Age],AK769:AK2238)</f>
        <v>-9.6518006204862089E-2</v>
      </c>
      <c r="AM769">
        <f>CORREL(Table1[MonthlyIncome],AK769:AK2238)</f>
        <v>-4.3121169163917131E-2</v>
      </c>
      <c r="AN769">
        <f>CORREL(Table1[YearsAtCompany],AK769:AK2238)</f>
        <v>-2.7099807927785994E-2</v>
      </c>
      <c r="AO769">
        <f t="shared" si="11"/>
        <v>0</v>
      </c>
    </row>
    <row r="770" spans="1:41" x14ac:dyDescent="0.25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  <c r="AK770" s="4">
        <f>IF(Table1[[#This Row],[Attrition]]="Yes", 1,0)</f>
        <v>0</v>
      </c>
      <c r="AL770">
        <f>CORREL(Table1[Age],AK770:AK2239)</f>
        <v>-4.2566746306304686E-2</v>
      </c>
      <c r="AM770">
        <f>CORREL(Table1[MonthlyIncome],AK770:AK2239)</f>
        <v>-1.5205219147630978E-2</v>
      </c>
      <c r="AN770">
        <f>CORREL(Table1[YearsAtCompany],AK770:AK2239)</f>
        <v>-1.4798080217460888E-2</v>
      </c>
      <c r="AO770">
        <f t="shared" si="11"/>
        <v>0</v>
      </c>
    </row>
    <row r="771" spans="1:41" x14ac:dyDescent="0.25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  <c r="AK771" s="4">
        <f>IF(Table1[[#This Row],[Attrition]]="Yes", 1,0)</f>
        <v>0</v>
      </c>
      <c r="AL771">
        <f>CORREL(Table1[Age],AK771:AK2240)</f>
        <v>5.07403885782214E-3</v>
      </c>
      <c r="AM771">
        <f>CORREL(Table1[MonthlyIncome],AK771:AK2240)</f>
        <v>4.0005184324701216E-2</v>
      </c>
      <c r="AN771">
        <f>CORREL(Table1[YearsAtCompany],AK771:AK2240)</f>
        <v>6.6872492439205664E-2</v>
      </c>
      <c r="AO771">
        <f t="shared" ref="AO771:AO834" si="12">ABS(AK771)</f>
        <v>0</v>
      </c>
    </row>
    <row r="772" spans="1:41" x14ac:dyDescent="0.25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  <c r="AK772" s="4">
        <f>IF(Table1[[#This Row],[Attrition]]="Yes", 1,0)</f>
        <v>0</v>
      </c>
      <c r="AL772">
        <f>CORREL(Table1[Age],AK772:AK2241)</f>
        <v>1.1944733015300878E-2</v>
      </c>
      <c r="AM772">
        <f>CORREL(Table1[MonthlyIncome],AK772:AK2241)</f>
        <v>1.0605858508291122E-2</v>
      </c>
      <c r="AN772">
        <f>CORREL(Table1[YearsAtCompany],AK772:AK2241)</f>
        <v>-1.5054802594087308E-2</v>
      </c>
      <c r="AO772">
        <f t="shared" si="12"/>
        <v>0</v>
      </c>
    </row>
    <row r="773" spans="1:41" x14ac:dyDescent="0.25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  <c r="AK773" s="4">
        <f>IF(Table1[[#This Row],[Attrition]]="Yes", 1,0)</f>
        <v>0</v>
      </c>
      <c r="AL773">
        <f>CORREL(Table1[Age],AK773:AK2242)</f>
        <v>4.2742466988419908E-2</v>
      </c>
      <c r="AM773">
        <f>CORREL(Table1[MonthlyIncome],AK773:AK2242)</f>
        <v>3.5908351858402958E-2</v>
      </c>
      <c r="AN773">
        <f>CORREL(Table1[YearsAtCompany],AK773:AK2242)</f>
        <v>1.0848995444522095E-2</v>
      </c>
      <c r="AO773">
        <f t="shared" si="12"/>
        <v>0</v>
      </c>
    </row>
    <row r="774" spans="1:41" x14ac:dyDescent="0.25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  <c r="AK774" s="4">
        <f>IF(Table1[[#This Row],[Attrition]]="Yes", 1,0)</f>
        <v>0</v>
      </c>
      <c r="AL774">
        <f>CORREL(Table1[Age],AK774:AK2243)</f>
        <v>-1.3119868647533053E-2</v>
      </c>
      <c r="AM774">
        <f>CORREL(Table1[MonthlyIncome],AK774:AK2243)</f>
        <v>-3.7641384613830528E-2</v>
      </c>
      <c r="AN774">
        <f>CORREL(Table1[YearsAtCompany],AK774:AK2243)</f>
        <v>-7.7099787744851949E-3</v>
      </c>
      <c r="AO774">
        <f t="shared" si="12"/>
        <v>0</v>
      </c>
    </row>
    <row r="775" spans="1:41" x14ac:dyDescent="0.25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  <c r="AK775" s="4">
        <f>IF(Table1[[#This Row],[Attrition]]="Yes", 1,0)</f>
        <v>0</v>
      </c>
      <c r="AL775">
        <f>CORREL(Table1[Age],AK775:AK2244)</f>
        <v>-1.2396749431094234E-2</v>
      </c>
      <c r="AM775">
        <f>CORREL(Table1[MonthlyIncome],AK775:AK2244)</f>
        <v>-5.7463230288744879E-2</v>
      </c>
      <c r="AN775">
        <f>CORREL(Table1[YearsAtCompany],AK775:AK2244)</f>
        <v>-1.0554727404451764E-2</v>
      </c>
      <c r="AO775">
        <f t="shared" si="12"/>
        <v>0</v>
      </c>
    </row>
    <row r="776" spans="1:41" x14ac:dyDescent="0.25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  <c r="AK776" s="4">
        <f>IF(Table1[[#This Row],[Attrition]]="Yes", 1,0)</f>
        <v>0</v>
      </c>
      <c r="AL776">
        <f>CORREL(Table1[Age],AK776:AK2245)</f>
        <v>9.132375842003923E-3</v>
      </c>
      <c r="AM776">
        <f>CORREL(Table1[MonthlyIncome],AK776:AK2245)</f>
        <v>-1.5867143753710157E-2</v>
      </c>
      <c r="AN776">
        <f>CORREL(Table1[YearsAtCompany],AK776:AK2245)</f>
        <v>5.3966938188367036E-2</v>
      </c>
      <c r="AO776">
        <f t="shared" si="12"/>
        <v>0</v>
      </c>
    </row>
    <row r="777" spans="1:41" x14ac:dyDescent="0.25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  <c r="AK777" s="4">
        <f>IF(Table1[[#This Row],[Attrition]]="Yes", 1,0)</f>
        <v>0</v>
      </c>
      <c r="AL777">
        <f>CORREL(Table1[Age],AK777:AK2246)</f>
        <v>-2.023779575531191E-2</v>
      </c>
      <c r="AM777">
        <f>CORREL(Table1[MonthlyIncome],AK777:AK2246)</f>
        <v>-1.8707326694344231E-2</v>
      </c>
      <c r="AN777">
        <f>CORREL(Table1[YearsAtCompany],AK777:AK2246)</f>
        <v>4.428995870303179E-2</v>
      </c>
      <c r="AO777">
        <f t="shared" si="12"/>
        <v>0</v>
      </c>
    </row>
    <row r="778" spans="1:41" x14ac:dyDescent="0.25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  <c r="AK778" s="4">
        <f>IF(Table1[[#This Row],[Attrition]]="Yes", 1,0)</f>
        <v>1</v>
      </c>
      <c r="AL778">
        <f>CORREL(Table1[Age],AK778:AK2247)</f>
        <v>-3.9396098511584349E-2</v>
      </c>
      <c r="AM778">
        <f>CORREL(Table1[MonthlyIncome],AK778:AK2247)</f>
        <v>-2.7907367511810961E-2</v>
      </c>
      <c r="AN778">
        <f>CORREL(Table1[YearsAtCompany],AK778:AK2247)</f>
        <v>-6.7169747833949612E-4</v>
      </c>
      <c r="AO778">
        <f t="shared" si="12"/>
        <v>1</v>
      </c>
    </row>
    <row r="779" spans="1:41" x14ac:dyDescent="0.25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  <c r="AK779" s="4">
        <f>IF(Table1[[#This Row],[Attrition]]="Yes", 1,0)</f>
        <v>1</v>
      </c>
      <c r="AL779">
        <f>CORREL(Table1[Age],AK779:AK2248)</f>
        <v>6.1475544909732248E-2</v>
      </c>
      <c r="AM779">
        <f>CORREL(Table1[MonthlyIncome],AK779:AK2248)</f>
        <v>-1.5657988890958624E-2</v>
      </c>
      <c r="AN779">
        <f>CORREL(Table1[YearsAtCompany],AK779:AK2248)</f>
        <v>-1.4597445560128484E-2</v>
      </c>
      <c r="AO779">
        <f t="shared" si="12"/>
        <v>1</v>
      </c>
    </row>
    <row r="780" spans="1:41" x14ac:dyDescent="0.25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  <c r="AK780" s="4">
        <f>IF(Table1[[#This Row],[Attrition]]="Yes", 1,0)</f>
        <v>0</v>
      </c>
      <c r="AL780">
        <f>CORREL(Table1[Age],AK780:AK2249)</f>
        <v>6.5553197081517897E-2</v>
      </c>
      <c r="AM780">
        <f>CORREL(Table1[MonthlyIncome],AK780:AK2249)</f>
        <v>1.1388818804766481E-2</v>
      </c>
      <c r="AN780">
        <f>CORREL(Table1[YearsAtCompany],AK780:AK2249)</f>
        <v>-3.1905252150395795E-2</v>
      </c>
      <c r="AO780">
        <f t="shared" si="12"/>
        <v>0</v>
      </c>
    </row>
    <row r="781" spans="1:41" x14ac:dyDescent="0.25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  <c r="AK781" s="4">
        <f>IF(Table1[[#This Row],[Attrition]]="Yes", 1,0)</f>
        <v>1</v>
      </c>
      <c r="AL781">
        <f>CORREL(Table1[Age],AK781:AK2250)</f>
        <v>-1.2095889352515713E-2</v>
      </c>
      <c r="AM781">
        <f>CORREL(Table1[MonthlyIncome],AK781:AK2250)</f>
        <v>-1.370253722273298E-2</v>
      </c>
      <c r="AN781">
        <f>CORREL(Table1[YearsAtCompany],AK781:AK2250)</f>
        <v>-1.5471657781817943E-3</v>
      </c>
      <c r="AO781">
        <f t="shared" si="12"/>
        <v>1</v>
      </c>
    </row>
    <row r="782" spans="1:41" x14ac:dyDescent="0.25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  <c r="AK782" s="4">
        <f>IF(Table1[[#This Row],[Attrition]]="Yes", 1,0)</f>
        <v>1</v>
      </c>
      <c r="AL782">
        <f>CORREL(Table1[Age],AK782:AK2251)</f>
        <v>6.9378853767626172E-3</v>
      </c>
      <c r="AM782">
        <f>CORREL(Table1[MonthlyIncome],AK782:AK2251)</f>
        <v>1.6428873029584862E-2</v>
      </c>
      <c r="AN782">
        <f>CORREL(Table1[YearsAtCompany],AK782:AK2251)</f>
        <v>2.2256255928239439E-2</v>
      </c>
      <c r="AO782">
        <f t="shared" si="12"/>
        <v>1</v>
      </c>
    </row>
    <row r="783" spans="1:41" x14ac:dyDescent="0.25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  <c r="AK783" s="4">
        <f>IF(Table1[[#This Row],[Attrition]]="Yes", 1,0)</f>
        <v>0</v>
      </c>
      <c r="AL783">
        <f>CORREL(Table1[Age],AK783:AK2252)</f>
        <v>-5.2380003196238423E-2</v>
      </c>
      <c r="AM783">
        <f>CORREL(Table1[MonthlyIncome],AK783:AK2252)</f>
        <v>4.8189106318349578E-2</v>
      </c>
      <c r="AN783">
        <f>CORREL(Table1[YearsAtCompany],AK783:AK2252)</f>
        <v>-9.4812420016986351E-3</v>
      </c>
      <c r="AO783">
        <f t="shared" si="12"/>
        <v>0</v>
      </c>
    </row>
    <row r="784" spans="1:41" x14ac:dyDescent="0.25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  <c r="AK784" s="4">
        <f>IF(Table1[[#This Row],[Attrition]]="Yes", 1,0)</f>
        <v>0</v>
      </c>
      <c r="AL784">
        <f>CORREL(Table1[Age],AK784:AK2253)</f>
        <v>-1.341667625585247E-2</v>
      </c>
      <c r="AM784">
        <f>CORREL(Table1[MonthlyIncome],AK784:AK2253)</f>
        <v>4.9124980079519841E-3</v>
      </c>
      <c r="AN784">
        <f>CORREL(Table1[YearsAtCompany],AK784:AK2253)</f>
        <v>-6.5086224447461205E-2</v>
      </c>
      <c r="AO784">
        <f t="shared" si="12"/>
        <v>0</v>
      </c>
    </row>
    <row r="785" spans="1:41" x14ac:dyDescent="0.25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  <c r="AK785" s="4">
        <f>IF(Table1[[#This Row],[Attrition]]="Yes", 1,0)</f>
        <v>0</v>
      </c>
      <c r="AL785">
        <f>CORREL(Table1[Age],AK785:AK2254)</f>
        <v>-6.3232310282269555E-2</v>
      </c>
      <c r="AM785">
        <f>CORREL(Table1[MonthlyIncome],AK785:AK2254)</f>
        <v>-6.5671777665687131E-2</v>
      </c>
      <c r="AN785">
        <f>CORREL(Table1[YearsAtCompany],AK785:AK2254)</f>
        <v>-9.6613927950287018E-2</v>
      </c>
      <c r="AO785">
        <f t="shared" si="12"/>
        <v>0</v>
      </c>
    </row>
    <row r="786" spans="1:41" x14ac:dyDescent="0.25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  <c r="AK786" s="4">
        <f>IF(Table1[[#This Row],[Attrition]]="Yes", 1,0)</f>
        <v>0</v>
      </c>
      <c r="AL786">
        <f>CORREL(Table1[Age],AK786:AK2255)</f>
        <v>-2.9507110352360661E-2</v>
      </c>
      <c r="AM786">
        <f>CORREL(Table1[MonthlyIncome],AK786:AK2255)</f>
        <v>1.6316971609611902E-2</v>
      </c>
      <c r="AN786">
        <f>CORREL(Table1[YearsAtCompany],AK786:AK2255)</f>
        <v>-2.4916395262866882E-2</v>
      </c>
      <c r="AO786">
        <f t="shared" si="12"/>
        <v>0</v>
      </c>
    </row>
    <row r="787" spans="1:41" x14ac:dyDescent="0.25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  <c r="AK787" s="4">
        <f>IF(Table1[[#This Row],[Attrition]]="Yes", 1,0)</f>
        <v>0</v>
      </c>
      <c r="AL787">
        <f>CORREL(Table1[Age],AK787:AK2256)</f>
        <v>-7.1940544808669168E-2</v>
      </c>
      <c r="AM787">
        <f>CORREL(Table1[MonthlyIncome],AK787:AK2256)</f>
        <v>2.0854575375980372E-2</v>
      </c>
      <c r="AN787">
        <f>CORREL(Table1[YearsAtCompany],AK787:AK2256)</f>
        <v>6.5361234299734658E-2</v>
      </c>
      <c r="AO787">
        <f t="shared" si="12"/>
        <v>0</v>
      </c>
    </row>
    <row r="788" spans="1:41" x14ac:dyDescent="0.25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  <c r="AK788" s="4">
        <f>IF(Table1[[#This Row],[Attrition]]="Yes", 1,0)</f>
        <v>0</v>
      </c>
      <c r="AL788">
        <f>CORREL(Table1[Age],AK788:AK2257)</f>
        <v>-3.7806009838813021E-2</v>
      </c>
      <c r="AM788">
        <f>CORREL(Table1[MonthlyIncome],AK788:AK2257)</f>
        <v>-2.0900864759100555E-2</v>
      </c>
      <c r="AN788">
        <f>CORREL(Table1[YearsAtCompany],AK788:AK2257)</f>
        <v>-1.2350062462575693E-2</v>
      </c>
      <c r="AO788">
        <f t="shared" si="12"/>
        <v>0</v>
      </c>
    </row>
    <row r="789" spans="1:41" x14ac:dyDescent="0.25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  <c r="AK789" s="4">
        <f>IF(Table1[[#This Row],[Attrition]]="Yes", 1,0)</f>
        <v>0</v>
      </c>
      <c r="AL789">
        <f>CORREL(Table1[Age],AK789:AK2258)</f>
        <v>4.3070058670104022E-2</v>
      </c>
      <c r="AM789">
        <f>CORREL(Table1[MonthlyIncome],AK789:AK2258)</f>
        <v>1.1029082501473397E-2</v>
      </c>
      <c r="AN789">
        <f>CORREL(Table1[YearsAtCompany],AK789:AK2258)</f>
        <v>3.2256251601281684E-2</v>
      </c>
      <c r="AO789">
        <f t="shared" si="12"/>
        <v>0</v>
      </c>
    </row>
    <row r="790" spans="1:41" x14ac:dyDescent="0.25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  <c r="AK790" s="4">
        <f>IF(Table1[[#This Row],[Attrition]]="Yes", 1,0)</f>
        <v>0</v>
      </c>
      <c r="AL790">
        <f>CORREL(Table1[Age],AK790:AK2259)</f>
        <v>4.145939235917008E-2</v>
      </c>
      <c r="AM790">
        <f>CORREL(Table1[MonthlyIncome],AK790:AK2259)</f>
        <v>6.3757268072163739E-2</v>
      </c>
      <c r="AN790">
        <f>CORREL(Table1[YearsAtCompany],AK790:AK2259)</f>
        <v>7.5845480189439832E-2</v>
      </c>
      <c r="AO790">
        <f t="shared" si="12"/>
        <v>0</v>
      </c>
    </row>
    <row r="791" spans="1:41" x14ac:dyDescent="0.25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  <c r="AK791" s="4">
        <f>IF(Table1[[#This Row],[Attrition]]="Yes", 1,0)</f>
        <v>1</v>
      </c>
      <c r="AL791">
        <f>CORREL(Table1[Age],AK791:AK2260)</f>
        <v>-1.0693499413604026E-3</v>
      </c>
      <c r="AM791">
        <f>CORREL(Table1[MonthlyIncome],AK791:AK2260)</f>
        <v>-1.7081819794927386E-2</v>
      </c>
      <c r="AN791">
        <f>CORREL(Table1[YearsAtCompany],AK791:AK2260)</f>
        <v>4.9068359772529102E-2</v>
      </c>
      <c r="AO791">
        <f t="shared" si="12"/>
        <v>1</v>
      </c>
    </row>
    <row r="792" spans="1:41" x14ac:dyDescent="0.25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  <c r="AK792" s="4">
        <f>IF(Table1[[#This Row],[Attrition]]="Yes", 1,0)</f>
        <v>0</v>
      </c>
      <c r="AL792">
        <f>CORREL(Table1[Age],AK792:AK2261)</f>
        <v>8.3322767256434789E-3</v>
      </c>
      <c r="AM792">
        <f>CORREL(Table1[MonthlyIncome],AK792:AK2261)</f>
        <v>-4.779916742104455E-2</v>
      </c>
      <c r="AN792">
        <f>CORREL(Table1[YearsAtCompany],AK792:AK2261)</f>
        <v>-2.5364016654626995E-2</v>
      </c>
      <c r="AO792">
        <f t="shared" si="12"/>
        <v>0</v>
      </c>
    </row>
    <row r="793" spans="1:41" x14ac:dyDescent="0.25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  <c r="AK793" s="4">
        <f>IF(Table1[[#This Row],[Attrition]]="Yes", 1,0)</f>
        <v>1</v>
      </c>
      <c r="AL793">
        <f>CORREL(Table1[Age],AK793:AK2262)</f>
        <v>1.4489746461187672E-3</v>
      </c>
      <c r="AM793">
        <f>CORREL(Table1[MonthlyIncome],AK793:AK2262)</f>
        <v>-3.4769432410727164E-2</v>
      </c>
      <c r="AN793">
        <f>CORREL(Table1[YearsAtCompany],AK793:AK2262)</f>
        <v>-4.4746899213656065E-2</v>
      </c>
      <c r="AO793">
        <f t="shared" si="12"/>
        <v>1</v>
      </c>
    </row>
    <row r="794" spans="1:41" x14ac:dyDescent="0.25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  <c r="AK794" s="4">
        <f>IF(Table1[[#This Row],[Attrition]]="Yes", 1,0)</f>
        <v>1</v>
      </c>
      <c r="AL794">
        <f>CORREL(Table1[Age],AK794:AK2263)</f>
        <v>1.1732372799143076E-2</v>
      </c>
      <c r="AM794">
        <f>CORREL(Table1[MonthlyIncome],AK794:AK2263)</f>
        <v>-2.2338430647860136E-2</v>
      </c>
      <c r="AN794">
        <f>CORREL(Table1[YearsAtCompany],AK794:AK2263)</f>
        <v>-4.5674035063036654E-2</v>
      </c>
      <c r="AO794">
        <f t="shared" si="12"/>
        <v>1</v>
      </c>
    </row>
    <row r="795" spans="1:41" x14ac:dyDescent="0.25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  <c r="AK795" s="4">
        <f>IF(Table1[[#This Row],[Attrition]]="Yes", 1,0)</f>
        <v>0</v>
      </c>
      <c r="AL795">
        <f>CORREL(Table1[Age],AK795:AK2264)</f>
        <v>-2.7606216996481466E-2</v>
      </c>
      <c r="AM795">
        <f>CORREL(Table1[MonthlyIncome],AK795:AK2264)</f>
        <v>6.0292977869941498E-3</v>
      </c>
      <c r="AN795">
        <f>CORREL(Table1[YearsAtCompany],AK795:AK2264)</f>
        <v>-4.1072677303869813E-2</v>
      </c>
      <c r="AO795">
        <f t="shared" si="12"/>
        <v>0</v>
      </c>
    </row>
    <row r="796" spans="1:41" x14ac:dyDescent="0.25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  <c r="AK796" s="4">
        <f>IF(Table1[[#This Row],[Attrition]]="Yes", 1,0)</f>
        <v>0</v>
      </c>
      <c r="AL796">
        <f>CORREL(Table1[Age],AK796:AK2265)</f>
        <v>2.9917663750780768E-2</v>
      </c>
      <c r="AM796">
        <f>CORREL(Table1[MonthlyIncome],AK796:AK2265)</f>
        <v>1.2202074155934045E-2</v>
      </c>
      <c r="AN796">
        <f>CORREL(Table1[YearsAtCompany],AK796:AK2265)</f>
        <v>3.2359306817048183E-2</v>
      </c>
      <c r="AO796">
        <f t="shared" si="12"/>
        <v>0</v>
      </c>
    </row>
    <row r="797" spans="1:41" x14ac:dyDescent="0.25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  <c r="AK797" s="4">
        <f>IF(Table1[[#This Row],[Attrition]]="Yes", 1,0)</f>
        <v>0</v>
      </c>
      <c r="AL797">
        <f>CORREL(Table1[Age],AK797:AK2266)</f>
        <v>3.8269732697019977E-2</v>
      </c>
      <c r="AM797">
        <f>CORREL(Table1[MonthlyIncome],AK797:AK2266)</f>
        <v>3.0274051536299973E-2</v>
      </c>
      <c r="AN797">
        <f>CORREL(Table1[YearsAtCompany],AK797:AK2266)</f>
        <v>7.151099495896554E-2</v>
      </c>
      <c r="AO797">
        <f t="shared" si="12"/>
        <v>0</v>
      </c>
    </row>
    <row r="798" spans="1:41" x14ac:dyDescent="0.25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  <c r="AK798" s="4">
        <f>IF(Table1[[#This Row],[Attrition]]="Yes", 1,0)</f>
        <v>1</v>
      </c>
      <c r="AL798">
        <f>CORREL(Table1[Age],AK798:AK2267)</f>
        <v>2.5729619969181183E-3</v>
      </c>
      <c r="AM798">
        <f>CORREL(Table1[MonthlyIncome],AK798:AK2267)</f>
        <v>-3.2645433507958996E-2</v>
      </c>
      <c r="AN798">
        <f>CORREL(Table1[YearsAtCompany],AK798:AK2267)</f>
        <v>2.5219552097825611E-2</v>
      </c>
      <c r="AO798">
        <f t="shared" si="12"/>
        <v>1</v>
      </c>
    </row>
    <row r="799" spans="1:41" x14ac:dyDescent="0.25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  <c r="AK799" s="4">
        <f>IF(Table1[[#This Row],[Attrition]]="Yes", 1,0)</f>
        <v>1</v>
      </c>
      <c r="AL799">
        <f>CORREL(Table1[Age],AK799:AK2268)</f>
        <v>1.9883509909807077E-2</v>
      </c>
      <c r="AM799">
        <f>CORREL(Table1[MonthlyIncome],AK799:AK2268)</f>
        <v>-1.1195566715064781E-3</v>
      </c>
      <c r="AN799">
        <f>CORREL(Table1[YearsAtCompany],AK799:AK2268)</f>
        <v>-4.5353532347269708E-2</v>
      </c>
      <c r="AO799">
        <f t="shared" si="12"/>
        <v>1</v>
      </c>
    </row>
    <row r="800" spans="1:41" x14ac:dyDescent="0.25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  <c r="AK800" s="4">
        <f>IF(Table1[[#This Row],[Attrition]]="Yes", 1,0)</f>
        <v>1</v>
      </c>
      <c r="AL800">
        <f>CORREL(Table1[Age],AK800:AK2269)</f>
        <v>2.1588495498351231E-2</v>
      </c>
      <c r="AM800">
        <f>CORREL(Table1[MonthlyIncome],AK800:AK2269)</f>
        <v>2.4239688434806211E-2</v>
      </c>
      <c r="AN800">
        <f>CORREL(Table1[YearsAtCompany],AK800:AK2269)</f>
        <v>1.7017039166430024E-2</v>
      </c>
      <c r="AO800">
        <f t="shared" si="12"/>
        <v>1</v>
      </c>
    </row>
    <row r="801" spans="1:41" x14ac:dyDescent="0.25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  <c r="AK801" s="4">
        <f>IF(Table1[[#This Row],[Attrition]]="Yes", 1,0)</f>
        <v>0</v>
      </c>
      <c r="AL801">
        <f>CORREL(Table1[Age],AK801:AK2270)</f>
        <v>1.2984671186563148E-2</v>
      </c>
      <c r="AM801">
        <f>CORREL(Table1[MonthlyIncome],AK801:AK2270)</f>
        <v>2.5733033208933894E-3</v>
      </c>
      <c r="AN801">
        <f>CORREL(Table1[YearsAtCompany],AK801:AK2270)</f>
        <v>-4.0097452947286123E-2</v>
      </c>
      <c r="AO801">
        <f t="shared" si="12"/>
        <v>0</v>
      </c>
    </row>
    <row r="802" spans="1:41" x14ac:dyDescent="0.25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  <c r="AK802" s="4">
        <f>IF(Table1[[#This Row],[Attrition]]="Yes", 1,0)</f>
        <v>1</v>
      </c>
      <c r="AL802">
        <f>CORREL(Table1[Age],AK802:AK2271)</f>
        <v>-1.5688998426828794E-2</v>
      </c>
      <c r="AM802">
        <f>CORREL(Table1[MonthlyIncome],AK802:AK2271)</f>
        <v>-3.9010928621334227E-2</v>
      </c>
      <c r="AN802">
        <f>CORREL(Table1[YearsAtCompany],AK802:AK2271)</f>
        <v>3.2175596977069953E-2</v>
      </c>
      <c r="AO802">
        <f t="shared" si="12"/>
        <v>1</v>
      </c>
    </row>
    <row r="803" spans="1:41" x14ac:dyDescent="0.25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  <c r="AK803" s="4">
        <f>IF(Table1[[#This Row],[Attrition]]="Yes", 1,0)</f>
        <v>1</v>
      </c>
      <c r="AL803">
        <f>CORREL(Table1[Age],AK803:AK2272)</f>
        <v>3.2123156235093882E-2</v>
      </c>
      <c r="AM803">
        <f>CORREL(Table1[MonthlyIncome],AK803:AK2272)</f>
        <v>4.3705934565021295E-2</v>
      </c>
      <c r="AN803">
        <f>CORREL(Table1[YearsAtCompany],AK803:AK2272)</f>
        <v>1.7397672409357628E-3</v>
      </c>
      <c r="AO803">
        <f t="shared" si="12"/>
        <v>1</v>
      </c>
    </row>
    <row r="804" spans="1:41" x14ac:dyDescent="0.25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  <c r="AK804" s="4">
        <f>IF(Table1[[#This Row],[Attrition]]="Yes", 1,0)</f>
        <v>0</v>
      </c>
      <c r="AL804">
        <f>CORREL(Table1[Age],AK804:AK2273)</f>
        <v>6.0494550454603582E-3</v>
      </c>
      <c r="AM804">
        <f>CORREL(Table1[MonthlyIncome],AK804:AK2273)</f>
        <v>3.0811326724933169E-2</v>
      </c>
      <c r="AN804">
        <f>CORREL(Table1[YearsAtCompany],AK804:AK2273)</f>
        <v>7.2854394105130296E-2</v>
      </c>
      <c r="AO804">
        <f t="shared" si="12"/>
        <v>0</v>
      </c>
    </row>
    <row r="805" spans="1:41" x14ac:dyDescent="0.25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  <c r="AK805" s="4">
        <f>IF(Table1[[#This Row],[Attrition]]="Yes", 1,0)</f>
        <v>0</v>
      </c>
      <c r="AL805">
        <f>CORREL(Table1[Age],AK805:AK2274)</f>
        <v>4.17927669438675E-2</v>
      </c>
      <c r="AM805">
        <f>CORREL(Table1[MonthlyIncome],AK805:AK2274)</f>
        <v>1.0816617469899125E-2</v>
      </c>
      <c r="AN805">
        <f>CORREL(Table1[YearsAtCompany],AK805:AK2274)</f>
        <v>5.5781983614866609E-2</v>
      </c>
      <c r="AO805">
        <f t="shared" si="12"/>
        <v>0</v>
      </c>
    </row>
    <row r="806" spans="1:41" x14ac:dyDescent="0.25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  <c r="AK806" s="4">
        <f>IF(Table1[[#This Row],[Attrition]]="Yes", 1,0)</f>
        <v>0</v>
      </c>
      <c r="AL806">
        <f>CORREL(Table1[Age],AK806:AK2275)</f>
        <v>-5.629404626623153E-2</v>
      </c>
      <c r="AM806">
        <f>CORREL(Table1[MonthlyIncome],AK806:AK2275)</f>
        <v>3.414735898630953E-3</v>
      </c>
      <c r="AN806">
        <f>CORREL(Table1[YearsAtCompany],AK806:AK2275)</f>
        <v>-1.0976955203866453E-2</v>
      </c>
      <c r="AO806">
        <f t="shared" si="12"/>
        <v>0</v>
      </c>
    </row>
    <row r="807" spans="1:41" x14ac:dyDescent="0.25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  <c r="AK807" s="4">
        <f>IF(Table1[[#This Row],[Attrition]]="Yes", 1,0)</f>
        <v>0</v>
      </c>
      <c r="AL807">
        <f>CORREL(Table1[Age],AK807:AK2276)</f>
        <v>-2.41468642083753E-2</v>
      </c>
      <c r="AM807">
        <f>CORREL(Table1[MonthlyIncome],AK807:AK2276)</f>
        <v>8.3169665853744001E-4</v>
      </c>
      <c r="AN807">
        <f>CORREL(Table1[YearsAtCompany],AK807:AK2276)</f>
        <v>-3.8338286415574518E-2</v>
      </c>
      <c r="AO807">
        <f t="shared" si="12"/>
        <v>0</v>
      </c>
    </row>
    <row r="808" spans="1:41" x14ac:dyDescent="0.25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  <c r="AK808" s="4">
        <f>IF(Table1[[#This Row],[Attrition]]="Yes", 1,0)</f>
        <v>0</v>
      </c>
      <c r="AL808">
        <f>CORREL(Table1[Age],AK808:AK2277)</f>
        <v>3.0282789299937142E-2</v>
      </c>
      <c r="AM808">
        <f>CORREL(Table1[MonthlyIncome],AK808:AK2277)</f>
        <v>2.2555425193595192E-2</v>
      </c>
      <c r="AN808">
        <f>CORREL(Table1[YearsAtCompany],AK808:AK2277)</f>
        <v>-2.5989466992486126E-3</v>
      </c>
      <c r="AO808">
        <f t="shared" si="12"/>
        <v>0</v>
      </c>
    </row>
    <row r="809" spans="1:41" x14ac:dyDescent="0.25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  <c r="AK809" s="4">
        <f>IF(Table1[[#This Row],[Attrition]]="Yes", 1,0)</f>
        <v>0</v>
      </c>
      <c r="AL809">
        <f>CORREL(Table1[Age],AK809:AK2278)</f>
        <v>3.2881955807547748E-2</v>
      </c>
      <c r="AM809">
        <f>CORREL(Table1[MonthlyIncome],AK809:AK2278)</f>
        <v>3.5550272261039212E-2</v>
      </c>
      <c r="AN809">
        <f>CORREL(Table1[YearsAtCompany],AK809:AK2278)</f>
        <v>-9.1292201631039648E-3</v>
      </c>
      <c r="AO809">
        <f t="shared" si="12"/>
        <v>0</v>
      </c>
    </row>
    <row r="810" spans="1:41" x14ac:dyDescent="0.25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  <c r="AK810" s="4">
        <f>IF(Table1[[#This Row],[Attrition]]="Yes", 1,0)</f>
        <v>0</v>
      </c>
      <c r="AL810">
        <f>CORREL(Table1[Age],AK810:AK2279)</f>
        <v>-6.27804760373461E-2</v>
      </c>
      <c r="AM810">
        <f>CORREL(Table1[MonthlyIncome],AK810:AK2279)</f>
        <v>-9.8115331348163169E-3</v>
      </c>
      <c r="AN810">
        <f>CORREL(Table1[YearsAtCompany],AK810:AK2279)</f>
        <v>-3.00797277832211E-2</v>
      </c>
      <c r="AO810">
        <f t="shared" si="12"/>
        <v>0</v>
      </c>
    </row>
    <row r="811" spans="1:41" x14ac:dyDescent="0.25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  <c r="AK811" s="4">
        <f>IF(Table1[[#This Row],[Attrition]]="Yes", 1,0)</f>
        <v>0</v>
      </c>
      <c r="AL811">
        <f>CORREL(Table1[Age],AK811:AK2280)</f>
        <v>-2.6249955537426266E-3</v>
      </c>
      <c r="AM811">
        <f>CORREL(Table1[MonthlyIncome],AK811:AK2280)</f>
        <v>3.7929992120866365E-3</v>
      </c>
      <c r="AN811">
        <f>CORREL(Table1[YearsAtCompany],AK811:AK2280)</f>
        <v>1.1543459262843865E-2</v>
      </c>
      <c r="AO811">
        <f t="shared" si="12"/>
        <v>0</v>
      </c>
    </row>
    <row r="812" spans="1:41" x14ac:dyDescent="0.25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  <c r="AK812" s="4">
        <f>IF(Table1[[#This Row],[Attrition]]="Yes", 1,0)</f>
        <v>0</v>
      </c>
      <c r="AL812">
        <f>CORREL(Table1[Age],AK812:AK2281)</f>
        <v>2.745628693255189E-2</v>
      </c>
      <c r="AM812">
        <f>CORREL(Table1[MonthlyIncome],AK812:AK2281)</f>
        <v>-5.7315174078748858E-2</v>
      </c>
      <c r="AN812">
        <f>CORREL(Table1[YearsAtCompany],AK812:AK2281)</f>
        <v>-3.33124370550772E-2</v>
      </c>
      <c r="AO812">
        <f t="shared" si="12"/>
        <v>0</v>
      </c>
    </row>
    <row r="813" spans="1:41" x14ac:dyDescent="0.25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  <c r="AK813" s="4">
        <f>IF(Table1[[#This Row],[Attrition]]="Yes", 1,0)</f>
        <v>0</v>
      </c>
      <c r="AL813">
        <f>CORREL(Table1[Age],AK813:AK2282)</f>
        <v>6.3893118590405071E-3</v>
      </c>
      <c r="AM813">
        <f>CORREL(Table1[MonthlyIncome],AK813:AK2282)</f>
        <v>2.0353618352509147E-2</v>
      </c>
      <c r="AN813">
        <f>CORREL(Table1[YearsAtCompany],AK813:AK2282)</f>
        <v>2.9815236151355975E-2</v>
      </c>
      <c r="AO813">
        <f t="shared" si="12"/>
        <v>0</v>
      </c>
    </row>
    <row r="814" spans="1:41" x14ac:dyDescent="0.25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  <c r="AK814" s="4">
        <f>IF(Table1[[#This Row],[Attrition]]="Yes", 1,0)</f>
        <v>0</v>
      </c>
      <c r="AL814">
        <f>CORREL(Table1[Age],AK814:AK2283)</f>
        <v>-2.6806440937721148E-2</v>
      </c>
      <c r="AM814">
        <f>CORREL(Table1[MonthlyIncome],AK814:AK2283)</f>
        <v>1.5873426912878411E-2</v>
      </c>
      <c r="AN814">
        <f>CORREL(Table1[YearsAtCompany],AK814:AK2283)</f>
        <v>1.0749920182070404E-2</v>
      </c>
      <c r="AO814">
        <f t="shared" si="12"/>
        <v>0</v>
      </c>
    </row>
    <row r="815" spans="1:41" x14ac:dyDescent="0.25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  <c r="AK815" s="4">
        <f>IF(Table1[[#This Row],[Attrition]]="Yes", 1,0)</f>
        <v>1</v>
      </c>
      <c r="AL815">
        <f>CORREL(Table1[Age],AK815:AK2284)</f>
        <v>4.232956327899929E-2</v>
      </c>
      <c r="AM815">
        <f>CORREL(Table1[MonthlyIncome],AK815:AK2284)</f>
        <v>2.4515374170356718E-2</v>
      </c>
      <c r="AN815">
        <f>CORREL(Table1[YearsAtCompany],AK815:AK2284)</f>
        <v>7.7224606273568641E-2</v>
      </c>
      <c r="AO815">
        <f t="shared" si="12"/>
        <v>1</v>
      </c>
    </row>
    <row r="816" spans="1:41" x14ac:dyDescent="0.25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  <c r="AK816" s="4">
        <f>IF(Table1[[#This Row],[Attrition]]="Yes", 1,0)</f>
        <v>0</v>
      </c>
      <c r="AL816">
        <f>CORREL(Table1[Age],AK816:AK2285)</f>
        <v>-6.7684954833532776E-2</v>
      </c>
      <c r="AM816">
        <f>CORREL(Table1[MonthlyIncome],AK816:AK2285)</f>
        <v>-3.8756286715238883E-2</v>
      </c>
      <c r="AN816">
        <f>CORREL(Table1[YearsAtCompany],AK816:AK2285)</f>
        <v>-2.6626530418731573E-2</v>
      </c>
      <c r="AO816">
        <f t="shared" si="12"/>
        <v>0</v>
      </c>
    </row>
    <row r="817" spans="1:41" x14ac:dyDescent="0.25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  <c r="AK817" s="4">
        <f>IF(Table1[[#This Row],[Attrition]]="Yes", 1,0)</f>
        <v>0</v>
      </c>
      <c r="AL817">
        <f>CORREL(Table1[Age],AK817:AK2286)</f>
        <v>-4.7834458399649227E-2</v>
      </c>
      <c r="AM817">
        <f>CORREL(Table1[MonthlyIncome],AK817:AK2286)</f>
        <v>5.1639611455228246E-3</v>
      </c>
      <c r="AN817">
        <f>CORREL(Table1[YearsAtCompany],AK817:AK2286)</f>
        <v>-2.6275594575786779E-2</v>
      </c>
      <c r="AO817">
        <f t="shared" si="12"/>
        <v>0</v>
      </c>
    </row>
    <row r="818" spans="1:41" x14ac:dyDescent="0.25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  <c r="AK818" s="4">
        <f>IF(Table1[[#This Row],[Attrition]]="Yes", 1,0)</f>
        <v>0</v>
      </c>
      <c r="AL818">
        <f>CORREL(Table1[Age],AK818:AK2287)</f>
        <v>-7.6084592676081322E-2</v>
      </c>
      <c r="AM818">
        <f>CORREL(Table1[MonthlyIncome],AK818:AK2287)</f>
        <v>-1.1358896859341282E-2</v>
      </c>
      <c r="AN818">
        <f>CORREL(Table1[YearsAtCompany],AK818:AK2287)</f>
        <v>-3.4464316169723487E-2</v>
      </c>
      <c r="AO818">
        <f t="shared" si="12"/>
        <v>0</v>
      </c>
    </row>
    <row r="819" spans="1:41" x14ac:dyDescent="0.25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  <c r="AK819" s="4">
        <f>IF(Table1[[#This Row],[Attrition]]="Yes", 1,0)</f>
        <v>0</v>
      </c>
      <c r="AL819">
        <f>CORREL(Table1[Age],AK819:AK2288)</f>
        <v>-1.4769235239692494E-2</v>
      </c>
      <c r="AM819">
        <f>CORREL(Table1[MonthlyIncome],AK819:AK2288)</f>
        <v>8.5837368638101465E-3</v>
      </c>
      <c r="AN819">
        <f>CORREL(Table1[YearsAtCompany],AK819:AK2288)</f>
        <v>3.2788197473321158E-2</v>
      </c>
      <c r="AO819">
        <f t="shared" si="12"/>
        <v>0</v>
      </c>
    </row>
    <row r="820" spans="1:41" x14ac:dyDescent="0.25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  <c r="AK820" s="4">
        <f>IF(Table1[[#This Row],[Attrition]]="Yes", 1,0)</f>
        <v>0</v>
      </c>
      <c r="AL820">
        <f>CORREL(Table1[Age],AK820:AK2289)</f>
        <v>-1.2930519871055065E-2</v>
      </c>
      <c r="AM820">
        <f>CORREL(Table1[MonthlyIncome],AK820:AK2289)</f>
        <v>-6.5780061946460425E-2</v>
      </c>
      <c r="AN820">
        <f>CORREL(Table1[YearsAtCompany],AK820:AK2289)</f>
        <v>-3.7485383095560702E-2</v>
      </c>
      <c r="AO820">
        <f t="shared" si="12"/>
        <v>0</v>
      </c>
    </row>
    <row r="821" spans="1:41" x14ac:dyDescent="0.25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  <c r="AK821" s="4">
        <f>IF(Table1[[#This Row],[Attrition]]="Yes", 1,0)</f>
        <v>0</v>
      </c>
      <c r="AL821">
        <f>CORREL(Table1[Age],AK821:AK2290)</f>
        <v>-8.9370943888007967E-2</v>
      </c>
      <c r="AM821">
        <f>CORREL(Table1[MonthlyIncome],AK821:AK2290)</f>
        <v>-6.9996639693167176E-2</v>
      </c>
      <c r="AN821">
        <f>CORREL(Table1[YearsAtCompany],AK821:AK2290)</f>
        <v>-3.7491322516541088E-2</v>
      </c>
      <c r="AO821">
        <f t="shared" si="12"/>
        <v>0</v>
      </c>
    </row>
    <row r="822" spans="1:41" x14ac:dyDescent="0.25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  <c r="AK822" s="4">
        <f>IF(Table1[[#This Row],[Attrition]]="Yes", 1,0)</f>
        <v>0</v>
      </c>
      <c r="AL822">
        <f>CORREL(Table1[Age],AK822:AK2291)</f>
        <v>1.8497591530054397E-2</v>
      </c>
      <c r="AM822">
        <f>CORREL(Table1[MonthlyIncome],AK822:AK2291)</f>
        <v>8.3532970690836483E-2</v>
      </c>
      <c r="AN822">
        <f>CORREL(Table1[YearsAtCompany],AK822:AK2291)</f>
        <v>2.3493337650851927E-2</v>
      </c>
      <c r="AO822">
        <f t="shared" si="12"/>
        <v>0</v>
      </c>
    </row>
    <row r="823" spans="1:41" x14ac:dyDescent="0.25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  <c r="AK823" s="4">
        <f>IF(Table1[[#This Row],[Attrition]]="Yes", 1,0)</f>
        <v>0</v>
      </c>
      <c r="AL823">
        <f>CORREL(Table1[Age],AK823:AK2292)</f>
        <v>-2.1305817520855051E-2</v>
      </c>
      <c r="AM823">
        <f>CORREL(Table1[MonthlyIncome],AK823:AK2292)</f>
        <v>5.2269344499772663E-3</v>
      </c>
      <c r="AN823">
        <f>CORREL(Table1[YearsAtCompany],AK823:AK2292)</f>
        <v>5.4974215607463579E-2</v>
      </c>
      <c r="AO823">
        <f t="shared" si="12"/>
        <v>0</v>
      </c>
    </row>
    <row r="824" spans="1:41" x14ac:dyDescent="0.25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  <c r="AK824" s="4">
        <f>IF(Table1[[#This Row],[Attrition]]="Yes", 1,0)</f>
        <v>0</v>
      </c>
      <c r="AL824">
        <f>CORREL(Table1[Age],AK824:AK2293)</f>
        <v>6.0212916953100451E-2</v>
      </c>
      <c r="AM824">
        <f>CORREL(Table1[MonthlyIncome],AK824:AK2293)</f>
        <v>1.4353231978303524E-2</v>
      </c>
      <c r="AN824">
        <f>CORREL(Table1[YearsAtCompany],AK824:AK2293)</f>
        <v>-4.4160592163522146E-2</v>
      </c>
      <c r="AO824">
        <f t="shared" si="12"/>
        <v>0</v>
      </c>
    </row>
    <row r="825" spans="1:41" x14ac:dyDescent="0.25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  <c r="AK825" s="4">
        <f>IF(Table1[[#This Row],[Attrition]]="Yes", 1,0)</f>
        <v>0</v>
      </c>
      <c r="AL825">
        <f>CORREL(Table1[Age],AK825:AK2294)</f>
        <v>-2.5493058352757127E-3</v>
      </c>
      <c r="AM825">
        <f>CORREL(Table1[MonthlyIncome],AK825:AK2294)</f>
        <v>3.6777884215574902E-2</v>
      </c>
      <c r="AN825">
        <f>CORREL(Table1[YearsAtCompany],AK825:AK2294)</f>
        <v>6.2687284288996574E-3</v>
      </c>
      <c r="AO825">
        <f t="shared" si="12"/>
        <v>0</v>
      </c>
    </row>
    <row r="826" spans="1:41" x14ac:dyDescent="0.25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  <c r="AK826" s="4">
        <f>IF(Table1[[#This Row],[Attrition]]="Yes", 1,0)</f>
        <v>0</v>
      </c>
      <c r="AL826">
        <f>CORREL(Table1[Age],AK826:AK2295)</f>
        <v>2.7213744337811329E-2</v>
      </c>
      <c r="AM826">
        <f>CORREL(Table1[MonthlyIncome],AK826:AK2295)</f>
        <v>-2.5489884910757842E-2</v>
      </c>
      <c r="AN826">
        <f>CORREL(Table1[YearsAtCompany],AK826:AK2295)</f>
        <v>-3.0641472152540816E-2</v>
      </c>
      <c r="AO826">
        <f t="shared" si="12"/>
        <v>0</v>
      </c>
    </row>
    <row r="827" spans="1:41" x14ac:dyDescent="0.25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  <c r="AK827" s="4">
        <f>IF(Table1[[#This Row],[Attrition]]="Yes", 1,0)</f>
        <v>0</v>
      </c>
      <c r="AL827">
        <f>CORREL(Table1[Age],AK827:AK2296)</f>
        <v>-6.1291929744540412E-3</v>
      </c>
      <c r="AM827">
        <f>CORREL(Table1[MonthlyIncome],AK827:AK2296)</f>
        <v>-6.1314056666360951E-2</v>
      </c>
      <c r="AN827">
        <f>CORREL(Table1[YearsAtCompany],AK827:AK2296)</f>
        <v>4.3781660003296669E-2</v>
      </c>
      <c r="AO827">
        <f t="shared" si="12"/>
        <v>0</v>
      </c>
    </row>
    <row r="828" spans="1:41" x14ac:dyDescent="0.25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  <c r="AK828" s="4">
        <f>IF(Table1[[#This Row],[Attrition]]="Yes", 1,0)</f>
        <v>0</v>
      </c>
      <c r="AL828">
        <f>CORREL(Table1[Age],AK828:AK2297)</f>
        <v>3.6219964373121298E-3</v>
      </c>
      <c r="AM828">
        <f>CORREL(Table1[MonthlyIncome],AK828:AK2297)</f>
        <v>2.881515246788775E-2</v>
      </c>
      <c r="AN828">
        <f>CORREL(Table1[YearsAtCompany],AK828:AK2297)</f>
        <v>1.0636109924711786E-2</v>
      </c>
      <c r="AO828">
        <f t="shared" si="12"/>
        <v>0</v>
      </c>
    </row>
    <row r="829" spans="1:41" x14ac:dyDescent="0.25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  <c r="AK829" s="4">
        <f>IF(Table1[[#This Row],[Attrition]]="Yes", 1,0)</f>
        <v>0</v>
      </c>
      <c r="AL829">
        <f>CORREL(Table1[Age],AK829:AK2298)</f>
        <v>1.2147014551647556E-3</v>
      </c>
      <c r="AM829">
        <f>CORREL(Table1[MonthlyIncome],AK829:AK2298)</f>
        <v>3.155763288845248E-2</v>
      </c>
      <c r="AN829">
        <f>CORREL(Table1[YearsAtCompany],AK829:AK2298)</f>
        <v>1.8524515562321181E-2</v>
      </c>
      <c r="AO829">
        <f t="shared" si="12"/>
        <v>0</v>
      </c>
    </row>
    <row r="830" spans="1:41" x14ac:dyDescent="0.25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  <c r="AK830" s="4">
        <f>IF(Table1[[#This Row],[Attrition]]="Yes", 1,0)</f>
        <v>1</v>
      </c>
      <c r="AL830">
        <f>CORREL(Table1[Age],AK830:AK2299)</f>
        <v>4.7547367492218287E-2</v>
      </c>
      <c r="AM830">
        <f>CORREL(Table1[MonthlyIncome],AK830:AK2299)</f>
        <v>-9.624958755722602E-3</v>
      </c>
      <c r="AN830">
        <f>CORREL(Table1[YearsAtCompany],AK830:AK2299)</f>
        <v>-1.2361540621723286E-2</v>
      </c>
      <c r="AO830">
        <f t="shared" si="12"/>
        <v>1</v>
      </c>
    </row>
    <row r="831" spans="1:41" x14ac:dyDescent="0.25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  <c r="AK831" s="4">
        <f>IF(Table1[[#This Row],[Attrition]]="Yes", 1,0)</f>
        <v>1</v>
      </c>
      <c r="AL831">
        <f>CORREL(Table1[Age],AK831:AK2300)</f>
        <v>5.5246313989688239E-2</v>
      </c>
      <c r="AM831">
        <f>CORREL(Table1[MonthlyIncome],AK831:AK2300)</f>
        <v>-1.6504892625273119E-3</v>
      </c>
      <c r="AN831">
        <f>CORREL(Table1[YearsAtCompany],AK831:AK2300)</f>
        <v>3.1301632735545613E-2</v>
      </c>
      <c r="AO831">
        <f t="shared" si="12"/>
        <v>1</v>
      </c>
    </row>
    <row r="832" spans="1:41" x14ac:dyDescent="0.25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  <c r="AK832" s="4">
        <f>IF(Table1[[#This Row],[Attrition]]="Yes", 1,0)</f>
        <v>0</v>
      </c>
      <c r="AL832">
        <f>CORREL(Table1[Age],AK832:AK2301)</f>
        <v>4.4311582086302259E-2</v>
      </c>
      <c r="AM832">
        <f>CORREL(Table1[MonthlyIncome],AK832:AK2301)</f>
        <v>-2.28979658382703E-2</v>
      </c>
      <c r="AN832">
        <f>CORREL(Table1[YearsAtCompany],AK832:AK2301)</f>
        <v>4.0779403339834423E-2</v>
      </c>
      <c r="AO832">
        <f t="shared" si="12"/>
        <v>0</v>
      </c>
    </row>
    <row r="833" spans="1:41" x14ac:dyDescent="0.25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  <c r="AK833" s="4">
        <f>IF(Table1[[#This Row],[Attrition]]="Yes", 1,0)</f>
        <v>1</v>
      </c>
      <c r="AL833">
        <f>CORREL(Table1[Age],AK833:AK2302)</f>
        <v>-4.3701840623266265E-3</v>
      </c>
      <c r="AM833">
        <f>CORREL(Table1[MonthlyIncome],AK833:AK2302)</f>
        <v>3.8882960510449698E-3</v>
      </c>
      <c r="AN833">
        <f>CORREL(Table1[YearsAtCompany],AK833:AK2302)</f>
        <v>1.1185789303270166E-2</v>
      </c>
      <c r="AO833">
        <f t="shared" si="12"/>
        <v>1</v>
      </c>
    </row>
    <row r="834" spans="1:41" x14ac:dyDescent="0.25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  <c r="AK834" s="4">
        <f>IF(Table1[[#This Row],[Attrition]]="Yes", 1,0)</f>
        <v>0</v>
      </c>
      <c r="AL834">
        <f>CORREL(Table1[Age],AK834:AK2303)</f>
        <v>-4.2012608821098231E-2</v>
      </c>
      <c r="AM834">
        <f>CORREL(Table1[MonthlyIncome],AK834:AK2303)</f>
        <v>-2.2020840957637487E-2</v>
      </c>
      <c r="AN834">
        <f>CORREL(Table1[YearsAtCompany],AK834:AK2303)</f>
        <v>-1.9064173418369121E-2</v>
      </c>
      <c r="AO834">
        <f t="shared" si="12"/>
        <v>0</v>
      </c>
    </row>
    <row r="835" spans="1:41" x14ac:dyDescent="0.25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  <c r="AK835" s="4">
        <f>IF(Table1[[#This Row],[Attrition]]="Yes", 1,0)</f>
        <v>0</v>
      </c>
      <c r="AL835">
        <f>CORREL(Table1[Age],AK835:AK2304)</f>
        <v>8.0047821380374515E-3</v>
      </c>
      <c r="AM835">
        <f>CORREL(Table1[MonthlyIncome],AK835:AK2304)</f>
        <v>3.1869804004105794E-2</v>
      </c>
      <c r="AN835">
        <f>CORREL(Table1[YearsAtCompany],AK835:AK2304)</f>
        <v>-5.7827177870096134E-2</v>
      </c>
      <c r="AO835">
        <f t="shared" ref="AO835:AO898" si="13">ABS(AK835)</f>
        <v>0</v>
      </c>
    </row>
    <row r="836" spans="1:41" x14ac:dyDescent="0.25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  <c r="AK836" s="4">
        <f>IF(Table1[[#This Row],[Attrition]]="Yes", 1,0)</f>
        <v>0</v>
      </c>
      <c r="AL836">
        <f>CORREL(Table1[Age],AK836:AK2305)</f>
        <v>1.1168490217075201E-2</v>
      </c>
      <c r="AM836">
        <f>CORREL(Table1[MonthlyIncome],AK836:AK2305)</f>
        <v>5.0316874617134182E-2</v>
      </c>
      <c r="AN836">
        <f>CORREL(Table1[YearsAtCompany],AK836:AK2305)</f>
        <v>5.4657140883166829E-3</v>
      </c>
      <c r="AO836">
        <f t="shared" si="13"/>
        <v>0</v>
      </c>
    </row>
    <row r="837" spans="1:41" x14ac:dyDescent="0.25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  <c r="AK837" s="4">
        <f>IF(Table1[[#This Row],[Attrition]]="Yes", 1,0)</f>
        <v>0</v>
      </c>
      <c r="AL837">
        <f>CORREL(Table1[Age],AK837:AK2306)</f>
        <v>3.6469308702481606E-2</v>
      </c>
      <c r="AM837">
        <f>CORREL(Table1[MonthlyIncome],AK837:AK2306)</f>
        <v>6.0450838059747644E-2</v>
      </c>
      <c r="AN837">
        <f>CORREL(Table1[YearsAtCompany],AK837:AK2306)</f>
        <v>-1.1330933209046013E-2</v>
      </c>
      <c r="AO837">
        <f t="shared" si="13"/>
        <v>0</v>
      </c>
    </row>
    <row r="838" spans="1:41" x14ac:dyDescent="0.25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  <c r="AK838" s="4">
        <f>IF(Table1[[#This Row],[Attrition]]="Yes", 1,0)</f>
        <v>1</v>
      </c>
      <c r="AL838">
        <f>CORREL(Table1[Age],AK838:AK2307)</f>
        <v>-3.4756904699096815E-3</v>
      </c>
      <c r="AM838">
        <f>CORREL(Table1[MonthlyIncome],AK838:AK2307)</f>
        <v>-9.3939159582204675E-3</v>
      </c>
      <c r="AN838">
        <f>CORREL(Table1[YearsAtCompany],AK838:AK2307)</f>
        <v>-1.2471799370392244E-3</v>
      </c>
      <c r="AO838">
        <f t="shared" si="13"/>
        <v>1</v>
      </c>
    </row>
    <row r="839" spans="1:41" x14ac:dyDescent="0.25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  <c r="AK839" s="4">
        <f>IF(Table1[[#This Row],[Attrition]]="Yes", 1,0)</f>
        <v>0</v>
      </c>
      <c r="AL839">
        <f>CORREL(Table1[Age],AK839:AK2308)</f>
        <v>-8.3361462437499343E-3</v>
      </c>
      <c r="AM839">
        <f>CORREL(Table1[MonthlyIncome],AK839:AK2308)</f>
        <v>-3.415660312374548E-2</v>
      </c>
      <c r="AN839">
        <f>CORREL(Table1[YearsAtCompany],AK839:AK2308)</f>
        <v>-1.2480617362480191E-2</v>
      </c>
      <c r="AO839">
        <f t="shared" si="13"/>
        <v>0</v>
      </c>
    </row>
    <row r="840" spans="1:41" x14ac:dyDescent="0.25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  <c r="AK840" s="4">
        <f>IF(Table1[[#This Row],[Attrition]]="Yes", 1,0)</f>
        <v>1</v>
      </c>
      <c r="AL840">
        <f>CORREL(Table1[Age],AK840:AK2309)</f>
        <v>-2.6460474299671154E-2</v>
      </c>
      <c r="AM840">
        <f>CORREL(Table1[MonthlyIncome],AK840:AK2309)</f>
        <v>2.5657093239869421E-3</v>
      </c>
      <c r="AN840">
        <f>CORREL(Table1[YearsAtCompany],AK840:AK2309)</f>
        <v>-2.1288355171935266E-2</v>
      </c>
      <c r="AO840">
        <f t="shared" si="13"/>
        <v>1</v>
      </c>
    </row>
    <row r="841" spans="1:41" x14ac:dyDescent="0.25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  <c r="AK841" s="4">
        <f>IF(Table1[[#This Row],[Attrition]]="Yes", 1,0)</f>
        <v>0</v>
      </c>
      <c r="AL841">
        <f>CORREL(Table1[Age],AK841:AK2310)</f>
        <v>-3.7089221754436463E-2</v>
      </c>
      <c r="AM841">
        <f>CORREL(Table1[MonthlyIncome],AK841:AK2310)</f>
        <v>-6.8556496096368838E-2</v>
      </c>
      <c r="AN841">
        <f>CORREL(Table1[YearsAtCompany],AK841:AK2310)</f>
        <v>-2.2479651828586102E-2</v>
      </c>
      <c r="AO841">
        <f t="shared" si="13"/>
        <v>0</v>
      </c>
    </row>
    <row r="842" spans="1:41" x14ac:dyDescent="0.25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  <c r="AK842" s="4">
        <f>IF(Table1[[#This Row],[Attrition]]="Yes", 1,0)</f>
        <v>0</v>
      </c>
      <c r="AL842">
        <f>CORREL(Table1[Age],AK842:AK2311)</f>
        <v>-3.8707320796099197E-2</v>
      </c>
      <c r="AM842">
        <f>CORREL(Table1[MonthlyIncome],AK842:AK2311)</f>
        <v>-4.5362354534850817E-2</v>
      </c>
      <c r="AN842">
        <f>CORREL(Table1[YearsAtCompany],AK842:AK2311)</f>
        <v>-1.5384474374928056E-2</v>
      </c>
      <c r="AO842">
        <f t="shared" si="13"/>
        <v>0</v>
      </c>
    </row>
    <row r="843" spans="1:41" x14ac:dyDescent="0.25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  <c r="AK843" s="4">
        <f>IF(Table1[[#This Row],[Attrition]]="Yes", 1,0)</f>
        <v>0</v>
      </c>
      <c r="AL843">
        <f>CORREL(Table1[Age],AK843:AK2312)</f>
        <v>2.6550584169774176E-2</v>
      </c>
      <c r="AM843">
        <f>CORREL(Table1[MonthlyIncome],AK843:AK2312)</f>
        <v>2.0835095627402361E-2</v>
      </c>
      <c r="AN843">
        <f>CORREL(Table1[YearsAtCompany],AK843:AK2312)</f>
        <v>-4.4047342917375089E-2</v>
      </c>
      <c r="AO843">
        <f t="shared" si="13"/>
        <v>0</v>
      </c>
    </row>
    <row r="844" spans="1:41" x14ac:dyDescent="0.25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  <c r="AK844" s="4">
        <f>IF(Table1[[#This Row],[Attrition]]="Yes", 1,0)</f>
        <v>1</v>
      </c>
      <c r="AL844">
        <f>CORREL(Table1[Age],AK844:AK2313)</f>
        <v>-2.026565828466995E-2</v>
      </c>
      <c r="AM844">
        <f>CORREL(Table1[MonthlyIncome],AK844:AK2313)</f>
        <v>7.6778520430326749E-2</v>
      </c>
      <c r="AN844">
        <f>CORREL(Table1[YearsAtCompany],AK844:AK2313)</f>
        <v>6.1534297717620971E-2</v>
      </c>
      <c r="AO844">
        <f t="shared" si="13"/>
        <v>1</v>
      </c>
    </row>
    <row r="845" spans="1:41" x14ac:dyDescent="0.25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  <c r="AK845" s="4">
        <f>IF(Table1[[#This Row],[Attrition]]="Yes", 1,0)</f>
        <v>0</v>
      </c>
      <c r="AL845">
        <f>CORREL(Table1[Age],AK845:AK2314)</f>
        <v>3.3068251253403798E-2</v>
      </c>
      <c r="AM845">
        <f>CORREL(Table1[MonthlyIncome],AK845:AK2314)</f>
        <v>-1.3507556105437373E-2</v>
      </c>
      <c r="AN845">
        <f>CORREL(Table1[YearsAtCompany],AK845:AK2314)</f>
        <v>-1.398297069894293E-2</v>
      </c>
      <c r="AO845">
        <f t="shared" si="13"/>
        <v>0</v>
      </c>
    </row>
    <row r="846" spans="1:41" x14ac:dyDescent="0.25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  <c r="AK846" s="4">
        <f>IF(Table1[[#This Row],[Attrition]]="Yes", 1,0)</f>
        <v>0</v>
      </c>
      <c r="AL846">
        <f>CORREL(Table1[Age],AK846:AK2315)</f>
        <v>9.7307586892536146E-4</v>
      </c>
      <c r="AM846">
        <f>CORREL(Table1[MonthlyIncome],AK846:AK2315)</f>
        <v>4.5699520165004819E-3</v>
      </c>
      <c r="AN846">
        <f>CORREL(Table1[YearsAtCompany],AK846:AK2315)</f>
        <v>-2.1874814533602651E-2</v>
      </c>
      <c r="AO846">
        <f t="shared" si="13"/>
        <v>0</v>
      </c>
    </row>
    <row r="847" spans="1:41" x14ac:dyDescent="0.25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  <c r="AK847" s="4">
        <f>IF(Table1[[#This Row],[Attrition]]="Yes", 1,0)</f>
        <v>0</v>
      </c>
      <c r="AL847">
        <f>CORREL(Table1[Age],AK847:AK2316)</f>
        <v>4.6333963615351206E-2</v>
      </c>
      <c r="AM847">
        <f>CORREL(Table1[MonthlyIncome],AK847:AK2316)</f>
        <v>2.3826081403434084E-2</v>
      </c>
      <c r="AN847">
        <f>CORREL(Table1[YearsAtCompany],AK847:AK2316)</f>
        <v>1.5596219233328145E-2</v>
      </c>
      <c r="AO847">
        <f t="shared" si="13"/>
        <v>0</v>
      </c>
    </row>
    <row r="848" spans="1:41" x14ac:dyDescent="0.25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  <c r="AK848" s="4">
        <f>IF(Table1[[#This Row],[Attrition]]="Yes", 1,0)</f>
        <v>0</v>
      </c>
      <c r="AL848">
        <f>CORREL(Table1[Age],AK848:AK2317)</f>
        <v>7.0297959874548427E-2</v>
      </c>
      <c r="AM848">
        <f>CORREL(Table1[MonthlyIncome],AK848:AK2317)</f>
        <v>0.13876205928122121</v>
      </c>
      <c r="AN848">
        <f>CORREL(Table1[YearsAtCompany],AK848:AK2317)</f>
        <v>0.13266772483819098</v>
      </c>
      <c r="AO848">
        <f t="shared" si="13"/>
        <v>0</v>
      </c>
    </row>
    <row r="849" spans="1:41" x14ac:dyDescent="0.25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  <c r="AK849" s="4">
        <f>IF(Table1[[#This Row],[Attrition]]="Yes", 1,0)</f>
        <v>0</v>
      </c>
      <c r="AL849">
        <f>CORREL(Table1[Age],AK849:AK2318)</f>
        <v>2.9269878927274385E-2</v>
      </c>
      <c r="AM849">
        <f>CORREL(Table1[MonthlyIncome],AK849:AK2318)</f>
        <v>3.9978836033486551E-2</v>
      </c>
      <c r="AN849">
        <f>CORREL(Table1[YearsAtCompany],AK849:AK2318)</f>
        <v>-1.9739729753288107E-2</v>
      </c>
      <c r="AO849">
        <f t="shared" si="13"/>
        <v>0</v>
      </c>
    </row>
    <row r="850" spans="1:41" x14ac:dyDescent="0.25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  <c r="AK850" s="4">
        <f>IF(Table1[[#This Row],[Attrition]]="Yes", 1,0)</f>
        <v>0</v>
      </c>
      <c r="AL850">
        <f>CORREL(Table1[Age],AK850:AK2319)</f>
        <v>4.7681634447564779E-3</v>
      </c>
      <c r="AM850">
        <f>CORREL(Table1[MonthlyIncome],AK850:AK2319)</f>
        <v>-2.5208092695901459E-2</v>
      </c>
      <c r="AN850">
        <f>CORREL(Table1[YearsAtCompany],AK850:AK2319)</f>
        <v>-1.1026528572127836E-3</v>
      </c>
      <c r="AO850">
        <f t="shared" si="13"/>
        <v>0</v>
      </c>
    </row>
    <row r="851" spans="1:41" x14ac:dyDescent="0.25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  <c r="AK851" s="4">
        <f>IF(Table1[[#This Row],[Attrition]]="Yes", 1,0)</f>
        <v>1</v>
      </c>
      <c r="AL851">
        <f>CORREL(Table1[Age],AK851:AK2320)</f>
        <v>9.3623709186597889E-2</v>
      </c>
      <c r="AM851">
        <f>CORREL(Table1[MonthlyIncome],AK851:AK2320)</f>
        <v>7.7340914550802775E-2</v>
      </c>
      <c r="AN851">
        <f>CORREL(Table1[YearsAtCompany],AK851:AK2320)</f>
        <v>0.10226078396595659</v>
      </c>
      <c r="AO851">
        <f t="shared" si="13"/>
        <v>1</v>
      </c>
    </row>
    <row r="852" spans="1:41" x14ac:dyDescent="0.25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  <c r="AK852" s="4">
        <f>IF(Table1[[#This Row],[Attrition]]="Yes", 1,0)</f>
        <v>0</v>
      </c>
      <c r="AL852">
        <f>CORREL(Table1[Age],AK852:AK2321)</f>
        <v>-1.148291427066187E-2</v>
      </c>
      <c r="AM852">
        <f>CORREL(Table1[MonthlyIncome],AK852:AK2321)</f>
        <v>-3.7313483621300776E-2</v>
      </c>
      <c r="AN852">
        <f>CORREL(Table1[YearsAtCompany],AK852:AK2321)</f>
        <v>-4.1531261557951164E-2</v>
      </c>
      <c r="AO852">
        <f t="shared" si="13"/>
        <v>0</v>
      </c>
    </row>
    <row r="853" spans="1:41" x14ac:dyDescent="0.25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  <c r="AK853" s="4">
        <f>IF(Table1[[#This Row],[Attrition]]="Yes", 1,0)</f>
        <v>0</v>
      </c>
      <c r="AL853">
        <f>CORREL(Table1[Age],AK853:AK2322)</f>
        <v>-3.1193086460732176E-2</v>
      </c>
      <c r="AM853">
        <f>CORREL(Table1[MonthlyIncome],AK853:AK2322)</f>
        <v>-7.660307650854091E-2</v>
      </c>
      <c r="AN853">
        <f>CORREL(Table1[YearsAtCompany],AK853:AK2322)</f>
        <v>-1.108489082873911E-2</v>
      </c>
      <c r="AO853">
        <f t="shared" si="13"/>
        <v>0</v>
      </c>
    </row>
    <row r="854" spans="1:41" x14ac:dyDescent="0.25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  <c r="AK854" s="4">
        <f>IF(Table1[[#This Row],[Attrition]]="Yes", 1,0)</f>
        <v>0</v>
      </c>
      <c r="AL854">
        <f>CORREL(Table1[Age],AK854:AK2323)</f>
        <v>-4.0854610296415128E-2</v>
      </c>
      <c r="AM854">
        <f>CORREL(Table1[MonthlyIncome],AK854:AK2323)</f>
        <v>-3.2703340031880405E-2</v>
      </c>
      <c r="AN854">
        <f>CORREL(Table1[YearsAtCompany],AK854:AK2323)</f>
        <v>-1.4803984143252387E-4</v>
      </c>
      <c r="AO854">
        <f t="shared" si="13"/>
        <v>0</v>
      </c>
    </row>
    <row r="855" spans="1:41" x14ac:dyDescent="0.25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  <c r="AK855" s="4">
        <f>IF(Table1[[#This Row],[Attrition]]="Yes", 1,0)</f>
        <v>0</v>
      </c>
      <c r="AL855">
        <f>CORREL(Table1[Age],AK855:AK2324)</f>
        <v>-3.3812457512608883E-3</v>
      </c>
      <c r="AM855">
        <f>CORREL(Table1[MonthlyIncome],AK855:AK2324)</f>
        <v>-4.3332016490539499E-2</v>
      </c>
      <c r="AN855">
        <f>CORREL(Table1[YearsAtCompany],AK855:AK2324)</f>
        <v>-2.5001005370757973E-2</v>
      </c>
      <c r="AO855">
        <f t="shared" si="13"/>
        <v>0</v>
      </c>
    </row>
    <row r="856" spans="1:41" x14ac:dyDescent="0.25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  <c r="AK856" s="4">
        <f>IF(Table1[[#This Row],[Attrition]]="Yes", 1,0)</f>
        <v>0</v>
      </c>
      <c r="AL856">
        <f>CORREL(Table1[Age],AK856:AK2325)</f>
        <v>6.9804106882909833E-2</v>
      </c>
      <c r="AM856">
        <f>CORREL(Table1[MonthlyIncome],AK856:AK2325)</f>
        <v>1.2882718441528138E-5</v>
      </c>
      <c r="AN856">
        <f>CORREL(Table1[YearsAtCompany],AK856:AK2325)</f>
        <v>2.4308332736559805E-2</v>
      </c>
      <c r="AO856">
        <f t="shared" si="13"/>
        <v>0</v>
      </c>
    </row>
    <row r="857" spans="1:41" x14ac:dyDescent="0.25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  <c r="AK857" s="4">
        <f>IF(Table1[[#This Row],[Attrition]]="Yes", 1,0)</f>
        <v>0</v>
      </c>
      <c r="AL857">
        <f>CORREL(Table1[Age],AK857:AK2326)</f>
        <v>2.1319506044069195E-2</v>
      </c>
      <c r="AM857">
        <f>CORREL(Table1[MonthlyIncome],AK857:AK2326)</f>
        <v>-2.0691075658603845E-2</v>
      </c>
      <c r="AN857">
        <f>CORREL(Table1[YearsAtCompany],AK857:AK2326)</f>
        <v>1.9348199726461752E-2</v>
      </c>
      <c r="AO857">
        <f t="shared" si="13"/>
        <v>0</v>
      </c>
    </row>
    <row r="858" spans="1:41" x14ac:dyDescent="0.25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  <c r="AK858" s="4">
        <f>IF(Table1[[#This Row],[Attrition]]="Yes", 1,0)</f>
        <v>0</v>
      </c>
      <c r="AL858">
        <f>CORREL(Table1[Age],AK858:AK2327)</f>
        <v>-1.7085092676035436E-2</v>
      </c>
      <c r="AM858">
        <f>CORREL(Table1[MonthlyIncome],AK858:AK2327)</f>
        <v>2.0981263023046273E-2</v>
      </c>
      <c r="AN858">
        <f>CORREL(Table1[YearsAtCompany],AK858:AK2327)</f>
        <v>1.662306933156564E-2</v>
      </c>
      <c r="AO858">
        <f t="shared" si="13"/>
        <v>0</v>
      </c>
    </row>
    <row r="859" spans="1:41" x14ac:dyDescent="0.25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  <c r="AK859" s="4">
        <f>IF(Table1[[#This Row],[Attrition]]="Yes", 1,0)</f>
        <v>1</v>
      </c>
      <c r="AL859">
        <f>CORREL(Table1[Age],AK859:AK2328)</f>
        <v>-1.9258784982855128E-2</v>
      </c>
      <c r="AM859">
        <f>CORREL(Table1[MonthlyIncome],AK859:AK2328)</f>
        <v>3.3460175435705952E-2</v>
      </c>
      <c r="AN859">
        <f>CORREL(Table1[YearsAtCompany],AK859:AK2328)</f>
        <v>-4.8185884438312516E-2</v>
      </c>
      <c r="AO859">
        <f t="shared" si="13"/>
        <v>1</v>
      </c>
    </row>
    <row r="860" spans="1:41" x14ac:dyDescent="0.25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  <c r="AK860" s="4">
        <f>IF(Table1[[#This Row],[Attrition]]="Yes", 1,0)</f>
        <v>0</v>
      </c>
      <c r="AL860">
        <f>CORREL(Table1[Age],AK860:AK2329)</f>
        <v>-2.2016686260685245E-2</v>
      </c>
      <c r="AM860">
        <f>CORREL(Table1[MonthlyIncome],AK860:AK2329)</f>
        <v>-3.2000707798125701E-2</v>
      </c>
      <c r="AN860">
        <f>CORREL(Table1[YearsAtCompany],AK860:AK2329)</f>
        <v>-5.8934798917100711E-2</v>
      </c>
      <c r="AO860">
        <f t="shared" si="13"/>
        <v>0</v>
      </c>
    </row>
    <row r="861" spans="1:41" x14ac:dyDescent="0.25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  <c r="AK861" s="4">
        <f>IF(Table1[[#This Row],[Attrition]]="Yes", 1,0)</f>
        <v>0</v>
      </c>
      <c r="AL861">
        <f>CORREL(Table1[Age],AK861:AK2330)</f>
        <v>-2.2654431469686133E-2</v>
      </c>
      <c r="AM861">
        <f>CORREL(Table1[MonthlyIncome],AK861:AK2330)</f>
        <v>-7.9948556524810019E-2</v>
      </c>
      <c r="AN861">
        <f>CORREL(Table1[YearsAtCompany],AK861:AK2330)</f>
        <v>-6.9432988317109793E-3</v>
      </c>
      <c r="AO861">
        <f t="shared" si="13"/>
        <v>0</v>
      </c>
    </row>
    <row r="862" spans="1:41" x14ac:dyDescent="0.25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  <c r="AK862" s="4">
        <f>IF(Table1[[#This Row],[Attrition]]="Yes", 1,0)</f>
        <v>1</v>
      </c>
      <c r="AL862">
        <f>CORREL(Table1[Age],AK862:AK2331)</f>
        <v>-3.6695717460112492E-2</v>
      </c>
      <c r="AM862">
        <f>CORREL(Table1[MonthlyIncome],AK862:AK2331)</f>
        <v>-3.604636188189466E-2</v>
      </c>
      <c r="AN862">
        <f>CORREL(Table1[YearsAtCompany],AK862:AK2331)</f>
        <v>4.3040518362276813E-2</v>
      </c>
      <c r="AO862">
        <f t="shared" si="13"/>
        <v>1</v>
      </c>
    </row>
    <row r="863" spans="1:41" x14ac:dyDescent="0.25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  <c r="AK863" s="4">
        <f>IF(Table1[[#This Row],[Attrition]]="Yes", 1,0)</f>
        <v>0</v>
      </c>
      <c r="AL863">
        <f>CORREL(Table1[Age],AK863:AK2332)</f>
        <v>1.3989975655475722E-2</v>
      </c>
      <c r="AM863">
        <f>CORREL(Table1[MonthlyIncome],AK863:AK2332)</f>
        <v>1.7745441226995212E-2</v>
      </c>
      <c r="AN863">
        <f>CORREL(Table1[YearsAtCompany],AK863:AK2332)</f>
        <v>-3.2069363280027872E-2</v>
      </c>
      <c r="AO863">
        <f t="shared" si="13"/>
        <v>0</v>
      </c>
    </row>
    <row r="864" spans="1:41" x14ac:dyDescent="0.25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  <c r="AK864" s="4">
        <f>IF(Table1[[#This Row],[Attrition]]="Yes", 1,0)</f>
        <v>0</v>
      </c>
      <c r="AL864">
        <f>CORREL(Table1[Age],AK864:AK2333)</f>
        <v>-5.1740514652571124E-4</v>
      </c>
      <c r="AM864">
        <f>CORREL(Table1[MonthlyIncome],AK864:AK2333)</f>
        <v>5.7457877988382942E-2</v>
      </c>
      <c r="AN864">
        <f>CORREL(Table1[YearsAtCompany],AK864:AK2333)</f>
        <v>1.8162979913284687E-2</v>
      </c>
      <c r="AO864">
        <f t="shared" si="13"/>
        <v>0</v>
      </c>
    </row>
    <row r="865" spans="1:41" x14ac:dyDescent="0.25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  <c r="AK865" s="4">
        <f>IF(Table1[[#This Row],[Attrition]]="Yes", 1,0)</f>
        <v>0</v>
      </c>
      <c r="AL865">
        <f>CORREL(Table1[Age],AK865:AK2334)</f>
        <v>3.0685235057388269E-2</v>
      </c>
      <c r="AM865">
        <f>CORREL(Table1[MonthlyIncome],AK865:AK2334)</f>
        <v>-8.1030073700456874E-3</v>
      </c>
      <c r="AN865">
        <f>CORREL(Table1[YearsAtCompany],AK865:AK2334)</f>
        <v>6.2199115293161454E-3</v>
      </c>
      <c r="AO865">
        <f t="shared" si="13"/>
        <v>0</v>
      </c>
    </row>
    <row r="866" spans="1:41" x14ac:dyDescent="0.25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  <c r="AK866" s="4">
        <f>IF(Table1[[#This Row],[Attrition]]="Yes", 1,0)</f>
        <v>1</v>
      </c>
      <c r="AL866">
        <f>CORREL(Table1[Age],AK866:AK2335)</f>
        <v>7.6133010058419904E-3</v>
      </c>
      <c r="AM866">
        <f>CORREL(Table1[MonthlyIncome],AK866:AK2335)</f>
        <v>-5.1871861573080789E-2</v>
      </c>
      <c r="AN866">
        <f>CORREL(Table1[YearsAtCompany],AK866:AK2335)</f>
        <v>-2.7604934282495022E-2</v>
      </c>
      <c r="AO866">
        <f t="shared" si="13"/>
        <v>1</v>
      </c>
    </row>
    <row r="867" spans="1:41" x14ac:dyDescent="0.25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  <c r="AK867" s="4">
        <f>IF(Table1[[#This Row],[Attrition]]="Yes", 1,0)</f>
        <v>0</v>
      </c>
      <c r="AL867">
        <f>CORREL(Table1[Age],AK867:AK2336)</f>
        <v>3.0657711933140732E-2</v>
      </c>
      <c r="AM867">
        <f>CORREL(Table1[MonthlyIncome],AK867:AK2336)</f>
        <v>2.5610795903631663E-3</v>
      </c>
      <c r="AN867">
        <f>CORREL(Table1[YearsAtCompany],AK867:AK2336)</f>
        <v>2.1546848208524984E-3</v>
      </c>
      <c r="AO867">
        <f t="shared" si="13"/>
        <v>0</v>
      </c>
    </row>
    <row r="868" spans="1:41" x14ac:dyDescent="0.25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  <c r="AK868" s="4">
        <f>IF(Table1[[#This Row],[Attrition]]="Yes", 1,0)</f>
        <v>0</v>
      </c>
      <c r="AL868">
        <f>CORREL(Table1[Age],AK868:AK2337)</f>
        <v>-5.1893332317907291E-2</v>
      </c>
      <c r="AM868">
        <f>CORREL(Table1[MonthlyIncome],AK868:AK2337)</f>
        <v>-3.0652596882378828E-3</v>
      </c>
      <c r="AN868">
        <f>CORREL(Table1[YearsAtCompany],AK868:AK2337)</f>
        <v>5.6269538117423419E-2</v>
      </c>
      <c r="AO868">
        <f t="shared" si="13"/>
        <v>0</v>
      </c>
    </row>
    <row r="869" spans="1:41" x14ac:dyDescent="0.25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  <c r="AK869" s="4">
        <f>IF(Table1[[#This Row],[Attrition]]="Yes", 1,0)</f>
        <v>0</v>
      </c>
      <c r="AL869">
        <f>CORREL(Table1[Age],AK869:AK2338)</f>
        <v>3.2166462021898587E-2</v>
      </c>
      <c r="AM869">
        <f>CORREL(Table1[MonthlyIncome],AK869:AK2338)</f>
        <v>2.0516409624050788E-3</v>
      </c>
      <c r="AN869">
        <f>CORREL(Table1[YearsAtCompany],AK869:AK2338)</f>
        <v>3.2654597747163457E-2</v>
      </c>
      <c r="AO869">
        <f t="shared" si="13"/>
        <v>0</v>
      </c>
    </row>
    <row r="870" spans="1:41" x14ac:dyDescent="0.25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  <c r="AK870" s="4">
        <f>IF(Table1[[#This Row],[Attrition]]="Yes", 1,0)</f>
        <v>0</v>
      </c>
      <c r="AL870">
        <f>CORREL(Table1[Age],AK870:AK2339)</f>
        <v>1.1163824769516356E-2</v>
      </c>
      <c r="AM870">
        <f>CORREL(Table1[MonthlyIncome],AK870:AK2339)</f>
        <v>6.0539234526143369E-2</v>
      </c>
      <c r="AN870">
        <f>CORREL(Table1[YearsAtCompany],AK870:AK2339)</f>
        <v>-1.1903823633454592E-3</v>
      </c>
      <c r="AO870">
        <f t="shared" si="13"/>
        <v>0</v>
      </c>
    </row>
    <row r="871" spans="1:41" x14ac:dyDescent="0.25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  <c r="AK871" s="4">
        <f>IF(Table1[[#This Row],[Attrition]]="Yes", 1,0)</f>
        <v>0</v>
      </c>
      <c r="AL871">
        <f>CORREL(Table1[Age],AK871:AK2340)</f>
        <v>-4.4150639515190708E-2</v>
      </c>
      <c r="AM871">
        <f>CORREL(Table1[MonthlyIncome],AK871:AK2340)</f>
        <v>-2.3648507652115517E-2</v>
      </c>
      <c r="AN871">
        <f>CORREL(Table1[YearsAtCompany],AK871:AK2340)</f>
        <v>-1.6977509540274532E-2</v>
      </c>
      <c r="AO871">
        <f t="shared" si="13"/>
        <v>0</v>
      </c>
    </row>
    <row r="872" spans="1:41" x14ac:dyDescent="0.25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  <c r="AK872" s="4">
        <f>IF(Table1[[#This Row],[Attrition]]="Yes", 1,0)</f>
        <v>0</v>
      </c>
      <c r="AL872">
        <f>CORREL(Table1[Age],AK872:AK2341)</f>
        <v>9.3638517903418039E-2</v>
      </c>
      <c r="AM872">
        <f>CORREL(Table1[MonthlyIncome],AK872:AK2341)</f>
        <v>9.3873187866610683E-2</v>
      </c>
      <c r="AN872">
        <f>CORREL(Table1[YearsAtCompany],AK872:AK2341)</f>
        <v>2.3433574009876394E-2</v>
      </c>
      <c r="AO872">
        <f t="shared" si="13"/>
        <v>0</v>
      </c>
    </row>
    <row r="873" spans="1:41" x14ac:dyDescent="0.25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  <c r="AK873" s="4">
        <f>IF(Table1[[#This Row],[Attrition]]="Yes", 1,0)</f>
        <v>1</v>
      </c>
      <c r="AL873">
        <f>CORREL(Table1[Age],AK873:AK2342)</f>
        <v>-9.5557012639068163E-3</v>
      </c>
      <c r="AM873">
        <f>CORREL(Table1[MonthlyIncome],AK873:AK2342)</f>
        <v>-3.2217039441483166E-3</v>
      </c>
      <c r="AN873">
        <f>CORREL(Table1[YearsAtCompany],AK873:AK2342)</f>
        <v>1.0946165769375573E-2</v>
      </c>
      <c r="AO873">
        <f t="shared" si="13"/>
        <v>1</v>
      </c>
    </row>
    <row r="874" spans="1:41" x14ac:dyDescent="0.25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  <c r="AK874" s="4">
        <f>IF(Table1[[#This Row],[Attrition]]="Yes", 1,0)</f>
        <v>0</v>
      </c>
      <c r="AL874">
        <f>CORREL(Table1[Age],AK874:AK2343)</f>
        <v>-6.8723018907538277E-2</v>
      </c>
      <c r="AM874">
        <f>CORREL(Table1[MonthlyIncome],AK874:AK2343)</f>
        <v>-5.2239365385923255E-2</v>
      </c>
      <c r="AN874">
        <f>CORREL(Table1[YearsAtCompany],AK874:AK2343)</f>
        <v>-3.4471761115325593E-2</v>
      </c>
      <c r="AO874">
        <f t="shared" si="13"/>
        <v>0</v>
      </c>
    </row>
    <row r="875" spans="1:41" x14ac:dyDescent="0.25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  <c r="AK875" s="4">
        <f>IF(Table1[[#This Row],[Attrition]]="Yes", 1,0)</f>
        <v>0</v>
      </c>
      <c r="AL875">
        <f>CORREL(Table1[Age],AK875:AK2344)</f>
        <v>2.0275470129675368E-2</v>
      </c>
      <c r="AM875">
        <f>CORREL(Table1[MonthlyIncome],AK875:AK2344)</f>
        <v>5.8606285272227034E-2</v>
      </c>
      <c r="AN875">
        <f>CORREL(Table1[YearsAtCompany],AK875:AK2344)</f>
        <v>-2.3199180477819634E-2</v>
      </c>
      <c r="AO875">
        <f t="shared" si="13"/>
        <v>0</v>
      </c>
    </row>
    <row r="876" spans="1:41" x14ac:dyDescent="0.25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  <c r="AK876" s="4">
        <f>IF(Table1[[#This Row],[Attrition]]="Yes", 1,0)</f>
        <v>0</v>
      </c>
      <c r="AL876">
        <f>CORREL(Table1[Age],AK876:AK2345)</f>
        <v>1.8626012769929874E-2</v>
      </c>
      <c r="AM876">
        <f>CORREL(Table1[MonthlyIncome],AK876:AK2345)</f>
        <v>3.841419563962211E-2</v>
      </c>
      <c r="AN876">
        <f>CORREL(Table1[YearsAtCompany],AK876:AK2345)</f>
        <v>-6.6615901242203568E-2</v>
      </c>
      <c r="AO876">
        <f t="shared" si="13"/>
        <v>0</v>
      </c>
    </row>
    <row r="877" spans="1:41" x14ac:dyDescent="0.25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  <c r="AK877" s="4">
        <f>IF(Table1[[#This Row],[Attrition]]="Yes", 1,0)</f>
        <v>0</v>
      </c>
      <c r="AL877">
        <f>CORREL(Table1[Age],AK877:AK2346)</f>
        <v>2.5767476016037775E-3</v>
      </c>
      <c r="AM877">
        <f>CORREL(Table1[MonthlyIncome],AK877:AK2346)</f>
        <v>-3.9501610589990299E-2</v>
      </c>
      <c r="AN877">
        <f>CORREL(Table1[YearsAtCompany],AK877:AK2346)</f>
        <v>-7.2878635429889302E-2</v>
      </c>
      <c r="AO877">
        <f t="shared" si="13"/>
        <v>0</v>
      </c>
    </row>
    <row r="878" spans="1:41" x14ac:dyDescent="0.25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  <c r="AK878" s="4">
        <f>IF(Table1[[#This Row],[Attrition]]="Yes", 1,0)</f>
        <v>0</v>
      </c>
      <c r="AL878">
        <f>CORREL(Table1[Age],AK878:AK2347)</f>
        <v>3.4395711905823807E-2</v>
      </c>
      <c r="AM878">
        <f>CORREL(Table1[MonthlyIncome],AK878:AK2347)</f>
        <v>-5.3222722818477855E-2</v>
      </c>
      <c r="AN878">
        <f>CORREL(Table1[YearsAtCompany],AK878:AK2347)</f>
        <v>-8.3607896575726218E-2</v>
      </c>
      <c r="AO878">
        <f t="shared" si="13"/>
        <v>0</v>
      </c>
    </row>
    <row r="879" spans="1:41" x14ac:dyDescent="0.25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  <c r="AK879" s="4">
        <f>IF(Table1[[#This Row],[Attrition]]="Yes", 1,0)</f>
        <v>0</v>
      </c>
      <c r="AL879">
        <f>CORREL(Table1[Age],AK879:AK2348)</f>
        <v>-3.6062072728037874E-2</v>
      </c>
      <c r="AM879">
        <f>CORREL(Table1[MonthlyIncome],AK879:AK2348)</f>
        <v>-2.3596763667709707E-2</v>
      </c>
      <c r="AN879">
        <f>CORREL(Table1[YearsAtCompany],AK879:AK2348)</f>
        <v>3.9370602141596149E-2</v>
      </c>
      <c r="AO879">
        <f t="shared" si="13"/>
        <v>0</v>
      </c>
    </row>
    <row r="880" spans="1:41" x14ac:dyDescent="0.25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  <c r="AK880" s="4">
        <f>IF(Table1[[#This Row],[Attrition]]="Yes", 1,0)</f>
        <v>0</v>
      </c>
      <c r="AL880">
        <f>CORREL(Table1[Age],AK880:AK2349)</f>
        <v>-4.548131926834896E-2</v>
      </c>
      <c r="AM880">
        <f>CORREL(Table1[MonthlyIncome],AK880:AK2349)</f>
        <v>-1.1931244013449251E-2</v>
      </c>
      <c r="AN880">
        <f>CORREL(Table1[YearsAtCompany],AK880:AK2349)</f>
        <v>-7.1373576449819251E-3</v>
      </c>
      <c r="AO880">
        <f t="shared" si="13"/>
        <v>0</v>
      </c>
    </row>
    <row r="881" spans="1:41" x14ac:dyDescent="0.25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  <c r="AK881" s="4">
        <f>IF(Table1[[#This Row],[Attrition]]="Yes", 1,0)</f>
        <v>0</v>
      </c>
      <c r="AL881">
        <f>CORREL(Table1[Age],AK881:AK2350)</f>
        <v>-7.6217259820680949E-2</v>
      </c>
      <c r="AM881">
        <f>CORREL(Table1[MonthlyIncome],AK881:AK2350)</f>
        <v>-3.0090777756148612E-2</v>
      </c>
      <c r="AN881">
        <f>CORREL(Table1[YearsAtCompany],AK881:AK2350)</f>
        <v>-4.686358453412369E-2</v>
      </c>
      <c r="AO881">
        <f t="shared" si="13"/>
        <v>0</v>
      </c>
    </row>
    <row r="882" spans="1:41" x14ac:dyDescent="0.25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  <c r="AK882" s="4">
        <f>IF(Table1[[#This Row],[Attrition]]="Yes", 1,0)</f>
        <v>0</v>
      </c>
      <c r="AL882">
        <f>CORREL(Table1[Age],AK882:AK2351)</f>
        <v>3.5584623841602672E-2</v>
      </c>
      <c r="AM882">
        <f>CORREL(Table1[MonthlyIncome],AK882:AK2351)</f>
        <v>-2.3388068805791421E-2</v>
      </c>
      <c r="AN882">
        <f>CORREL(Table1[YearsAtCompany],AK882:AK2351)</f>
        <v>-1.7375141208746763E-3</v>
      </c>
      <c r="AO882">
        <f t="shared" si="13"/>
        <v>0</v>
      </c>
    </row>
    <row r="883" spans="1:41" x14ac:dyDescent="0.25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  <c r="AK883" s="4">
        <f>IF(Table1[[#This Row],[Attrition]]="Yes", 1,0)</f>
        <v>0</v>
      </c>
      <c r="AL883">
        <f>CORREL(Table1[Age],AK883:AK2352)</f>
        <v>3.9074812139919798E-2</v>
      </c>
      <c r="AM883">
        <f>CORREL(Table1[MonthlyIncome],AK883:AK2352)</f>
        <v>-1.7481632096112549E-2</v>
      </c>
      <c r="AN883">
        <f>CORREL(Table1[YearsAtCompany],AK883:AK2352)</f>
        <v>3.1003493200369416E-2</v>
      </c>
      <c r="AO883">
        <f t="shared" si="13"/>
        <v>0</v>
      </c>
    </row>
    <row r="884" spans="1:41" x14ac:dyDescent="0.25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  <c r="AK884" s="4">
        <f>IF(Table1[[#This Row],[Attrition]]="Yes", 1,0)</f>
        <v>0</v>
      </c>
      <c r="AL884">
        <f>CORREL(Table1[Age],AK884:AK2353)</f>
        <v>3.658261047538873E-2</v>
      </c>
      <c r="AM884">
        <f>CORREL(Table1[MonthlyIncome],AK884:AK2353)</f>
        <v>-3.7023464309522983E-2</v>
      </c>
      <c r="AN884">
        <f>CORREL(Table1[YearsAtCompany],AK884:AK2353)</f>
        <v>-3.4679148151711005E-2</v>
      </c>
      <c r="AO884">
        <f t="shared" si="13"/>
        <v>0</v>
      </c>
    </row>
    <row r="885" spans="1:41" x14ac:dyDescent="0.25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  <c r="AK885" s="4">
        <f>IF(Table1[[#This Row],[Attrition]]="Yes", 1,0)</f>
        <v>0</v>
      </c>
      <c r="AL885">
        <f>CORREL(Table1[Age],AK885:AK2354)</f>
        <v>-1.6216371772085524E-2</v>
      </c>
      <c r="AM885">
        <f>CORREL(Table1[MonthlyIncome],AK885:AK2354)</f>
        <v>2.7729483433495589E-2</v>
      </c>
      <c r="AN885">
        <f>CORREL(Table1[YearsAtCompany],AK885:AK2354)</f>
        <v>6.0173430877173605E-2</v>
      </c>
      <c r="AO885">
        <f t="shared" si="13"/>
        <v>0</v>
      </c>
    </row>
    <row r="886" spans="1:41" x14ac:dyDescent="0.25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  <c r="AK886" s="4">
        <f>IF(Table1[[#This Row],[Attrition]]="Yes", 1,0)</f>
        <v>0</v>
      </c>
      <c r="AL886">
        <f>CORREL(Table1[Age],AK886:AK2355)</f>
        <v>1.4434583495841839E-2</v>
      </c>
      <c r="AM886">
        <f>CORREL(Table1[MonthlyIncome],AK886:AK2355)</f>
        <v>-8.8963593263867435E-3</v>
      </c>
      <c r="AN886">
        <f>CORREL(Table1[YearsAtCompany],AK886:AK2355)</f>
        <v>-2.7439851691562159E-2</v>
      </c>
      <c r="AO886">
        <f t="shared" si="13"/>
        <v>0</v>
      </c>
    </row>
    <row r="887" spans="1:41" x14ac:dyDescent="0.25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  <c r="AK887" s="4">
        <f>IF(Table1[[#This Row],[Attrition]]="Yes", 1,0)</f>
        <v>0</v>
      </c>
      <c r="AL887">
        <f>CORREL(Table1[Age],AK887:AK2356)</f>
        <v>1.5443132956005313E-2</v>
      </c>
      <c r="AM887">
        <f>CORREL(Table1[MonthlyIncome],AK887:AK2356)</f>
        <v>-6.8164376201570023E-2</v>
      </c>
      <c r="AN887">
        <f>CORREL(Table1[YearsAtCompany],AK887:AK2356)</f>
        <v>-3.7938477014054083E-2</v>
      </c>
      <c r="AO887">
        <f t="shared" si="13"/>
        <v>0</v>
      </c>
    </row>
    <row r="888" spans="1:41" x14ac:dyDescent="0.25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  <c r="AK888" s="4">
        <f>IF(Table1[[#This Row],[Attrition]]="Yes", 1,0)</f>
        <v>0</v>
      </c>
      <c r="AL888">
        <f>CORREL(Table1[Age],AK888:AK2357)</f>
        <v>8.5471937422085753E-2</v>
      </c>
      <c r="AM888">
        <f>CORREL(Table1[MonthlyIncome],AK888:AK2357)</f>
        <v>-5.3312544865975107E-2</v>
      </c>
      <c r="AN888">
        <f>CORREL(Table1[YearsAtCompany],AK888:AK2357)</f>
        <v>2.7405332562818706E-2</v>
      </c>
      <c r="AO888">
        <f t="shared" si="13"/>
        <v>0</v>
      </c>
    </row>
    <row r="889" spans="1:41" x14ac:dyDescent="0.25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  <c r="AK889" s="4">
        <f>IF(Table1[[#This Row],[Attrition]]="Yes", 1,0)</f>
        <v>0</v>
      </c>
      <c r="AL889">
        <f>CORREL(Table1[Age],AK889:AK2358)</f>
        <v>2.8938243534509519E-2</v>
      </c>
      <c r="AM889">
        <f>CORREL(Table1[MonthlyIncome],AK889:AK2358)</f>
        <v>5.0039128576869735E-2</v>
      </c>
      <c r="AN889">
        <f>CORREL(Table1[YearsAtCompany],AK889:AK2358)</f>
        <v>0.12438180296054195</v>
      </c>
      <c r="AO889">
        <f t="shared" si="13"/>
        <v>0</v>
      </c>
    </row>
    <row r="890" spans="1:41" x14ac:dyDescent="0.25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  <c r="AK890" s="4">
        <f>IF(Table1[[#This Row],[Attrition]]="Yes", 1,0)</f>
        <v>0</v>
      </c>
      <c r="AL890">
        <f>CORREL(Table1[Age],AK890:AK2359)</f>
        <v>1.9966119629836823E-2</v>
      </c>
      <c r="AM890">
        <f>CORREL(Table1[MonthlyIncome],AK890:AK2359)</f>
        <v>3.9206906490393476E-2</v>
      </c>
      <c r="AN890">
        <f>CORREL(Table1[YearsAtCompany],AK890:AK2359)</f>
        <v>3.8428091044272476E-3</v>
      </c>
      <c r="AO890">
        <f t="shared" si="13"/>
        <v>0</v>
      </c>
    </row>
    <row r="891" spans="1:41" x14ac:dyDescent="0.25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  <c r="AK891" s="4">
        <f>IF(Table1[[#This Row],[Attrition]]="Yes", 1,0)</f>
        <v>0</v>
      </c>
      <c r="AL891">
        <f>CORREL(Table1[Age],AK891:AK2360)</f>
        <v>-4.667376016542809E-2</v>
      </c>
      <c r="AM891">
        <f>CORREL(Table1[MonthlyIncome],AK891:AK2360)</f>
        <v>1.0899417073633238E-2</v>
      </c>
      <c r="AN891">
        <f>CORREL(Table1[YearsAtCompany],AK891:AK2360)</f>
        <v>-4.3227288693349811E-2</v>
      </c>
      <c r="AO891">
        <f t="shared" si="13"/>
        <v>0</v>
      </c>
    </row>
    <row r="892" spans="1:41" x14ac:dyDescent="0.25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  <c r="AK892" s="4">
        <f>IF(Table1[[#This Row],[Attrition]]="Yes", 1,0)</f>
        <v>0</v>
      </c>
      <c r="AL892">
        <f>CORREL(Table1[Age],AK892:AK2361)</f>
        <v>4.646964381719744E-2</v>
      </c>
      <c r="AM892">
        <f>CORREL(Table1[MonthlyIncome],AK892:AK2361)</f>
        <v>2.1057318285616786E-2</v>
      </c>
      <c r="AN892">
        <f>CORREL(Table1[YearsAtCompany],AK892:AK2361)</f>
        <v>2.4576562501973452E-2</v>
      </c>
      <c r="AO892">
        <f t="shared" si="13"/>
        <v>0</v>
      </c>
    </row>
    <row r="893" spans="1:41" x14ac:dyDescent="0.25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  <c r="AK893" s="4">
        <f>IF(Table1[[#This Row],[Attrition]]="Yes", 1,0)</f>
        <v>0</v>
      </c>
      <c r="AL893">
        <f>CORREL(Table1[Age],AK893:AK2362)</f>
        <v>-1.2199931412714781E-2</v>
      </c>
      <c r="AM893">
        <f>CORREL(Table1[MonthlyIncome],AK893:AK2362)</f>
        <v>4.7431212935449871E-2</v>
      </c>
      <c r="AN893">
        <f>CORREL(Table1[YearsAtCompany],AK893:AK2362)</f>
        <v>4.3224431614069352E-2</v>
      </c>
      <c r="AO893">
        <f t="shared" si="13"/>
        <v>0</v>
      </c>
    </row>
    <row r="894" spans="1:41" x14ac:dyDescent="0.25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  <c r="AK894" s="4">
        <f>IF(Table1[[#This Row],[Attrition]]="Yes", 1,0)</f>
        <v>1</v>
      </c>
      <c r="AL894">
        <f>CORREL(Table1[Age],AK894:AK2363)</f>
        <v>-1.2629448502479526E-2</v>
      </c>
      <c r="AM894">
        <f>CORREL(Table1[MonthlyIncome],AK894:AK2363)</f>
        <v>-6.1009151412684025E-3</v>
      </c>
      <c r="AN894">
        <f>CORREL(Table1[YearsAtCompany],AK894:AK2363)</f>
        <v>1.4884560441113045E-2</v>
      </c>
      <c r="AO894">
        <f t="shared" si="13"/>
        <v>1</v>
      </c>
    </row>
    <row r="895" spans="1:41" x14ac:dyDescent="0.25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  <c r="AK895" s="4">
        <f>IF(Table1[[#This Row],[Attrition]]="Yes", 1,0)</f>
        <v>0</v>
      </c>
      <c r="AL895">
        <f>CORREL(Table1[Age],AK895:AK2364)</f>
        <v>-1.4793822640963595E-2</v>
      </c>
      <c r="AM895">
        <f>CORREL(Table1[MonthlyIncome],AK895:AK2364)</f>
        <v>1.8292225314945849E-2</v>
      </c>
      <c r="AN895">
        <f>CORREL(Table1[YearsAtCompany],AK895:AK2364)</f>
        <v>4.9340568859151867E-3</v>
      </c>
      <c r="AO895">
        <f t="shared" si="13"/>
        <v>0</v>
      </c>
    </row>
    <row r="896" spans="1:41" x14ac:dyDescent="0.25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  <c r="AK896" s="4">
        <f>IF(Table1[[#This Row],[Attrition]]="Yes", 1,0)</f>
        <v>0</v>
      </c>
      <c r="AL896">
        <f>CORREL(Table1[Age],AK896:AK2365)</f>
        <v>-3.7766494637348089E-2</v>
      </c>
      <c r="AM896">
        <f>CORREL(Table1[MonthlyIncome],AK896:AK2365)</f>
        <v>-4.8842832186519462E-2</v>
      </c>
      <c r="AN896">
        <f>CORREL(Table1[YearsAtCompany],AK896:AK2365)</f>
        <v>-5.1327308599082612E-2</v>
      </c>
      <c r="AO896">
        <f t="shared" si="13"/>
        <v>0</v>
      </c>
    </row>
    <row r="897" spans="1:41" x14ac:dyDescent="0.25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  <c r="AK897" s="4">
        <f>IF(Table1[[#This Row],[Attrition]]="Yes", 1,0)</f>
        <v>0</v>
      </c>
      <c r="AL897">
        <f>CORREL(Table1[Age],AK897:AK2366)</f>
        <v>-2.7746924620843091E-2</v>
      </c>
      <c r="AM897">
        <f>CORREL(Table1[MonthlyIncome],AK897:AK2366)</f>
        <v>-2.874056861712064E-2</v>
      </c>
      <c r="AN897">
        <f>CORREL(Table1[YearsAtCompany],AK897:AK2366)</f>
        <v>-7.7368380978875299E-3</v>
      </c>
      <c r="AO897">
        <f t="shared" si="13"/>
        <v>0</v>
      </c>
    </row>
    <row r="898" spans="1:41" x14ac:dyDescent="0.25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  <c r="AK898" s="4">
        <f>IF(Table1[[#This Row],[Attrition]]="Yes", 1,0)</f>
        <v>0</v>
      </c>
      <c r="AL898">
        <f>CORREL(Table1[Age],AK898:AK2367)</f>
        <v>-3.1353882027001971E-3</v>
      </c>
      <c r="AM898">
        <f>CORREL(Table1[MonthlyIncome],AK898:AK2367)</f>
        <v>-5.9414101330086773E-3</v>
      </c>
      <c r="AN898">
        <f>CORREL(Table1[YearsAtCompany],AK898:AK2367)</f>
        <v>-4.1356150237008442E-2</v>
      </c>
      <c r="AO898">
        <f t="shared" si="13"/>
        <v>0</v>
      </c>
    </row>
    <row r="899" spans="1:41" x14ac:dyDescent="0.25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  <c r="AK899" s="4">
        <f>IF(Table1[[#This Row],[Attrition]]="Yes", 1,0)</f>
        <v>0</v>
      </c>
      <c r="AL899">
        <f>CORREL(Table1[Age],AK899:AK2368)</f>
        <v>-1.021666790499989E-2</v>
      </c>
      <c r="AM899">
        <f>CORREL(Table1[MonthlyIncome],AK899:AK2368)</f>
        <v>4.0538544027453001E-2</v>
      </c>
      <c r="AN899">
        <f>CORREL(Table1[YearsAtCompany],AK899:AK2368)</f>
        <v>-2.2056622362494043E-2</v>
      </c>
      <c r="AO899">
        <f t="shared" ref="AO899:AO962" si="14">ABS(AK899)</f>
        <v>0</v>
      </c>
    </row>
    <row r="900" spans="1:41" x14ac:dyDescent="0.25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  <c r="AK900" s="4">
        <f>IF(Table1[[#This Row],[Attrition]]="Yes", 1,0)</f>
        <v>0</v>
      </c>
      <c r="AL900">
        <f>CORREL(Table1[Age],AK900:AK2369)</f>
        <v>-0.10680861501553097</v>
      </c>
      <c r="AM900">
        <f>CORREL(Table1[MonthlyIncome],AK900:AK2369)</f>
        <v>1.3346461567298441E-2</v>
      </c>
      <c r="AN900">
        <f>CORREL(Table1[YearsAtCompany],AK900:AK2369)</f>
        <v>-5.826294730734756E-2</v>
      </c>
      <c r="AO900">
        <f t="shared" si="14"/>
        <v>0</v>
      </c>
    </row>
    <row r="901" spans="1:41" x14ac:dyDescent="0.25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  <c r="AK901" s="4">
        <f>IF(Table1[[#This Row],[Attrition]]="Yes", 1,0)</f>
        <v>0</v>
      </c>
      <c r="AL901">
        <f>CORREL(Table1[Age],AK901:AK2370)</f>
        <v>-2.7830113373331206E-2</v>
      </c>
      <c r="AM901">
        <f>CORREL(Table1[MonthlyIncome],AK901:AK2370)</f>
        <v>3.6754585613596284E-3</v>
      </c>
      <c r="AN901">
        <f>CORREL(Table1[YearsAtCompany],AK901:AK2370)</f>
        <v>-2.1793942926066623E-2</v>
      </c>
      <c r="AO901">
        <f t="shared" si="14"/>
        <v>0</v>
      </c>
    </row>
    <row r="902" spans="1:41" x14ac:dyDescent="0.25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  <c r="AK902" s="4">
        <f>IF(Table1[[#This Row],[Attrition]]="Yes", 1,0)</f>
        <v>0</v>
      </c>
      <c r="AL902">
        <f>CORREL(Table1[Age],AK902:AK2371)</f>
        <v>-6.9395346669983426E-2</v>
      </c>
      <c r="AM902">
        <f>CORREL(Table1[MonthlyIncome],AK902:AK2371)</f>
        <v>-1.8625538425396652E-2</v>
      </c>
      <c r="AN902">
        <f>CORREL(Table1[YearsAtCompany],AK902:AK2371)</f>
        <v>-1.1554365121351065E-2</v>
      </c>
      <c r="AO902">
        <f t="shared" si="14"/>
        <v>0</v>
      </c>
    </row>
    <row r="903" spans="1:41" x14ac:dyDescent="0.25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  <c r="AK903" s="4">
        <f>IF(Table1[[#This Row],[Attrition]]="Yes", 1,0)</f>
        <v>0</v>
      </c>
      <c r="AL903">
        <f>CORREL(Table1[Age],AK903:AK2372)</f>
        <v>9.1519119466903776E-3</v>
      </c>
      <c r="AM903">
        <f>CORREL(Table1[MonthlyIncome],AK903:AK2372)</f>
        <v>1.3098273477531003E-2</v>
      </c>
      <c r="AN903">
        <f>CORREL(Table1[YearsAtCompany],AK903:AK2372)</f>
        <v>6.9615421861397462E-3</v>
      </c>
      <c r="AO903">
        <f t="shared" si="14"/>
        <v>0</v>
      </c>
    </row>
    <row r="904" spans="1:41" x14ac:dyDescent="0.25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  <c r="AK904" s="4">
        <f>IF(Table1[[#This Row],[Attrition]]="Yes", 1,0)</f>
        <v>0</v>
      </c>
      <c r="AL904">
        <f>CORREL(Table1[Age],AK904:AK2373)</f>
        <v>0.10520959876251618</v>
      </c>
      <c r="AM904">
        <f>CORREL(Table1[MonthlyIncome],AK904:AK2373)</f>
        <v>-1.1058576229899654E-2</v>
      </c>
      <c r="AN904">
        <f>CORREL(Table1[YearsAtCompany],AK904:AK2373)</f>
        <v>1.2785151228058941E-2</v>
      </c>
      <c r="AO904">
        <f t="shared" si="14"/>
        <v>0</v>
      </c>
    </row>
    <row r="905" spans="1:41" x14ac:dyDescent="0.25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  <c r="AK905" s="4">
        <f>IF(Table1[[#This Row],[Attrition]]="Yes", 1,0)</f>
        <v>0</v>
      </c>
      <c r="AL905">
        <f>CORREL(Table1[Age],AK905:AK2374)</f>
        <v>4.3851381617122639E-2</v>
      </c>
      <c r="AM905">
        <f>CORREL(Table1[MonthlyIncome],AK905:AK2374)</f>
        <v>2.6319948754401037E-2</v>
      </c>
      <c r="AN905">
        <f>CORREL(Table1[YearsAtCompany],AK905:AK2374)</f>
        <v>-6.3880522216158114E-2</v>
      </c>
      <c r="AO905">
        <f t="shared" si="14"/>
        <v>0</v>
      </c>
    </row>
    <row r="906" spans="1:41" x14ac:dyDescent="0.25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  <c r="AK906" s="4">
        <f>IF(Table1[[#This Row],[Attrition]]="Yes", 1,0)</f>
        <v>0</v>
      </c>
      <c r="AL906">
        <f>CORREL(Table1[Age],AK906:AK2375)</f>
        <v>8.0860007765787192E-3</v>
      </c>
      <c r="AM906">
        <f>CORREL(Table1[MonthlyIncome],AK906:AK2375)</f>
        <v>-1.5393132990001586E-2</v>
      </c>
      <c r="AN906">
        <f>CORREL(Table1[YearsAtCompany],AK906:AK2375)</f>
        <v>-4.9735133725159565E-2</v>
      </c>
      <c r="AO906">
        <f t="shared" si="14"/>
        <v>0</v>
      </c>
    </row>
    <row r="907" spans="1:41" x14ac:dyDescent="0.25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  <c r="AK907" s="4">
        <f>IF(Table1[[#This Row],[Attrition]]="Yes", 1,0)</f>
        <v>0</v>
      </c>
      <c r="AL907">
        <f>CORREL(Table1[Age],AK907:AK2376)</f>
        <v>3.6348343187790219E-2</v>
      </c>
      <c r="AM907">
        <f>CORREL(Table1[MonthlyIncome],AK907:AK2376)</f>
        <v>-6.1901767255444648E-2</v>
      </c>
      <c r="AN907">
        <f>CORREL(Table1[YearsAtCompany],AK907:AK2376)</f>
        <v>2.8529451408005654E-2</v>
      </c>
      <c r="AO907">
        <f t="shared" si="14"/>
        <v>0</v>
      </c>
    </row>
    <row r="908" spans="1:41" x14ac:dyDescent="0.25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  <c r="AK908" s="4">
        <f>IF(Table1[[#This Row],[Attrition]]="Yes", 1,0)</f>
        <v>0</v>
      </c>
      <c r="AL908">
        <f>CORREL(Table1[Age],AK908:AK2377)</f>
        <v>4.2282051834787594E-2</v>
      </c>
      <c r="AM908">
        <f>CORREL(Table1[MonthlyIncome],AK908:AK2377)</f>
        <v>-2.6359456714817847E-2</v>
      </c>
      <c r="AN908">
        <f>CORREL(Table1[YearsAtCompany],AK908:AK2377)</f>
        <v>-3.1297174151031185E-2</v>
      </c>
      <c r="AO908">
        <f t="shared" si="14"/>
        <v>0</v>
      </c>
    </row>
    <row r="909" spans="1:41" x14ac:dyDescent="0.25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  <c r="AK909" s="4">
        <f>IF(Table1[[#This Row],[Attrition]]="Yes", 1,0)</f>
        <v>0</v>
      </c>
      <c r="AL909">
        <f>CORREL(Table1[Age],AK909:AK2378)</f>
        <v>-6.6945478235796909E-4</v>
      </c>
      <c r="AM909">
        <f>CORREL(Table1[MonthlyIncome],AK909:AK2378)</f>
        <v>5.8818237835371809E-3</v>
      </c>
      <c r="AN909">
        <f>CORREL(Table1[YearsAtCompany],AK909:AK2378)</f>
        <v>3.307313884703663E-2</v>
      </c>
      <c r="AO909">
        <f t="shared" si="14"/>
        <v>0</v>
      </c>
    </row>
    <row r="910" spans="1:41" x14ac:dyDescent="0.25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  <c r="AK910" s="4">
        <f>IF(Table1[[#This Row],[Attrition]]="Yes", 1,0)</f>
        <v>0</v>
      </c>
      <c r="AL910">
        <f>CORREL(Table1[Age],AK910:AK2379)</f>
        <v>-4.4106442415181836E-2</v>
      </c>
      <c r="AM910">
        <f>CORREL(Table1[MonthlyIncome],AK910:AK2379)</f>
        <v>-1.8118388189483334E-2</v>
      </c>
      <c r="AN910">
        <f>CORREL(Table1[YearsAtCompany],AK910:AK2379)</f>
        <v>-4.0966895205899613E-2</v>
      </c>
      <c r="AO910">
        <f t="shared" si="14"/>
        <v>0</v>
      </c>
    </row>
    <row r="911" spans="1:41" x14ac:dyDescent="0.25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  <c r="AK911" s="4">
        <f>IF(Table1[[#This Row],[Attrition]]="Yes", 1,0)</f>
        <v>0</v>
      </c>
      <c r="AL911">
        <f>CORREL(Table1[Age],AK911:AK2380)</f>
        <v>-9.7732785489764058E-3</v>
      </c>
      <c r="AM911">
        <f>CORREL(Table1[MonthlyIncome],AK911:AK2380)</f>
        <v>1.9657938288287772E-2</v>
      </c>
      <c r="AN911">
        <f>CORREL(Table1[YearsAtCompany],AK911:AK2380)</f>
        <v>-1.0635962402687112E-2</v>
      </c>
      <c r="AO911">
        <f t="shared" si="14"/>
        <v>0</v>
      </c>
    </row>
    <row r="912" spans="1:41" x14ac:dyDescent="0.25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  <c r="AK912" s="4">
        <f>IF(Table1[[#This Row],[Attrition]]="Yes", 1,0)</f>
        <v>0</v>
      </c>
      <c r="AL912">
        <f>CORREL(Table1[Age],AK912:AK2381)</f>
        <v>3.5860282696145176E-2</v>
      </c>
      <c r="AM912">
        <f>CORREL(Table1[MonthlyIncome],AK912:AK2381)</f>
        <v>1.7830744014036861E-2</v>
      </c>
      <c r="AN912">
        <f>CORREL(Table1[YearsAtCompany],AK912:AK2381)</f>
        <v>-6.0876786980375618E-3</v>
      </c>
      <c r="AO912">
        <f t="shared" si="14"/>
        <v>0</v>
      </c>
    </row>
    <row r="913" spans="1:41" x14ac:dyDescent="0.25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  <c r="AK913" s="4">
        <f>IF(Table1[[#This Row],[Attrition]]="Yes", 1,0)</f>
        <v>1</v>
      </c>
      <c r="AL913">
        <f>CORREL(Table1[Age],AK913:AK2382)</f>
        <v>-2.5406087670102953E-3</v>
      </c>
      <c r="AM913">
        <f>CORREL(Table1[MonthlyIncome],AK913:AK2382)</f>
        <v>-3.4061843889462706E-2</v>
      </c>
      <c r="AN913">
        <f>CORREL(Table1[YearsAtCompany],AK913:AK2382)</f>
        <v>-5.0876570434521769E-2</v>
      </c>
      <c r="AO913">
        <f t="shared" si="14"/>
        <v>1</v>
      </c>
    </row>
    <row r="914" spans="1:41" x14ac:dyDescent="0.25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  <c r="AK914" s="4">
        <f>IF(Table1[[#This Row],[Attrition]]="Yes", 1,0)</f>
        <v>0</v>
      </c>
      <c r="AL914">
        <f>CORREL(Table1[Age],AK914:AK2383)</f>
        <v>-0.10160434726839374</v>
      </c>
      <c r="AM914">
        <f>CORREL(Table1[MonthlyIncome],AK914:AK2383)</f>
        <v>-8.429231132308132E-2</v>
      </c>
      <c r="AN914">
        <f>CORREL(Table1[YearsAtCompany],AK914:AK2383)</f>
        <v>-2.044295087930046E-2</v>
      </c>
      <c r="AO914">
        <f t="shared" si="14"/>
        <v>0</v>
      </c>
    </row>
    <row r="915" spans="1:41" x14ac:dyDescent="0.25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  <c r="AK915" s="4">
        <f>IF(Table1[[#This Row],[Attrition]]="Yes", 1,0)</f>
        <v>1</v>
      </c>
      <c r="AL915">
        <f>CORREL(Table1[Age],AK915:AK2384)</f>
        <v>-1.6420545009759074E-2</v>
      </c>
      <c r="AM915">
        <f>CORREL(Table1[MonthlyIncome],AK915:AK2384)</f>
        <v>-4.9940922739473018E-3</v>
      </c>
      <c r="AN915">
        <f>CORREL(Table1[YearsAtCompany],AK915:AK2384)</f>
        <v>2.7021828234717018E-2</v>
      </c>
      <c r="AO915">
        <f t="shared" si="14"/>
        <v>1</v>
      </c>
    </row>
    <row r="916" spans="1:41" x14ac:dyDescent="0.25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  <c r="AK916" s="4">
        <f>IF(Table1[[#This Row],[Attrition]]="Yes", 1,0)</f>
        <v>0</v>
      </c>
      <c r="AL916">
        <f>CORREL(Table1[Age],AK916:AK2385)</f>
        <v>3.4936703380269031E-2</v>
      </c>
      <c r="AM916">
        <f>CORREL(Table1[MonthlyIncome],AK916:AK2385)</f>
        <v>2.4388693774717921E-2</v>
      </c>
      <c r="AN916">
        <f>CORREL(Table1[YearsAtCompany],AK916:AK2385)</f>
        <v>-1.7954077223755329E-2</v>
      </c>
      <c r="AO916">
        <f t="shared" si="14"/>
        <v>0</v>
      </c>
    </row>
    <row r="917" spans="1:41" x14ac:dyDescent="0.25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  <c r="AK917" s="4">
        <f>IF(Table1[[#This Row],[Attrition]]="Yes", 1,0)</f>
        <v>1</v>
      </c>
      <c r="AL917">
        <f>CORREL(Table1[Age],AK917:AK2386)</f>
        <v>-2.5721681329620247E-3</v>
      </c>
      <c r="AM917">
        <f>CORREL(Table1[MonthlyIncome],AK917:AK2386)</f>
        <v>-3.430471697124244E-2</v>
      </c>
      <c r="AN917">
        <f>CORREL(Table1[YearsAtCompany],AK917:AK2386)</f>
        <v>-5.3785785289860367E-2</v>
      </c>
      <c r="AO917">
        <f t="shared" si="14"/>
        <v>1</v>
      </c>
    </row>
    <row r="918" spans="1:41" x14ac:dyDescent="0.25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  <c r="AK918" s="4">
        <f>IF(Table1[[#This Row],[Attrition]]="Yes", 1,0)</f>
        <v>0</v>
      </c>
      <c r="AL918">
        <f>CORREL(Table1[Age],AK918:AK2387)</f>
        <v>-2.9809496383499182E-2</v>
      </c>
      <c r="AM918">
        <f>CORREL(Table1[MonthlyIncome],AK918:AK2387)</f>
        <v>-2.250800617551835E-2</v>
      </c>
      <c r="AN918">
        <f>CORREL(Table1[YearsAtCompany],AK918:AK2387)</f>
        <v>3.8792012392425294E-2</v>
      </c>
      <c r="AO918">
        <f t="shared" si="14"/>
        <v>0</v>
      </c>
    </row>
    <row r="919" spans="1:41" x14ac:dyDescent="0.25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  <c r="AK919" s="4">
        <f>IF(Table1[[#This Row],[Attrition]]="Yes", 1,0)</f>
        <v>0</v>
      </c>
      <c r="AL919">
        <f>CORREL(Table1[Age],AK919:AK2388)</f>
        <v>-4.8933969471805776E-2</v>
      </c>
      <c r="AM919">
        <f>CORREL(Table1[MonthlyIncome],AK919:AK2388)</f>
        <v>-2.1528025206161348E-2</v>
      </c>
      <c r="AN919">
        <f>CORREL(Table1[YearsAtCompany],AK919:AK2388)</f>
        <v>-1.0953954783888244E-4</v>
      </c>
      <c r="AO919">
        <f t="shared" si="14"/>
        <v>0</v>
      </c>
    </row>
    <row r="920" spans="1:41" x14ac:dyDescent="0.25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  <c r="AK920" s="4">
        <f>IF(Table1[[#This Row],[Attrition]]="Yes", 1,0)</f>
        <v>0</v>
      </c>
      <c r="AL920">
        <f>CORREL(Table1[Age],AK920:AK2389)</f>
        <v>2.5904251033007156E-2</v>
      </c>
      <c r="AM920">
        <f>CORREL(Table1[MonthlyIncome],AK920:AK2389)</f>
        <v>5.5656288383810329E-2</v>
      </c>
      <c r="AN920">
        <f>CORREL(Table1[YearsAtCompany],AK920:AK2389)</f>
        <v>0.10097147648322578</v>
      </c>
      <c r="AO920">
        <f t="shared" si="14"/>
        <v>0</v>
      </c>
    </row>
    <row r="921" spans="1:41" x14ac:dyDescent="0.25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  <c r="AK921" s="4">
        <f>IF(Table1[[#This Row],[Attrition]]="Yes", 1,0)</f>
        <v>0</v>
      </c>
      <c r="AL921">
        <f>CORREL(Table1[Age],AK921:AK2390)</f>
        <v>-6.3060156630435904E-2</v>
      </c>
      <c r="AM921">
        <f>CORREL(Table1[MonthlyIncome],AK921:AK2390)</f>
        <v>-4.8038080751752407E-2</v>
      </c>
      <c r="AN921">
        <f>CORREL(Table1[YearsAtCompany],AK921:AK2390)</f>
        <v>4.2855430540177149E-3</v>
      </c>
      <c r="AO921">
        <f t="shared" si="14"/>
        <v>0</v>
      </c>
    </row>
    <row r="922" spans="1:41" x14ac:dyDescent="0.25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  <c r="AK922" s="4">
        <f>IF(Table1[[#This Row],[Attrition]]="Yes", 1,0)</f>
        <v>0</v>
      </c>
      <c r="AL922">
        <f>CORREL(Table1[Age],AK922:AK2391)</f>
        <v>1.6332033343702906E-2</v>
      </c>
      <c r="AM922">
        <f>CORREL(Table1[MonthlyIncome],AK922:AK2391)</f>
        <v>7.1232758426779758E-2</v>
      </c>
      <c r="AN922">
        <f>CORREL(Table1[YearsAtCompany],AK922:AK2391)</f>
        <v>2.0452486686592348E-2</v>
      </c>
      <c r="AO922">
        <f t="shared" si="14"/>
        <v>0</v>
      </c>
    </row>
    <row r="923" spans="1:41" x14ac:dyDescent="0.25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  <c r="AK923" s="4">
        <f>IF(Table1[[#This Row],[Attrition]]="Yes", 1,0)</f>
        <v>0</v>
      </c>
      <c r="AL923">
        <f>CORREL(Table1[Age],AK923:AK2392)</f>
        <v>6.4839144156823875E-2</v>
      </c>
      <c r="AM923">
        <f>CORREL(Table1[MonthlyIncome],AK923:AK2392)</f>
        <v>4.7088915128377921E-2</v>
      </c>
      <c r="AN923">
        <f>CORREL(Table1[YearsAtCompany],AK923:AK2392)</f>
        <v>-1.0587542562163843E-3</v>
      </c>
      <c r="AO923">
        <f t="shared" si="14"/>
        <v>0</v>
      </c>
    </row>
    <row r="924" spans="1:41" x14ac:dyDescent="0.25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  <c r="AK924" s="4">
        <f>IF(Table1[[#This Row],[Attrition]]="Yes", 1,0)</f>
        <v>0</v>
      </c>
      <c r="AL924">
        <f>CORREL(Table1[Age],AK924:AK2393)</f>
        <v>5.0751226616376273E-2</v>
      </c>
      <c r="AM924">
        <f>CORREL(Table1[MonthlyIncome],AK924:AK2393)</f>
        <v>3.628452617878155E-2</v>
      </c>
      <c r="AN924">
        <f>CORREL(Table1[YearsAtCompany],AK924:AK2393)</f>
        <v>5.5075554531060028E-2</v>
      </c>
      <c r="AO924">
        <f t="shared" si="14"/>
        <v>0</v>
      </c>
    </row>
    <row r="925" spans="1:41" x14ac:dyDescent="0.25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  <c r="AK925" s="4">
        <f>IF(Table1[[#This Row],[Attrition]]="Yes", 1,0)</f>
        <v>0</v>
      </c>
      <c r="AL925">
        <f>CORREL(Table1[Age],AK925:AK2394)</f>
        <v>5.3367841183373628E-2</v>
      </c>
      <c r="AM925">
        <f>CORREL(Table1[MonthlyIncome],AK925:AK2394)</f>
        <v>9.3807519338910864E-2</v>
      </c>
      <c r="AN925">
        <f>CORREL(Table1[YearsAtCompany],AK925:AK2394)</f>
        <v>7.0274511538277934E-2</v>
      </c>
      <c r="AO925">
        <f t="shared" si="14"/>
        <v>0</v>
      </c>
    </row>
    <row r="926" spans="1:41" x14ac:dyDescent="0.25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  <c r="AK926" s="4">
        <f>IF(Table1[[#This Row],[Attrition]]="Yes", 1,0)</f>
        <v>0</v>
      </c>
      <c r="AL926">
        <f>CORREL(Table1[Age],AK926:AK2395)</f>
        <v>-3.7311771020002105E-2</v>
      </c>
      <c r="AM926">
        <f>CORREL(Table1[MonthlyIncome],AK926:AK2395)</f>
        <v>2.874535229101946E-2</v>
      </c>
      <c r="AN926">
        <f>CORREL(Table1[YearsAtCompany],AK926:AK2395)</f>
        <v>-3.2250431480697755E-2</v>
      </c>
      <c r="AO926">
        <f t="shared" si="14"/>
        <v>0</v>
      </c>
    </row>
    <row r="927" spans="1:41" x14ac:dyDescent="0.25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  <c r="AK927" s="4">
        <f>IF(Table1[[#This Row],[Attrition]]="Yes", 1,0)</f>
        <v>0</v>
      </c>
      <c r="AL927">
        <f>CORREL(Table1[Age],AK927:AK2396)</f>
        <v>3.9182295693159626E-2</v>
      </c>
      <c r="AM927">
        <f>CORREL(Table1[MonthlyIncome],AK927:AK2396)</f>
        <v>2.9442192720361506E-2</v>
      </c>
      <c r="AN927">
        <f>CORREL(Table1[YearsAtCompany],AK927:AK2396)</f>
        <v>-5.0312113120423059E-2</v>
      </c>
      <c r="AO927">
        <f t="shared" si="14"/>
        <v>0</v>
      </c>
    </row>
    <row r="928" spans="1:41" x14ac:dyDescent="0.25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  <c r="AK928" s="4">
        <f>IF(Table1[[#This Row],[Attrition]]="Yes", 1,0)</f>
        <v>0</v>
      </c>
      <c r="AL928">
        <f>CORREL(Table1[Age],AK928:AK2397)</f>
        <v>-2.950220176609368E-2</v>
      </c>
      <c r="AM928">
        <f>CORREL(Table1[MonthlyIncome],AK928:AK2397)</f>
        <v>-3.0472174630497326E-2</v>
      </c>
      <c r="AN928">
        <f>CORREL(Table1[YearsAtCompany],AK928:AK2397)</f>
        <v>-4.1601794357398747E-2</v>
      </c>
      <c r="AO928">
        <f t="shared" si="14"/>
        <v>0</v>
      </c>
    </row>
    <row r="929" spans="1:41" x14ac:dyDescent="0.25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  <c r="AK929" s="4">
        <f>IF(Table1[[#This Row],[Attrition]]="Yes", 1,0)</f>
        <v>0</v>
      </c>
      <c r="AL929">
        <f>CORREL(Table1[Age],AK929:AK2398)</f>
        <v>7.9871812141715584E-2</v>
      </c>
      <c r="AM929">
        <f>CORREL(Table1[MonthlyIncome],AK929:AK2398)</f>
        <v>-3.2887486012935447E-3</v>
      </c>
      <c r="AN929">
        <f>CORREL(Table1[YearsAtCompany],AK929:AK2398)</f>
        <v>-1.1698851198579279E-2</v>
      </c>
      <c r="AO929">
        <f t="shared" si="14"/>
        <v>0</v>
      </c>
    </row>
    <row r="930" spans="1:41" x14ac:dyDescent="0.25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  <c r="AK930" s="4">
        <f>IF(Table1[[#This Row],[Attrition]]="Yes", 1,0)</f>
        <v>1</v>
      </c>
      <c r="AL930">
        <f>CORREL(Table1[Age],AK930:AK2399)</f>
        <v>2.9926331436586701E-2</v>
      </c>
      <c r="AM930">
        <f>CORREL(Table1[MonthlyIncome],AK930:AK2399)</f>
        <v>-6.1130373314177526E-2</v>
      </c>
      <c r="AN930">
        <f>CORREL(Table1[YearsAtCompany],AK930:AK2399)</f>
        <v>-1.0871440530905821E-2</v>
      </c>
      <c r="AO930">
        <f t="shared" si="14"/>
        <v>1</v>
      </c>
    </row>
    <row r="931" spans="1:41" x14ac:dyDescent="0.25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  <c r="AK931" s="4">
        <f>IF(Table1[[#This Row],[Attrition]]="Yes", 1,0)</f>
        <v>0</v>
      </c>
      <c r="AL931">
        <f>CORREL(Table1[Age],AK931:AK2400)</f>
        <v>-2.8031647291662794E-2</v>
      </c>
      <c r="AM931">
        <f>CORREL(Table1[MonthlyIncome],AK931:AK2400)</f>
        <v>-2.8003315035435111E-2</v>
      </c>
      <c r="AN931">
        <f>CORREL(Table1[YearsAtCompany],AK931:AK2400)</f>
        <v>-1.7124861479492309E-2</v>
      </c>
      <c r="AO931">
        <f t="shared" si="14"/>
        <v>0</v>
      </c>
    </row>
    <row r="932" spans="1:41" x14ac:dyDescent="0.25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  <c r="AK932" s="4">
        <f>IF(Table1[[#This Row],[Attrition]]="Yes", 1,0)</f>
        <v>0</v>
      </c>
      <c r="AL932">
        <f>CORREL(Table1[Age],AK932:AK2401)</f>
        <v>1.0058814744761989E-2</v>
      </c>
      <c r="AM932">
        <f>CORREL(Table1[MonthlyIncome],AK932:AK2401)</f>
        <v>3.3846141302835302E-2</v>
      </c>
      <c r="AN932">
        <f>CORREL(Table1[YearsAtCompany],AK932:AK2401)</f>
        <v>-1.7140224003650374E-2</v>
      </c>
      <c r="AO932">
        <f t="shared" si="14"/>
        <v>0</v>
      </c>
    </row>
    <row r="933" spans="1:41" x14ac:dyDescent="0.25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  <c r="AK933" s="4">
        <f>IF(Table1[[#This Row],[Attrition]]="Yes", 1,0)</f>
        <v>0</v>
      </c>
      <c r="AL933">
        <f>CORREL(Table1[Age],AK933:AK2402)</f>
        <v>-1.1301300531087636E-2</v>
      </c>
      <c r="AM933">
        <f>CORREL(Table1[MonthlyIncome],AK933:AK2402)</f>
        <v>-7.8448590227038831E-3</v>
      </c>
      <c r="AN933">
        <f>CORREL(Table1[YearsAtCompany],AK933:AK2402)</f>
        <v>3.4988504169122428E-2</v>
      </c>
      <c r="AO933">
        <f t="shared" si="14"/>
        <v>0</v>
      </c>
    </row>
    <row r="934" spans="1:41" x14ac:dyDescent="0.25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  <c r="AK934" s="4">
        <f>IF(Table1[[#This Row],[Attrition]]="Yes", 1,0)</f>
        <v>1</v>
      </c>
      <c r="AL934">
        <f>CORREL(Table1[Age],AK934:AK2403)</f>
        <v>-7.1143605504535613E-3</v>
      </c>
      <c r="AM934">
        <f>CORREL(Table1[MonthlyIncome],AK934:AK2403)</f>
        <v>-2.6477090845492504E-2</v>
      </c>
      <c r="AN934">
        <f>CORREL(Table1[YearsAtCompany],AK934:AK2403)</f>
        <v>-1.5223869904050962E-2</v>
      </c>
      <c r="AO934">
        <f t="shared" si="14"/>
        <v>1</v>
      </c>
    </row>
    <row r="935" spans="1:41" x14ac:dyDescent="0.25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  <c r="AK935" s="4">
        <f>IF(Table1[[#This Row],[Attrition]]="Yes", 1,0)</f>
        <v>0</v>
      </c>
      <c r="AL935">
        <f>CORREL(Table1[Age],AK935:AK2404)</f>
        <v>-1.6350040275240497E-2</v>
      </c>
      <c r="AM935">
        <f>CORREL(Table1[MonthlyIncome],AK935:AK2404)</f>
        <v>-1.3779408917362653E-2</v>
      </c>
      <c r="AN935">
        <f>CORREL(Table1[YearsAtCompany],AK935:AK2404)</f>
        <v>-2.0731456873271281E-3</v>
      </c>
      <c r="AO935">
        <f t="shared" si="14"/>
        <v>0</v>
      </c>
    </row>
    <row r="936" spans="1:41" x14ac:dyDescent="0.25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  <c r="AK936" s="4">
        <f>IF(Table1[[#This Row],[Attrition]]="Yes", 1,0)</f>
        <v>0</v>
      </c>
      <c r="AL936">
        <f>CORREL(Table1[Age],AK936:AK2405)</f>
        <v>4.2715573493525616E-2</v>
      </c>
      <c r="AM936">
        <f>CORREL(Table1[MonthlyIncome],AK936:AK2405)</f>
        <v>7.4021243442711042E-3</v>
      </c>
      <c r="AN936">
        <f>CORREL(Table1[YearsAtCompany],AK936:AK2405)</f>
        <v>4.4190224198589791E-2</v>
      </c>
      <c r="AO936">
        <f t="shared" si="14"/>
        <v>0</v>
      </c>
    </row>
    <row r="937" spans="1:41" x14ac:dyDescent="0.25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  <c r="AK937" s="4">
        <f>IF(Table1[[#This Row],[Attrition]]="Yes", 1,0)</f>
        <v>0</v>
      </c>
      <c r="AL937">
        <f>CORREL(Table1[Age],AK937:AK2406)</f>
        <v>-7.1349316646210428E-2</v>
      </c>
      <c r="AM937">
        <f>CORREL(Table1[MonthlyIncome],AK937:AK2406)</f>
        <v>-5.1158131778514929E-2</v>
      </c>
      <c r="AN937">
        <f>CORREL(Table1[YearsAtCompany],AK937:AK2406)</f>
        <v>6.0745229813794696E-2</v>
      </c>
      <c r="AO937">
        <f t="shared" si="14"/>
        <v>0</v>
      </c>
    </row>
    <row r="938" spans="1:41" x14ac:dyDescent="0.25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  <c r="AK938" s="4">
        <f>IF(Table1[[#This Row],[Attrition]]="Yes", 1,0)</f>
        <v>0</v>
      </c>
      <c r="AL938">
        <f>CORREL(Table1[Age],AK938:AK2407)</f>
        <v>-7.7978995300909792E-2</v>
      </c>
      <c r="AM938">
        <f>CORREL(Table1[MonthlyIncome],AK938:AK2407)</f>
        <v>-1.3824426891454768E-2</v>
      </c>
      <c r="AN938">
        <f>CORREL(Table1[YearsAtCompany],AK938:AK2407)</f>
        <v>-2.0539235352460216E-3</v>
      </c>
      <c r="AO938">
        <f t="shared" si="14"/>
        <v>0</v>
      </c>
    </row>
    <row r="939" spans="1:41" x14ac:dyDescent="0.25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  <c r="AK939" s="4">
        <f>IF(Table1[[#This Row],[Attrition]]="Yes", 1,0)</f>
        <v>0</v>
      </c>
      <c r="AL939">
        <f>CORREL(Table1[Age],AK939:AK2408)</f>
        <v>3.8755762556057866E-2</v>
      </c>
      <c r="AM939">
        <f>CORREL(Table1[MonthlyIncome],AK939:AK2408)</f>
        <v>-5.335363458797044E-2</v>
      </c>
      <c r="AN939">
        <f>CORREL(Table1[YearsAtCompany],AK939:AK2408)</f>
        <v>-3.3282151741617388E-2</v>
      </c>
      <c r="AO939">
        <f t="shared" si="14"/>
        <v>0</v>
      </c>
    </row>
    <row r="940" spans="1:41" x14ac:dyDescent="0.25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  <c r="AK940" s="4">
        <f>IF(Table1[[#This Row],[Attrition]]="Yes", 1,0)</f>
        <v>0</v>
      </c>
      <c r="AL940">
        <f>CORREL(Table1[Age],AK940:AK2409)</f>
        <v>9.8280194618987279E-2</v>
      </c>
      <c r="AM940">
        <f>CORREL(Table1[MonthlyIncome],AK940:AK2409)</f>
        <v>1.4102406607934678E-2</v>
      </c>
      <c r="AN940">
        <f>CORREL(Table1[YearsAtCompany],AK940:AK2409)</f>
        <v>1.0713921770179151E-2</v>
      </c>
      <c r="AO940">
        <f t="shared" si="14"/>
        <v>0</v>
      </c>
    </row>
    <row r="941" spans="1:41" x14ac:dyDescent="0.25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  <c r="AK941" s="4">
        <f>IF(Table1[[#This Row],[Attrition]]="Yes", 1,0)</f>
        <v>1</v>
      </c>
      <c r="AL941">
        <f>CORREL(Table1[Age],AK941:AK2410)</f>
        <v>-8.1299429269080958E-2</v>
      </c>
      <c r="AM941">
        <f>CORREL(Table1[MonthlyIncome],AK941:AK2410)</f>
        <v>-6.5846441058313207E-2</v>
      </c>
      <c r="AN941">
        <f>CORREL(Table1[YearsAtCompany],AK941:AK2410)</f>
        <v>-5.1237487885546003E-2</v>
      </c>
      <c r="AO941">
        <f t="shared" si="14"/>
        <v>1</v>
      </c>
    </row>
    <row r="942" spans="1:41" x14ac:dyDescent="0.25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  <c r="AK942" s="4">
        <f>IF(Table1[[#This Row],[Attrition]]="Yes", 1,0)</f>
        <v>1</v>
      </c>
      <c r="AL942">
        <f>CORREL(Table1[Age],AK942:AK2411)</f>
        <v>-6.3672272529111243E-2</v>
      </c>
      <c r="AM942">
        <f>CORREL(Table1[MonthlyIncome],AK942:AK2411)</f>
        <v>-3.5251552909271316E-2</v>
      </c>
      <c r="AN942">
        <f>CORREL(Table1[YearsAtCompany],AK942:AK2411)</f>
        <v>-3.565679260554392E-2</v>
      </c>
      <c r="AO942">
        <f t="shared" si="14"/>
        <v>1</v>
      </c>
    </row>
    <row r="943" spans="1:41" x14ac:dyDescent="0.25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  <c r="AK943" s="4">
        <f>IF(Table1[[#This Row],[Attrition]]="Yes", 1,0)</f>
        <v>0</v>
      </c>
      <c r="AL943">
        <f>CORREL(Table1[Age],AK943:AK2412)</f>
        <v>2.4642922083866484E-2</v>
      </c>
      <c r="AM943">
        <f>CORREL(Table1[MonthlyIncome],AK943:AK2412)</f>
        <v>4.8148330102989502E-2</v>
      </c>
      <c r="AN943">
        <f>CORREL(Table1[YearsAtCompany],AK943:AK2412)</f>
        <v>-3.4400771640001773E-3</v>
      </c>
      <c r="AO943">
        <f t="shared" si="14"/>
        <v>0</v>
      </c>
    </row>
    <row r="944" spans="1:41" x14ac:dyDescent="0.25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  <c r="AK944" s="4">
        <f>IF(Table1[[#This Row],[Attrition]]="Yes", 1,0)</f>
        <v>0</v>
      </c>
      <c r="AL944">
        <f>CORREL(Table1[Age],AK944:AK2413)</f>
        <v>3.5446955951075838E-2</v>
      </c>
      <c r="AM944">
        <f>CORREL(Table1[MonthlyIncome],AK944:AK2413)</f>
        <v>5.7051239130367984E-2</v>
      </c>
      <c r="AN944">
        <f>CORREL(Table1[YearsAtCompany],AK944:AK2413)</f>
        <v>8.3536498193039488E-2</v>
      </c>
      <c r="AO944">
        <f t="shared" si="14"/>
        <v>0</v>
      </c>
    </row>
    <row r="945" spans="1:41" x14ac:dyDescent="0.25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  <c r="AK945" s="4">
        <f>IF(Table1[[#This Row],[Attrition]]="Yes", 1,0)</f>
        <v>0</v>
      </c>
      <c r="AL945">
        <f>CORREL(Table1[Age],AK945:AK2414)</f>
        <v>-6.0061592815933505E-2</v>
      </c>
      <c r="AM945">
        <f>CORREL(Table1[MonthlyIncome],AK945:AK2414)</f>
        <v>-4.4257778887240549E-2</v>
      </c>
      <c r="AN945">
        <f>CORREL(Table1[YearsAtCompany],AK945:AK2414)</f>
        <v>2.7051407076317355E-2</v>
      </c>
      <c r="AO945">
        <f t="shared" si="14"/>
        <v>0</v>
      </c>
    </row>
    <row r="946" spans="1:41" x14ac:dyDescent="0.25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  <c r="AK946" s="4">
        <f>IF(Table1[[#This Row],[Attrition]]="Yes", 1,0)</f>
        <v>0</v>
      </c>
      <c r="AL946">
        <f>CORREL(Table1[Age],AK946:AK2415)</f>
        <v>2.5058404136505615E-2</v>
      </c>
      <c r="AM946">
        <f>CORREL(Table1[MonthlyIncome],AK946:AK2415)</f>
        <v>7.7032416964395341E-3</v>
      </c>
      <c r="AN946">
        <f>CORREL(Table1[YearsAtCompany],AK946:AK2415)</f>
        <v>2.0515386477622695E-2</v>
      </c>
      <c r="AO946">
        <f t="shared" si="14"/>
        <v>0</v>
      </c>
    </row>
    <row r="947" spans="1:41" x14ac:dyDescent="0.25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  <c r="AK947" s="4">
        <f>IF(Table1[[#This Row],[Attrition]]="Yes", 1,0)</f>
        <v>0</v>
      </c>
      <c r="AL947">
        <f>CORREL(Table1[Age],AK947:AK2416)</f>
        <v>1.9464029068912876E-2</v>
      </c>
      <c r="AM947">
        <f>CORREL(Table1[MonthlyIncome],AK947:AK2416)</f>
        <v>2.1474819173240706E-3</v>
      </c>
      <c r="AN947">
        <f>CORREL(Table1[YearsAtCompany],AK947:AK2416)</f>
        <v>-3.146412459947235E-2</v>
      </c>
      <c r="AO947">
        <f t="shared" si="14"/>
        <v>0</v>
      </c>
    </row>
    <row r="948" spans="1:41" x14ac:dyDescent="0.25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  <c r="AK948" s="4">
        <f>IF(Table1[[#This Row],[Attrition]]="Yes", 1,0)</f>
        <v>1</v>
      </c>
      <c r="AL948">
        <f>CORREL(Table1[Age],AK948:AK2417)</f>
        <v>9.6411040922303071E-2</v>
      </c>
      <c r="AM948">
        <f>CORREL(Table1[MonthlyIncome],AK948:AK2417)</f>
        <v>4.4341044334442858E-2</v>
      </c>
      <c r="AN948">
        <f>CORREL(Table1[YearsAtCompany],AK948:AK2417)</f>
        <v>-3.4661169107830257E-2</v>
      </c>
      <c r="AO948">
        <f t="shared" si="14"/>
        <v>1</v>
      </c>
    </row>
    <row r="949" spans="1:41" x14ac:dyDescent="0.25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  <c r="AK949" s="4">
        <f>IF(Table1[[#This Row],[Attrition]]="Yes", 1,0)</f>
        <v>1</v>
      </c>
      <c r="AL949">
        <f>CORREL(Table1[Age],AK949:AK2418)</f>
        <v>6.9555270525787902E-2</v>
      </c>
      <c r="AM949">
        <f>CORREL(Table1[MonthlyIncome],AK949:AK2418)</f>
        <v>1.5816395008786746E-2</v>
      </c>
      <c r="AN949">
        <f>CORREL(Table1[YearsAtCompany],AK949:AK2418)</f>
        <v>-7.1795528695484542E-2</v>
      </c>
      <c r="AO949">
        <f t="shared" si="14"/>
        <v>1</v>
      </c>
    </row>
    <row r="950" spans="1:41" x14ac:dyDescent="0.25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  <c r="AK950" s="4">
        <f>IF(Table1[[#This Row],[Attrition]]="Yes", 1,0)</f>
        <v>0</v>
      </c>
      <c r="AL950">
        <f>CORREL(Table1[Age],AK950:AK2419)</f>
        <v>-2.2138171612582917E-2</v>
      </c>
      <c r="AM950">
        <f>CORREL(Table1[MonthlyIncome],AK950:AK2419)</f>
        <v>-2.3107230984294888E-2</v>
      </c>
      <c r="AN950">
        <f>CORREL(Table1[YearsAtCompany],AK950:AK2419)</f>
        <v>1.3677624860672385E-2</v>
      </c>
      <c r="AO950">
        <f t="shared" si="14"/>
        <v>0</v>
      </c>
    </row>
    <row r="951" spans="1:41" x14ac:dyDescent="0.25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  <c r="AK951" s="4">
        <f>IF(Table1[[#This Row],[Attrition]]="Yes", 1,0)</f>
        <v>0</v>
      </c>
      <c r="AL951">
        <f>CORREL(Table1[Age],AK951:AK2420)</f>
        <v>-2.8662602621186061E-3</v>
      </c>
      <c r="AM951">
        <f>CORREL(Table1[MonthlyIncome],AK951:AK2420)</f>
        <v>-2.2412506464416879E-2</v>
      </c>
      <c r="AN951">
        <f>CORREL(Table1[YearsAtCompany],AK951:AK2420)</f>
        <v>2.1970170802921938E-2</v>
      </c>
      <c r="AO951">
        <f t="shared" si="14"/>
        <v>0</v>
      </c>
    </row>
    <row r="952" spans="1:41" x14ac:dyDescent="0.25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  <c r="AK952" s="4">
        <f>IF(Table1[[#This Row],[Attrition]]="Yes", 1,0)</f>
        <v>0</v>
      </c>
      <c r="AL952">
        <f>CORREL(Table1[Age],AK952:AK2421)</f>
        <v>-1.7290660503987434E-4</v>
      </c>
      <c r="AM952">
        <f>CORREL(Table1[MonthlyIncome],AK952:AK2421)</f>
        <v>1.3829789624609651E-2</v>
      </c>
      <c r="AN952">
        <f>CORREL(Table1[YearsAtCompany],AK952:AK2421)</f>
        <v>-6.1197015855969053E-2</v>
      </c>
      <c r="AO952">
        <f t="shared" si="14"/>
        <v>0</v>
      </c>
    </row>
    <row r="953" spans="1:41" x14ac:dyDescent="0.25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  <c r="AK953" s="4">
        <f>IF(Table1[[#This Row],[Attrition]]="Yes", 1,0)</f>
        <v>0</v>
      </c>
      <c r="AL953">
        <f>CORREL(Table1[Age],AK953:AK2422)</f>
        <v>2.4533954984837548E-2</v>
      </c>
      <c r="AM953">
        <f>CORREL(Table1[MonthlyIncome],AK953:AK2422)</f>
        <v>-8.6656313037918389E-3</v>
      </c>
      <c r="AN953">
        <f>CORREL(Table1[YearsAtCompany],AK953:AK2422)</f>
        <v>-6.0691972647845694E-3</v>
      </c>
      <c r="AO953">
        <f t="shared" si="14"/>
        <v>0</v>
      </c>
    </row>
    <row r="954" spans="1:41" x14ac:dyDescent="0.25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  <c r="AK954" s="4">
        <f>IF(Table1[[#This Row],[Attrition]]="Yes", 1,0)</f>
        <v>1</v>
      </c>
      <c r="AL954">
        <f>CORREL(Table1[Age],AK954:AK2423)</f>
        <v>4.4259992338561462E-2</v>
      </c>
      <c r="AM954">
        <f>CORREL(Table1[MonthlyIncome],AK954:AK2423)</f>
        <v>5.5658029713709541E-2</v>
      </c>
      <c r="AN954">
        <f>CORREL(Table1[YearsAtCompany],AK954:AK2423)</f>
        <v>2.1740783025781165E-2</v>
      </c>
      <c r="AO954">
        <f t="shared" si="14"/>
        <v>1</v>
      </c>
    </row>
    <row r="955" spans="1:41" x14ac:dyDescent="0.25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  <c r="AK955" s="4">
        <f>IF(Table1[[#This Row],[Attrition]]="Yes", 1,0)</f>
        <v>1</v>
      </c>
      <c r="AL955">
        <f>CORREL(Table1[Age],AK955:AK2424)</f>
        <v>-1.9902743741875471E-2</v>
      </c>
      <c r="AM955">
        <f>CORREL(Table1[MonthlyIncome],AK955:AK2424)</f>
        <v>3.6022017779105127E-3</v>
      </c>
      <c r="AN955">
        <f>CORREL(Table1[YearsAtCompany],AK955:AK2424)</f>
        <v>6.6306882786975288E-2</v>
      </c>
      <c r="AO955">
        <f t="shared" si="14"/>
        <v>1</v>
      </c>
    </row>
    <row r="956" spans="1:41" x14ac:dyDescent="0.25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  <c r="AK956" s="4">
        <f>IF(Table1[[#This Row],[Attrition]]="Yes", 1,0)</f>
        <v>0</v>
      </c>
      <c r="AL956">
        <f>CORREL(Table1[Age],AK956:AK2425)</f>
        <v>0.10627858061972416</v>
      </c>
      <c r="AM956">
        <f>CORREL(Table1[MonthlyIncome],AK956:AK2425)</f>
        <v>5.2140573821580473E-2</v>
      </c>
      <c r="AN956">
        <f>CORREL(Table1[YearsAtCompany],AK956:AK2425)</f>
        <v>3.1250785142076319E-2</v>
      </c>
      <c r="AO956">
        <f t="shared" si="14"/>
        <v>0</v>
      </c>
    </row>
    <row r="957" spans="1:41" x14ac:dyDescent="0.25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  <c r="AK957" s="4">
        <f>IF(Table1[[#This Row],[Attrition]]="Yes", 1,0)</f>
        <v>0</v>
      </c>
      <c r="AL957">
        <f>CORREL(Table1[Age],AK957:AK2426)</f>
        <v>-5.5487832806142376E-2</v>
      </c>
      <c r="AM957">
        <f>CORREL(Table1[MonthlyIncome],AK957:AK2426)</f>
        <v>1.6513449102179077E-2</v>
      </c>
      <c r="AN957">
        <f>CORREL(Table1[YearsAtCompany],AK957:AK2426)</f>
        <v>-4.8872091894395633E-2</v>
      </c>
      <c r="AO957">
        <f t="shared" si="14"/>
        <v>0</v>
      </c>
    </row>
    <row r="958" spans="1:41" x14ac:dyDescent="0.25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  <c r="AK958" s="4">
        <f>IF(Table1[[#This Row],[Attrition]]="Yes", 1,0)</f>
        <v>0</v>
      </c>
      <c r="AL958">
        <f>CORREL(Table1[Age],AK958:AK2427)</f>
        <v>-4.2950991153826154E-2</v>
      </c>
      <c r="AM958">
        <f>CORREL(Table1[MonthlyIncome],AK958:AK2427)</f>
        <v>-2.8807653251147498E-3</v>
      </c>
      <c r="AN958">
        <f>CORREL(Table1[YearsAtCompany],AK958:AK2427)</f>
        <v>-5.5349259466782208E-2</v>
      </c>
      <c r="AO958">
        <f t="shared" si="14"/>
        <v>0</v>
      </c>
    </row>
    <row r="959" spans="1:41" x14ac:dyDescent="0.25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  <c r="AK959" s="4">
        <f>IF(Table1[[#This Row],[Attrition]]="Yes", 1,0)</f>
        <v>0</v>
      </c>
      <c r="AL959">
        <f>CORREL(Table1[Age],AK959:AK2428)</f>
        <v>-2.4577434606543887E-2</v>
      </c>
      <c r="AM959">
        <f>CORREL(Table1[MonthlyIncome],AK959:AK2428)</f>
        <v>-2.1370090877378883E-2</v>
      </c>
      <c r="AN959">
        <f>CORREL(Table1[YearsAtCompany],AK959:AK2428)</f>
        <v>2.5045821378722254E-2</v>
      </c>
      <c r="AO959">
        <f t="shared" si="14"/>
        <v>0</v>
      </c>
    </row>
    <row r="960" spans="1:41" x14ac:dyDescent="0.25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  <c r="AK960" s="4">
        <f>IF(Table1[[#This Row],[Attrition]]="Yes", 1,0)</f>
        <v>0</v>
      </c>
      <c r="AL960">
        <f>CORREL(Table1[Age],AK960:AK2429)</f>
        <v>-1.4289815942413173E-2</v>
      </c>
      <c r="AM960">
        <f>CORREL(Table1[MonthlyIncome],AK960:AK2429)</f>
        <v>-3.4817373378100501E-2</v>
      </c>
      <c r="AN960">
        <f>CORREL(Table1[YearsAtCompany],AK960:AK2429)</f>
        <v>2.5523806002232335E-2</v>
      </c>
      <c r="AO960">
        <f t="shared" si="14"/>
        <v>0</v>
      </c>
    </row>
    <row r="961" spans="1:41" x14ac:dyDescent="0.25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  <c r="AK961" s="4">
        <f>IF(Table1[[#This Row],[Attrition]]="Yes", 1,0)</f>
        <v>0</v>
      </c>
      <c r="AL961">
        <f>CORREL(Table1[Age],AK961:AK2430)</f>
        <v>-3.4972669887312582E-2</v>
      </c>
      <c r="AM961">
        <f>CORREL(Table1[MonthlyIncome],AK961:AK2430)</f>
        <v>-1.7843505349808463E-2</v>
      </c>
      <c r="AN961">
        <f>CORREL(Table1[YearsAtCompany],AK961:AK2430)</f>
        <v>-3.2311670075219005E-2</v>
      </c>
      <c r="AO961">
        <f t="shared" si="14"/>
        <v>0</v>
      </c>
    </row>
    <row r="962" spans="1:41" x14ac:dyDescent="0.25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  <c r="AK962" s="4">
        <f>IF(Table1[[#This Row],[Attrition]]="Yes", 1,0)</f>
        <v>0</v>
      </c>
      <c r="AL962">
        <f>CORREL(Table1[Age],AK962:AK2431)</f>
        <v>-3.6542267688343413E-2</v>
      </c>
      <c r="AM962">
        <f>CORREL(Table1[MonthlyIncome],AK962:AK2431)</f>
        <v>-1.5840560838780885E-2</v>
      </c>
      <c r="AN962">
        <f>CORREL(Table1[YearsAtCompany],AK962:AK2431)</f>
        <v>1.5860258062221449E-2</v>
      </c>
      <c r="AO962">
        <f t="shared" si="14"/>
        <v>0</v>
      </c>
    </row>
    <row r="963" spans="1:41" x14ac:dyDescent="0.25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  <c r="AK963" s="4">
        <f>IF(Table1[[#This Row],[Attrition]]="Yes", 1,0)</f>
        <v>0</v>
      </c>
      <c r="AL963">
        <f>CORREL(Table1[Age],AK963:AK2432)</f>
        <v>-5.4030894943333865E-2</v>
      </c>
      <c r="AM963">
        <f>CORREL(Table1[MonthlyIncome],AK963:AK2432)</f>
        <v>-2.0319784528630921E-2</v>
      </c>
      <c r="AN963">
        <f>CORREL(Table1[YearsAtCompany],AK963:AK2432)</f>
        <v>-5.6192986261616867E-2</v>
      </c>
      <c r="AO963">
        <f t="shared" ref="AO963:AO1026" si="15">ABS(AK963)</f>
        <v>0</v>
      </c>
    </row>
    <row r="964" spans="1:41" x14ac:dyDescent="0.25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  <c r="AK964" s="4">
        <f>IF(Table1[[#This Row],[Attrition]]="Yes", 1,0)</f>
        <v>0</v>
      </c>
      <c r="AL964">
        <f>CORREL(Table1[Age],AK964:AK2433)</f>
        <v>1.6710555411875758E-2</v>
      </c>
      <c r="AM964">
        <f>CORREL(Table1[MonthlyIncome],AK964:AK2433)</f>
        <v>-3.4417186055474332E-3</v>
      </c>
      <c r="AN964">
        <f>CORREL(Table1[YearsAtCompany],AK964:AK2433)</f>
        <v>3.354794499054607E-3</v>
      </c>
      <c r="AO964">
        <f t="shared" si="15"/>
        <v>0</v>
      </c>
    </row>
    <row r="965" spans="1:41" x14ac:dyDescent="0.25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  <c r="AK965" s="4">
        <f>IF(Table1[[#This Row],[Attrition]]="Yes", 1,0)</f>
        <v>0</v>
      </c>
      <c r="AL965">
        <f>CORREL(Table1[Age],AK965:AK2434)</f>
        <v>3.0222836639424367E-2</v>
      </c>
      <c r="AM965">
        <f>CORREL(Table1[MonthlyIncome],AK965:AK2434)</f>
        <v>-4.4761328598928417E-2</v>
      </c>
      <c r="AN965">
        <f>CORREL(Table1[YearsAtCompany],AK965:AK2434)</f>
        <v>-6.0354751712717168E-2</v>
      </c>
      <c r="AO965">
        <f t="shared" si="15"/>
        <v>0</v>
      </c>
    </row>
    <row r="966" spans="1:41" x14ac:dyDescent="0.25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  <c r="AK966" s="4">
        <f>IF(Table1[[#This Row],[Attrition]]="Yes", 1,0)</f>
        <v>0</v>
      </c>
      <c r="AL966">
        <f>CORREL(Table1[Age],AK966:AK2435)</f>
        <v>-5.2590132197069981E-3</v>
      </c>
      <c r="AM966">
        <f>CORREL(Table1[MonthlyIncome],AK966:AK2435)</f>
        <v>-3.9579173674671557E-2</v>
      </c>
      <c r="AN966">
        <f>CORREL(Table1[YearsAtCompany],AK966:AK2435)</f>
        <v>-2.6474373936131005E-2</v>
      </c>
      <c r="AO966">
        <f t="shared" si="15"/>
        <v>0</v>
      </c>
    </row>
    <row r="967" spans="1:41" x14ac:dyDescent="0.25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  <c r="AK967" s="4">
        <f>IF(Table1[[#This Row],[Attrition]]="Yes", 1,0)</f>
        <v>0</v>
      </c>
      <c r="AL967">
        <f>CORREL(Table1[Age],AK967:AK2436)</f>
        <v>2.6492827371338225E-3</v>
      </c>
      <c r="AM967">
        <f>CORREL(Table1[MonthlyIncome],AK967:AK2436)</f>
        <v>2.0894960402028085E-2</v>
      </c>
      <c r="AN967">
        <f>CORREL(Table1[YearsAtCompany],AK967:AK2436)</f>
        <v>1.4268768780209582E-2</v>
      </c>
      <c r="AO967">
        <f t="shared" si="15"/>
        <v>0</v>
      </c>
    </row>
    <row r="968" spans="1:41" x14ac:dyDescent="0.25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  <c r="AK968" s="4">
        <f>IF(Table1[[#This Row],[Attrition]]="Yes", 1,0)</f>
        <v>1</v>
      </c>
      <c r="AL968">
        <f>CORREL(Table1[Age],AK968:AK2437)</f>
        <v>5.200524353643398E-2</v>
      </c>
      <c r="AM968">
        <f>CORREL(Table1[MonthlyIncome],AK968:AK2437)</f>
        <v>4.1680665297289192E-2</v>
      </c>
      <c r="AN968">
        <f>CORREL(Table1[YearsAtCompany],AK968:AK2437)</f>
        <v>2.7274720153577403E-2</v>
      </c>
      <c r="AO968">
        <f t="shared" si="15"/>
        <v>1</v>
      </c>
    </row>
    <row r="969" spans="1:41" x14ac:dyDescent="0.25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  <c r="AK969" s="4">
        <f>IF(Table1[[#This Row],[Attrition]]="Yes", 1,0)</f>
        <v>0</v>
      </c>
      <c r="AL969">
        <f>CORREL(Table1[Age],AK969:AK2438)</f>
        <v>1.9180388754815668E-2</v>
      </c>
      <c r="AM969">
        <f>CORREL(Table1[MonthlyIncome],AK969:AK2438)</f>
        <v>6.6691380993927088E-2</v>
      </c>
      <c r="AN969">
        <f>CORREL(Table1[YearsAtCompany],AK969:AK2438)</f>
        <v>9.8859124972722229E-2</v>
      </c>
      <c r="AO969">
        <f t="shared" si="15"/>
        <v>0</v>
      </c>
    </row>
    <row r="970" spans="1:41" x14ac:dyDescent="0.25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  <c r="AK970" s="4">
        <f>IF(Table1[[#This Row],[Attrition]]="Yes", 1,0)</f>
        <v>0</v>
      </c>
      <c r="AL970">
        <f>CORREL(Table1[Age],AK970:AK2439)</f>
        <v>-2.7785374876788567E-2</v>
      </c>
      <c r="AM970">
        <f>CORREL(Table1[MonthlyIncome],AK970:AK2439)</f>
        <v>4.4554458527866153E-3</v>
      </c>
      <c r="AN970">
        <f>CORREL(Table1[YearsAtCompany],AK970:AK2439)</f>
        <v>5.3071279267632401E-2</v>
      </c>
      <c r="AO970">
        <f t="shared" si="15"/>
        <v>0</v>
      </c>
    </row>
    <row r="971" spans="1:41" x14ac:dyDescent="0.25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  <c r="AK971" s="4">
        <f>IF(Table1[[#This Row],[Attrition]]="Yes", 1,0)</f>
        <v>0</v>
      </c>
      <c r="AL971">
        <f>CORREL(Table1[Age],AK971:AK2440)</f>
        <v>4.5824715630848729E-2</v>
      </c>
      <c r="AM971">
        <f>CORREL(Table1[MonthlyIncome],AK971:AK2440)</f>
        <v>-1.9233275886469993E-3</v>
      </c>
      <c r="AN971">
        <f>CORREL(Table1[YearsAtCompany],AK971:AK2440)</f>
        <v>3.0644561217422605E-2</v>
      </c>
      <c r="AO971">
        <f t="shared" si="15"/>
        <v>0</v>
      </c>
    </row>
    <row r="972" spans="1:41" x14ac:dyDescent="0.25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  <c r="AK972" s="4">
        <f>IF(Table1[[#This Row],[Attrition]]="Yes", 1,0)</f>
        <v>0</v>
      </c>
      <c r="AL972">
        <f>CORREL(Table1[Age],AK972:AK2441)</f>
        <v>-3.2467285299984897E-2</v>
      </c>
      <c r="AM972">
        <f>CORREL(Table1[MonthlyIncome],AK972:AK2441)</f>
        <v>-6.0806333086041137E-2</v>
      </c>
      <c r="AN972">
        <f>CORREL(Table1[YearsAtCompany],AK972:AK2441)</f>
        <v>3.7461131963781272E-2</v>
      </c>
      <c r="AO972">
        <f t="shared" si="15"/>
        <v>0</v>
      </c>
    </row>
    <row r="973" spans="1:41" x14ac:dyDescent="0.25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  <c r="AK973" s="4">
        <f>IF(Table1[[#This Row],[Attrition]]="Yes", 1,0)</f>
        <v>0</v>
      </c>
      <c r="AL973">
        <f>CORREL(Table1[Age],AK973:AK2442)</f>
        <v>3.4884275072742707E-2</v>
      </c>
      <c r="AM973">
        <f>CORREL(Table1[MonthlyIncome],AK973:AK2442)</f>
        <v>5.1043594164148103E-2</v>
      </c>
      <c r="AN973">
        <f>CORREL(Table1[YearsAtCompany],AK973:AK2442)</f>
        <v>3.3378620780051133E-3</v>
      </c>
      <c r="AO973">
        <f t="shared" si="15"/>
        <v>0</v>
      </c>
    </row>
    <row r="974" spans="1:41" x14ac:dyDescent="0.25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  <c r="AK974" s="4">
        <f>IF(Table1[[#This Row],[Attrition]]="Yes", 1,0)</f>
        <v>0</v>
      </c>
      <c r="AL974">
        <f>CORREL(Table1[Age],AK974:AK2443)</f>
        <v>-3.2465413601998797E-2</v>
      </c>
      <c r="AM974">
        <f>CORREL(Table1[MonthlyIncome],AK974:AK2443)</f>
        <v>5.4340723127432097E-3</v>
      </c>
      <c r="AN974">
        <f>CORREL(Table1[YearsAtCompany],AK974:AK2443)</f>
        <v>-3.990472554255501E-2</v>
      </c>
      <c r="AO974">
        <f t="shared" si="15"/>
        <v>0</v>
      </c>
    </row>
    <row r="975" spans="1:41" x14ac:dyDescent="0.25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  <c r="AK975" s="4">
        <f>IF(Table1[[#This Row],[Attrition]]="Yes", 1,0)</f>
        <v>0</v>
      </c>
      <c r="AL975">
        <f>CORREL(Table1[Age],AK975:AK2444)</f>
        <v>7.5789297192793148E-2</v>
      </c>
      <c r="AM975">
        <f>CORREL(Table1[MonthlyIncome],AK975:AK2444)</f>
        <v>5.5225357133871375E-2</v>
      </c>
      <c r="AN975">
        <f>CORREL(Table1[YearsAtCompany],AK975:AK2444)</f>
        <v>-1.9724881870390974E-2</v>
      </c>
      <c r="AO975">
        <f t="shared" si="15"/>
        <v>0</v>
      </c>
    </row>
    <row r="976" spans="1:41" x14ac:dyDescent="0.25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  <c r="AK976" s="4">
        <f>IF(Table1[[#This Row],[Attrition]]="Yes", 1,0)</f>
        <v>0</v>
      </c>
      <c r="AL976">
        <f>CORREL(Table1[Age],AK976:AK2445)</f>
        <v>-5.0493970766336774E-3</v>
      </c>
      <c r="AM976">
        <f>CORREL(Table1[MonthlyIncome],AK976:AK2445)</f>
        <v>-4.7862380940038737E-2</v>
      </c>
      <c r="AN976">
        <f>CORREL(Table1[YearsAtCompany],AK976:AK2445)</f>
        <v>-7.1617414128841844E-2</v>
      </c>
      <c r="AO976">
        <f t="shared" si="15"/>
        <v>0</v>
      </c>
    </row>
    <row r="977" spans="1:41" x14ac:dyDescent="0.25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  <c r="AK977" s="4">
        <f>IF(Table1[[#This Row],[Attrition]]="Yes", 1,0)</f>
        <v>1</v>
      </c>
      <c r="AL977">
        <f>CORREL(Table1[Age],AK977:AK2446)</f>
        <v>-1.1402913336340179E-2</v>
      </c>
      <c r="AM977">
        <f>CORREL(Table1[MonthlyIncome],AK977:AK2446)</f>
        <v>-2.1913850439660085E-2</v>
      </c>
      <c r="AN977">
        <f>CORREL(Table1[YearsAtCompany],AK977:AK2446)</f>
        <v>1.9365042265842028E-2</v>
      </c>
      <c r="AO977">
        <f t="shared" si="15"/>
        <v>1</v>
      </c>
    </row>
    <row r="978" spans="1:41" x14ac:dyDescent="0.25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  <c r="AK978" s="4">
        <f>IF(Table1[[#This Row],[Attrition]]="Yes", 1,0)</f>
        <v>0</v>
      </c>
      <c r="AL978">
        <f>CORREL(Table1[Age],AK978:AK2447)</f>
        <v>-5.6106005497995444E-2</v>
      </c>
      <c r="AM978">
        <f>CORREL(Table1[MonthlyIncome],AK978:AK2447)</f>
        <v>-3.3943047077493446E-2</v>
      </c>
      <c r="AN978">
        <f>CORREL(Table1[YearsAtCompany],AK978:AK2447)</f>
        <v>3.6301446079286592E-2</v>
      </c>
      <c r="AO978">
        <f t="shared" si="15"/>
        <v>0</v>
      </c>
    </row>
    <row r="979" spans="1:41" x14ac:dyDescent="0.25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  <c r="AK979" s="4">
        <f>IF(Table1[[#This Row],[Attrition]]="Yes", 1,0)</f>
        <v>0</v>
      </c>
      <c r="AL979">
        <f>CORREL(Table1[Age],AK979:AK2448)</f>
        <v>-6.2803166417354214E-2</v>
      </c>
      <c r="AM979">
        <f>CORREL(Table1[MonthlyIncome],AK979:AK2448)</f>
        <v>-6.4849650483058182E-3</v>
      </c>
      <c r="AN979">
        <f>CORREL(Table1[YearsAtCompany],AK979:AK2448)</f>
        <v>2.5147016575888109E-2</v>
      </c>
      <c r="AO979">
        <f t="shared" si="15"/>
        <v>0</v>
      </c>
    </row>
    <row r="980" spans="1:41" x14ac:dyDescent="0.25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  <c r="AK980" s="4">
        <f>IF(Table1[[#This Row],[Attrition]]="Yes", 1,0)</f>
        <v>0</v>
      </c>
      <c r="AL980">
        <f>CORREL(Table1[Age],AK980:AK2449)</f>
        <v>3.0667968873704179E-2</v>
      </c>
      <c r="AM980">
        <f>CORREL(Table1[MonthlyIncome],AK980:AK2449)</f>
        <v>8.1989797218579324E-2</v>
      </c>
      <c r="AN980">
        <f>CORREL(Table1[YearsAtCompany],AK980:AK2449)</f>
        <v>3.5786651167402888E-3</v>
      </c>
      <c r="AO980">
        <f t="shared" si="15"/>
        <v>0</v>
      </c>
    </row>
    <row r="981" spans="1:41" x14ac:dyDescent="0.25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  <c r="AK981" s="4">
        <f>IF(Table1[[#This Row],[Attrition]]="Yes", 1,0)</f>
        <v>0</v>
      </c>
      <c r="AL981">
        <f>CORREL(Table1[Age],AK981:AK2450)</f>
        <v>0.1531079270118722</v>
      </c>
      <c r="AM981">
        <f>CORREL(Table1[MonthlyIncome],AK981:AK2450)</f>
        <v>7.5292949593459932E-2</v>
      </c>
      <c r="AN981">
        <f>CORREL(Table1[YearsAtCompany],AK981:AK2450)</f>
        <v>0.1001713813164814</v>
      </c>
      <c r="AO981">
        <f t="shared" si="15"/>
        <v>0</v>
      </c>
    </row>
    <row r="982" spans="1:41" x14ac:dyDescent="0.25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  <c r="AK982" s="4">
        <f>IF(Table1[[#This Row],[Attrition]]="Yes", 1,0)</f>
        <v>1</v>
      </c>
      <c r="AL982">
        <f>CORREL(Table1[Age],AK982:AK2451)</f>
        <v>2.7691091783018266E-2</v>
      </c>
      <c r="AM982">
        <f>CORREL(Table1[MonthlyIncome],AK982:AK2451)</f>
        <v>-4.8507966474270088E-2</v>
      </c>
      <c r="AN982">
        <f>CORREL(Table1[YearsAtCompany],AK982:AK2451)</f>
        <v>-2.5340173523077013E-2</v>
      </c>
      <c r="AO982">
        <f t="shared" si="15"/>
        <v>1</v>
      </c>
    </row>
    <row r="983" spans="1:41" x14ac:dyDescent="0.25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  <c r="AK983" s="4">
        <f>IF(Table1[[#This Row],[Attrition]]="Yes", 1,0)</f>
        <v>1</v>
      </c>
      <c r="AL983">
        <f>CORREL(Table1[Age],AK983:AK2452)</f>
        <v>-2.1297896124677355E-2</v>
      </c>
      <c r="AM983">
        <f>CORREL(Table1[MonthlyIncome],AK983:AK2452)</f>
        <v>-3.7355531133498272E-2</v>
      </c>
      <c r="AN983">
        <f>CORREL(Table1[YearsAtCompany],AK983:AK2452)</f>
        <v>-4.3905150908750502E-2</v>
      </c>
      <c r="AO983">
        <f t="shared" si="15"/>
        <v>1</v>
      </c>
    </row>
    <row r="984" spans="1:41" x14ac:dyDescent="0.25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  <c r="AK984" s="4">
        <f>IF(Table1[[#This Row],[Attrition]]="Yes", 1,0)</f>
        <v>0</v>
      </c>
      <c r="AL984">
        <f>CORREL(Table1[Age],AK984:AK2453)</f>
        <v>-7.6553418929618838E-2</v>
      </c>
      <c r="AM984">
        <f>CORREL(Table1[MonthlyIncome],AK984:AK2453)</f>
        <v>-3.5957195648873223E-2</v>
      </c>
      <c r="AN984">
        <f>CORREL(Table1[YearsAtCompany],AK984:AK2453)</f>
        <v>-9.5281737810155948E-2</v>
      </c>
      <c r="AO984">
        <f t="shared" si="15"/>
        <v>0</v>
      </c>
    </row>
    <row r="985" spans="1:41" x14ac:dyDescent="0.25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  <c r="AK985" s="4">
        <f>IF(Table1[[#This Row],[Attrition]]="Yes", 1,0)</f>
        <v>0</v>
      </c>
      <c r="AL985">
        <f>CORREL(Table1[Age],AK985:AK2454)</f>
        <v>3.9849081881797154E-3</v>
      </c>
      <c r="AM985">
        <f>CORREL(Table1[MonthlyIncome],AK985:AK2454)</f>
        <v>-2.502346082013221E-2</v>
      </c>
      <c r="AN985">
        <f>CORREL(Table1[YearsAtCompany],AK985:AK2454)</f>
        <v>-8.9956719215847136E-2</v>
      </c>
      <c r="AO985">
        <f t="shared" si="15"/>
        <v>0</v>
      </c>
    </row>
    <row r="986" spans="1:41" x14ac:dyDescent="0.25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  <c r="AK986" s="4">
        <f>IF(Table1[[#This Row],[Attrition]]="Yes", 1,0)</f>
        <v>0</v>
      </c>
      <c r="AL986">
        <f>CORREL(Table1[Age],AK986:AK2455)</f>
        <v>2.1332660631053586E-3</v>
      </c>
      <c r="AM986">
        <f>CORREL(Table1[MonthlyIncome],AK986:AK2455)</f>
        <v>-2.2168943828831156E-2</v>
      </c>
      <c r="AN986">
        <f>CORREL(Table1[YearsAtCompany],AK986:AK2455)</f>
        <v>2.7951826530121047E-2</v>
      </c>
      <c r="AO986">
        <f t="shared" si="15"/>
        <v>0</v>
      </c>
    </row>
    <row r="987" spans="1:41" x14ac:dyDescent="0.25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  <c r="AK987" s="4">
        <f>IF(Table1[[#This Row],[Attrition]]="Yes", 1,0)</f>
        <v>1</v>
      </c>
      <c r="AL987">
        <f>CORREL(Table1[Age],AK987:AK2456)</f>
        <v>-5.2733529588741924E-2</v>
      </c>
      <c r="AM987">
        <f>CORREL(Table1[MonthlyIncome],AK987:AK2456)</f>
        <v>-3.3332438807629164E-2</v>
      </c>
      <c r="AN987">
        <f>CORREL(Table1[YearsAtCompany],AK987:AK2456)</f>
        <v>8.2937299337405748E-2</v>
      </c>
      <c r="AO987">
        <f t="shared" si="15"/>
        <v>1</v>
      </c>
    </row>
    <row r="988" spans="1:41" x14ac:dyDescent="0.25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  <c r="AK988" s="4">
        <f>IF(Table1[[#This Row],[Attrition]]="Yes", 1,0)</f>
        <v>0</v>
      </c>
      <c r="AL988">
        <f>CORREL(Table1[Age],AK988:AK2457)</f>
        <v>4.4347371944314311E-2</v>
      </c>
      <c r="AM988">
        <f>CORREL(Table1[MonthlyIncome],AK988:AK2457)</f>
        <v>3.1090078204704698E-2</v>
      </c>
      <c r="AN988">
        <f>CORREL(Table1[YearsAtCompany],AK988:AK2457)</f>
        <v>5.6640471916772808E-2</v>
      </c>
      <c r="AO988">
        <f t="shared" si="15"/>
        <v>0</v>
      </c>
    </row>
    <row r="989" spans="1:41" x14ac:dyDescent="0.25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  <c r="AK989" s="4">
        <f>IF(Table1[[#This Row],[Attrition]]="Yes", 1,0)</f>
        <v>0</v>
      </c>
      <c r="AL989">
        <f>CORREL(Table1[Age],AK989:AK2458)</f>
        <v>3.1066576268160208E-2</v>
      </c>
      <c r="AM989">
        <f>CORREL(Table1[MonthlyIncome],AK989:AK2458)</f>
        <v>7.3585028301000333E-2</v>
      </c>
      <c r="AN989">
        <f>CORREL(Table1[YearsAtCompany],AK989:AK2458)</f>
        <v>7.1380009109311748E-2</v>
      </c>
      <c r="AO989">
        <f t="shared" si="15"/>
        <v>0</v>
      </c>
    </row>
    <row r="990" spans="1:41" x14ac:dyDescent="0.25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  <c r="AK990" s="4">
        <f>IF(Table1[[#This Row],[Attrition]]="Yes", 1,0)</f>
        <v>0</v>
      </c>
      <c r="AL990">
        <f>CORREL(Table1[Age],AK990:AK2459)</f>
        <v>4.8650426651154162E-2</v>
      </c>
      <c r="AM990">
        <f>CORREL(Table1[MonthlyIncome],AK990:AK2459)</f>
        <v>-1.8166292857149657E-2</v>
      </c>
      <c r="AN990">
        <f>CORREL(Table1[YearsAtCompany],AK990:AK2459)</f>
        <v>-8.1220159307700043E-3</v>
      </c>
      <c r="AO990">
        <f t="shared" si="15"/>
        <v>0</v>
      </c>
    </row>
    <row r="991" spans="1:41" x14ac:dyDescent="0.25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  <c r="AK991" s="4">
        <f>IF(Table1[[#This Row],[Attrition]]="Yes", 1,0)</f>
        <v>0</v>
      </c>
      <c r="AL991">
        <f>CORREL(Table1[Age],AK991:AK2460)</f>
        <v>-3.7838063248407675E-2</v>
      </c>
      <c r="AM991">
        <f>CORREL(Table1[MonthlyIncome],AK991:AK2460)</f>
        <v>1.785151075196842E-3</v>
      </c>
      <c r="AN991">
        <f>CORREL(Table1[YearsAtCompany],AK991:AK2460)</f>
        <v>-4.685388556259708E-3</v>
      </c>
      <c r="AO991">
        <f t="shared" si="15"/>
        <v>0</v>
      </c>
    </row>
    <row r="992" spans="1:41" x14ac:dyDescent="0.25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  <c r="AK992" s="4">
        <f>IF(Table1[[#This Row],[Attrition]]="Yes", 1,0)</f>
        <v>0</v>
      </c>
      <c r="AL992">
        <f>CORREL(Table1[Age],AK992:AK2461)</f>
        <v>-5.3724293033215907E-3</v>
      </c>
      <c r="AM992">
        <f>CORREL(Table1[MonthlyIncome],AK992:AK2461)</f>
        <v>-1.6542871339832073E-2</v>
      </c>
      <c r="AN992">
        <f>CORREL(Table1[YearsAtCompany],AK992:AK2461)</f>
        <v>-6.123946225116713E-2</v>
      </c>
      <c r="AO992">
        <f t="shared" si="15"/>
        <v>0</v>
      </c>
    </row>
    <row r="993" spans="1:41" x14ac:dyDescent="0.25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  <c r="AK993" s="4">
        <f>IF(Table1[[#This Row],[Attrition]]="Yes", 1,0)</f>
        <v>0</v>
      </c>
      <c r="AL993">
        <f>CORREL(Table1[Age],AK993:AK2462)</f>
        <v>-4.5446618202268717E-2</v>
      </c>
      <c r="AM993">
        <f>CORREL(Table1[MonthlyIncome],AK993:AK2462)</f>
        <v>2.1165220383735441E-2</v>
      </c>
      <c r="AN993">
        <f>CORREL(Table1[YearsAtCompany],AK993:AK2462)</f>
        <v>-4.4326394808538845E-2</v>
      </c>
      <c r="AO993">
        <f t="shared" si="15"/>
        <v>0</v>
      </c>
    </row>
    <row r="994" spans="1:41" x14ac:dyDescent="0.25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  <c r="AK994" s="4">
        <f>IF(Table1[[#This Row],[Attrition]]="Yes", 1,0)</f>
        <v>0</v>
      </c>
      <c r="AL994">
        <f>CORREL(Table1[Age],AK994:AK2463)</f>
        <v>8.5971699878989415E-3</v>
      </c>
      <c r="AM994">
        <f>CORREL(Table1[MonthlyIncome],AK994:AK2463)</f>
        <v>3.1513468501718961E-2</v>
      </c>
      <c r="AN994">
        <f>CORREL(Table1[YearsAtCompany],AK994:AK2463)</f>
        <v>2.4883096765764449E-2</v>
      </c>
      <c r="AO994">
        <f t="shared" si="15"/>
        <v>0</v>
      </c>
    </row>
    <row r="995" spans="1:41" x14ac:dyDescent="0.25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  <c r="AK995" s="4">
        <f>IF(Table1[[#This Row],[Attrition]]="Yes", 1,0)</f>
        <v>0</v>
      </c>
      <c r="AL995">
        <f>CORREL(Table1[Age],AK995:AK2464)</f>
        <v>-6.5325909711101606E-3</v>
      </c>
      <c r="AM995">
        <f>CORREL(Table1[MonthlyIncome],AK995:AK2464)</f>
        <v>-4.2865702012296024E-2</v>
      </c>
      <c r="AN995">
        <f>CORREL(Table1[YearsAtCompany],AK995:AK2464)</f>
        <v>3.7779865814477086E-2</v>
      </c>
      <c r="AO995">
        <f t="shared" si="15"/>
        <v>0</v>
      </c>
    </row>
    <row r="996" spans="1:41" x14ac:dyDescent="0.25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  <c r="AK996" s="4">
        <f>IF(Table1[[#This Row],[Attrition]]="Yes", 1,0)</f>
        <v>0</v>
      </c>
      <c r="AL996">
        <f>CORREL(Table1[Age],AK996:AK2465)</f>
        <v>1.4299621522412988E-2</v>
      </c>
      <c r="AM996">
        <f>CORREL(Table1[MonthlyIncome],AK996:AK2465)</f>
        <v>2.8099020276101443E-2</v>
      </c>
      <c r="AN996">
        <f>CORREL(Table1[YearsAtCompany],AK996:AK2465)</f>
        <v>6.7160366289714404E-2</v>
      </c>
      <c r="AO996">
        <f t="shared" si="15"/>
        <v>0</v>
      </c>
    </row>
    <row r="997" spans="1:41" x14ac:dyDescent="0.25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  <c r="AK997" s="4">
        <f>IF(Table1[[#This Row],[Attrition]]="Yes", 1,0)</f>
        <v>0</v>
      </c>
      <c r="AL997">
        <f>CORREL(Table1[Age],AK997:AK2466)</f>
        <v>-0.10421700499303661</v>
      </c>
      <c r="AM997">
        <f>CORREL(Table1[MonthlyIncome],AK997:AK2466)</f>
        <v>-1.8851269401822877E-2</v>
      </c>
      <c r="AN997">
        <f>CORREL(Table1[YearsAtCompany],AK997:AK2466)</f>
        <v>4.4938416099324904E-2</v>
      </c>
      <c r="AO997">
        <f t="shared" si="15"/>
        <v>0</v>
      </c>
    </row>
    <row r="998" spans="1:41" x14ac:dyDescent="0.25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  <c r="AK998" s="4">
        <f>IF(Table1[[#This Row],[Attrition]]="Yes", 1,0)</f>
        <v>0</v>
      </c>
      <c r="AL998">
        <f>CORREL(Table1[Age],AK998:AK2467)</f>
        <v>7.0031215030744208E-3</v>
      </c>
      <c r="AM998">
        <f>CORREL(Table1[MonthlyIncome],AK998:AK2467)</f>
        <v>-1.6799386321288034E-2</v>
      </c>
      <c r="AN998">
        <f>CORREL(Table1[YearsAtCompany],AK998:AK2467)</f>
        <v>2.741104905889391E-2</v>
      </c>
      <c r="AO998">
        <f t="shared" si="15"/>
        <v>0</v>
      </c>
    </row>
    <row r="999" spans="1:41" x14ac:dyDescent="0.25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  <c r="AK999" s="4">
        <f>IF(Table1[[#This Row],[Attrition]]="Yes", 1,0)</f>
        <v>1</v>
      </c>
      <c r="AL999">
        <f>CORREL(Table1[Age],AK999:AK2468)</f>
        <v>-5.46504336057295E-2</v>
      </c>
      <c r="AM999">
        <f>CORREL(Table1[MonthlyIncome],AK999:AK2468)</f>
        <v>-7.3170614050928187E-2</v>
      </c>
      <c r="AN999">
        <f>CORREL(Table1[YearsAtCompany],AK999:AK2468)</f>
        <v>-9.1409206693331913E-2</v>
      </c>
      <c r="AO999">
        <f t="shared" si="15"/>
        <v>1</v>
      </c>
    </row>
    <row r="1000" spans="1:41" x14ac:dyDescent="0.25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  <c r="AK1000" s="4">
        <f>IF(Table1[[#This Row],[Attrition]]="Yes", 1,0)</f>
        <v>0</v>
      </c>
      <c r="AL1000">
        <f>CORREL(Table1[Age],AK1000:AK2469)</f>
        <v>-3.2422334752317712E-3</v>
      </c>
      <c r="AM1000">
        <f>CORREL(Table1[MonthlyIncome],AK1000:AK2469)</f>
        <v>-3.2161710520876852E-2</v>
      </c>
      <c r="AN1000">
        <f>CORREL(Table1[YearsAtCompany],AK1000:AK2469)</f>
        <v>-2.3843015592999364E-2</v>
      </c>
      <c r="AO1000">
        <f t="shared" si="15"/>
        <v>0</v>
      </c>
    </row>
    <row r="1001" spans="1:41" x14ac:dyDescent="0.25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  <c r="AK1001" s="4">
        <f>IF(Table1[[#This Row],[Attrition]]="Yes", 1,0)</f>
        <v>0</v>
      </c>
      <c r="AL1001">
        <f>CORREL(Table1[Age],AK1001:AK2470)</f>
        <v>-7.3368751350266603E-2</v>
      </c>
      <c r="AM1001">
        <f>CORREL(Table1[MonthlyIncome],AK1001:AK2470)</f>
        <v>-1.7927300156528141E-2</v>
      </c>
      <c r="AN1001">
        <f>CORREL(Table1[YearsAtCompany],AK1001:AK2470)</f>
        <v>-4.4355906085983554E-2</v>
      </c>
      <c r="AO1001">
        <f t="shared" si="15"/>
        <v>0</v>
      </c>
    </row>
    <row r="1002" spans="1:41" x14ac:dyDescent="0.25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  <c r="AK1002" s="4">
        <f>IF(Table1[[#This Row],[Attrition]]="Yes", 1,0)</f>
        <v>0</v>
      </c>
      <c r="AL1002">
        <f>CORREL(Table1[Age],AK1002:AK2471)</f>
        <v>0.10370725424041992</v>
      </c>
      <c r="AM1002">
        <f>CORREL(Table1[MonthlyIncome],AK1002:AK2471)</f>
        <v>8.934292434832701E-2</v>
      </c>
      <c r="AN1002">
        <f>CORREL(Table1[YearsAtCompany],AK1002:AK2471)</f>
        <v>3.1644031648956183E-2</v>
      </c>
      <c r="AO1002">
        <f t="shared" si="15"/>
        <v>0</v>
      </c>
    </row>
    <row r="1003" spans="1:41" x14ac:dyDescent="0.25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  <c r="AK1003" s="4">
        <f>IF(Table1[[#This Row],[Attrition]]="Yes", 1,0)</f>
        <v>0</v>
      </c>
      <c r="AL1003">
        <f>CORREL(Table1[Age],AK1003:AK2472)</f>
        <v>-3.6264375558583764E-2</v>
      </c>
      <c r="AM1003">
        <f>CORREL(Table1[MonthlyIncome],AK1003:AK2472)</f>
        <v>-4.1310504899617191E-2</v>
      </c>
      <c r="AN1003">
        <f>CORREL(Table1[YearsAtCompany],AK1003:AK2472)</f>
        <v>-5.492561537124456E-2</v>
      </c>
      <c r="AO1003">
        <f t="shared" si="15"/>
        <v>0</v>
      </c>
    </row>
    <row r="1004" spans="1:41" x14ac:dyDescent="0.25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  <c r="AK1004" s="4">
        <f>IF(Table1[[#This Row],[Attrition]]="Yes", 1,0)</f>
        <v>0</v>
      </c>
      <c r="AL1004">
        <f>CORREL(Table1[Age],AK1004:AK2473)</f>
        <v>-9.2715144536904492E-2</v>
      </c>
      <c r="AM1004">
        <f>CORREL(Table1[MonthlyIncome],AK1004:AK2473)</f>
        <v>-4.7152021829681486E-2</v>
      </c>
      <c r="AN1004">
        <f>CORREL(Table1[YearsAtCompany],AK1004:AK2473)</f>
        <v>-2.7378482748181578E-2</v>
      </c>
      <c r="AO1004">
        <f t="shared" si="15"/>
        <v>0</v>
      </c>
    </row>
    <row r="1005" spans="1:41" x14ac:dyDescent="0.25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  <c r="AK1005" s="4">
        <f>IF(Table1[[#This Row],[Attrition]]="Yes", 1,0)</f>
        <v>0</v>
      </c>
      <c r="AL1005">
        <f>CORREL(Table1[Age],AK1005:AK2474)</f>
        <v>9.9868650588622789E-3</v>
      </c>
      <c r="AM1005">
        <f>CORREL(Table1[MonthlyIncome],AK1005:AK2474)</f>
        <v>2.4033722129339918E-2</v>
      </c>
      <c r="AN1005">
        <f>CORREL(Table1[YearsAtCompany],AK1005:AK2474)</f>
        <v>-3.8366169103491443E-2</v>
      </c>
      <c r="AO1005">
        <f t="shared" si="15"/>
        <v>0</v>
      </c>
    </row>
    <row r="1006" spans="1:41" x14ac:dyDescent="0.25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  <c r="AK1006" s="4">
        <f>IF(Table1[[#This Row],[Attrition]]="Yes", 1,0)</f>
        <v>0</v>
      </c>
      <c r="AL1006">
        <f>CORREL(Table1[Age],AK1006:AK2475)</f>
        <v>4.1197792295259675E-2</v>
      </c>
      <c r="AM1006">
        <f>CORREL(Table1[MonthlyIncome],AK1006:AK2475)</f>
        <v>1.4323729459395293E-2</v>
      </c>
      <c r="AN1006">
        <f>CORREL(Table1[YearsAtCompany],AK1006:AK2475)</f>
        <v>-5.6698407275966312E-2</v>
      </c>
      <c r="AO1006">
        <f t="shared" si="15"/>
        <v>0</v>
      </c>
    </row>
    <row r="1007" spans="1:41" x14ac:dyDescent="0.25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  <c r="AK1007" s="4">
        <f>IF(Table1[[#This Row],[Attrition]]="Yes", 1,0)</f>
        <v>0</v>
      </c>
      <c r="AL1007">
        <f>CORREL(Table1[Age],AK1007:AK2476)</f>
        <v>2.4746867201781389E-2</v>
      </c>
      <c r="AM1007">
        <f>CORREL(Table1[MonthlyIncome],AK1007:AK2476)</f>
        <v>2.2518932580384232E-2</v>
      </c>
      <c r="AN1007">
        <f>CORREL(Table1[YearsAtCompany],AK1007:AK2476)</f>
        <v>-1.7007974840512429E-2</v>
      </c>
      <c r="AO1007">
        <f t="shared" si="15"/>
        <v>0</v>
      </c>
    </row>
    <row r="1008" spans="1:41" x14ac:dyDescent="0.25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  <c r="AK1008" s="4">
        <f>IF(Table1[[#This Row],[Attrition]]="Yes", 1,0)</f>
        <v>1</v>
      </c>
      <c r="AL1008">
        <f>CORREL(Table1[Age],AK1008:AK2477)</f>
        <v>6.7194425817874492E-2</v>
      </c>
      <c r="AM1008">
        <f>CORREL(Table1[MonthlyIncome],AK1008:AK2477)</f>
        <v>4.8754728230384223E-2</v>
      </c>
      <c r="AN1008">
        <f>CORREL(Table1[YearsAtCompany],AK1008:AK2477)</f>
        <v>-4.2579496157804708E-2</v>
      </c>
      <c r="AO1008">
        <f t="shared" si="15"/>
        <v>1</v>
      </c>
    </row>
    <row r="1009" spans="1:41" x14ac:dyDescent="0.25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  <c r="AK1009" s="4">
        <f>IF(Table1[[#This Row],[Attrition]]="Yes", 1,0)</f>
        <v>1</v>
      </c>
      <c r="AL1009">
        <f>CORREL(Table1[Age],AK1009:AK2478)</f>
        <v>-1.6273682002871551E-2</v>
      </c>
      <c r="AM1009">
        <f>CORREL(Table1[MonthlyIncome],AK1009:AK2478)</f>
        <v>-3.1421172972724724E-2</v>
      </c>
      <c r="AN1009">
        <f>CORREL(Table1[YearsAtCompany],AK1009:AK2478)</f>
        <v>-0.10051905676555691</v>
      </c>
      <c r="AO1009">
        <f t="shared" si="15"/>
        <v>1</v>
      </c>
    </row>
    <row r="1010" spans="1:41" x14ac:dyDescent="0.25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  <c r="AK1010" s="4">
        <f>IF(Table1[[#This Row],[Attrition]]="Yes", 1,0)</f>
        <v>0</v>
      </c>
      <c r="AL1010">
        <f>CORREL(Table1[Age],AK1010:AK2479)</f>
        <v>-3.0312294004167215E-2</v>
      </c>
      <c r="AM1010">
        <f>CORREL(Table1[MonthlyIncome],AK1010:AK2479)</f>
        <v>-3.5290988261963953E-2</v>
      </c>
      <c r="AN1010">
        <f>CORREL(Table1[YearsAtCompany],AK1010:AK2479)</f>
        <v>-2.2424966385412224E-2</v>
      </c>
      <c r="AO1010">
        <f t="shared" si="15"/>
        <v>0</v>
      </c>
    </row>
    <row r="1011" spans="1:41" x14ac:dyDescent="0.25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  <c r="AK1011" s="4">
        <f>IF(Table1[[#This Row],[Attrition]]="Yes", 1,0)</f>
        <v>0</v>
      </c>
      <c r="AL1011">
        <f>CORREL(Table1[Age],AK1011:AK2480)</f>
        <v>-8.4667843160499995E-2</v>
      </c>
      <c r="AM1011">
        <f>CORREL(Table1[MonthlyIncome],AK1011:AK2480)</f>
        <v>-8.3808034500458414E-2</v>
      </c>
      <c r="AN1011">
        <f>CORREL(Table1[YearsAtCompany],AK1011:AK2480)</f>
        <v>-1.7957462940344879E-2</v>
      </c>
      <c r="AO1011">
        <f t="shared" si="15"/>
        <v>0</v>
      </c>
    </row>
    <row r="1012" spans="1:41" x14ac:dyDescent="0.25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  <c r="AK1012" s="4">
        <f>IF(Table1[[#This Row],[Attrition]]="Yes", 1,0)</f>
        <v>0</v>
      </c>
      <c r="AL1012">
        <f>CORREL(Table1[Age],AK1012:AK2481)</f>
        <v>-2.9031896161708103E-2</v>
      </c>
      <c r="AM1012">
        <f>CORREL(Table1[MonthlyIncome],AK1012:AK2481)</f>
        <v>-2.7404278557967187E-2</v>
      </c>
      <c r="AN1012">
        <f>CORREL(Table1[YearsAtCompany],AK1012:AK2481)</f>
        <v>7.7705941905549516E-3</v>
      </c>
      <c r="AO1012">
        <f t="shared" si="15"/>
        <v>0</v>
      </c>
    </row>
    <row r="1013" spans="1:41" x14ac:dyDescent="0.25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  <c r="AK1013" s="4">
        <f>IF(Table1[[#This Row],[Attrition]]="Yes", 1,0)</f>
        <v>0</v>
      </c>
      <c r="AL1013">
        <f>CORREL(Table1[Age],AK1013:AK2482)</f>
        <v>7.3314934733251846E-2</v>
      </c>
      <c r="AM1013">
        <f>CORREL(Table1[MonthlyIncome],AK1013:AK2482)</f>
        <v>4.2075780570411031E-2</v>
      </c>
      <c r="AN1013">
        <f>CORREL(Table1[YearsAtCompany],AK1013:AK2482)</f>
        <v>2.7970135975202745E-2</v>
      </c>
      <c r="AO1013">
        <f t="shared" si="15"/>
        <v>0</v>
      </c>
    </row>
    <row r="1014" spans="1:41" x14ac:dyDescent="0.25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  <c r="AK1014" s="4">
        <f>IF(Table1[[#This Row],[Attrition]]="Yes", 1,0)</f>
        <v>1</v>
      </c>
      <c r="AL1014">
        <f>CORREL(Table1[Age],AK1014:AK2483)</f>
        <v>-1.9894726605688549E-2</v>
      </c>
      <c r="AM1014">
        <f>CORREL(Table1[MonthlyIncome],AK1014:AK2483)</f>
        <v>3.9723567520766603E-3</v>
      </c>
      <c r="AN1014">
        <f>CORREL(Table1[YearsAtCompany],AK1014:AK2483)</f>
        <v>7.211511479979163E-2</v>
      </c>
      <c r="AO1014">
        <f t="shared" si="15"/>
        <v>1</v>
      </c>
    </row>
    <row r="1015" spans="1:41" x14ac:dyDescent="0.25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  <c r="AK1015" s="4">
        <f>IF(Table1[[#This Row],[Attrition]]="Yes", 1,0)</f>
        <v>0</v>
      </c>
      <c r="AL1015">
        <f>CORREL(Table1[Age],AK1015:AK2484)</f>
        <v>-1.3298043671635921E-2</v>
      </c>
      <c r="AM1015">
        <f>CORREL(Table1[MonthlyIncome],AK1015:AK2484)</f>
        <v>0.11127333716001478</v>
      </c>
      <c r="AN1015">
        <f>CORREL(Table1[YearsAtCompany],AK1015:AK2484)</f>
        <v>0.12001995355290304</v>
      </c>
      <c r="AO1015">
        <f t="shared" si="15"/>
        <v>0</v>
      </c>
    </row>
    <row r="1016" spans="1:41" x14ac:dyDescent="0.25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  <c r="AK1016" s="4">
        <f>IF(Table1[[#This Row],[Attrition]]="Yes", 1,0)</f>
        <v>0</v>
      </c>
      <c r="AL1016">
        <f>CORREL(Table1[Age],AK1016:AK2485)</f>
        <v>2.3139684086267591E-2</v>
      </c>
      <c r="AM1016">
        <f>CORREL(Table1[MonthlyIncome],AK1016:AK2485)</f>
        <v>-1.5446438833831917E-2</v>
      </c>
      <c r="AN1016">
        <f>CORREL(Table1[YearsAtCompany],AK1016:AK2485)</f>
        <v>6.2831417585958435E-2</v>
      </c>
      <c r="AO1016">
        <f t="shared" si="15"/>
        <v>0</v>
      </c>
    </row>
    <row r="1017" spans="1:41" x14ac:dyDescent="0.25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  <c r="AK1017" s="4">
        <f>IF(Table1[[#This Row],[Attrition]]="Yes", 1,0)</f>
        <v>0</v>
      </c>
      <c r="AL1017">
        <f>CORREL(Table1[Age],AK1017:AK2486)</f>
        <v>5.5170298064543495E-2</v>
      </c>
      <c r="AM1017">
        <f>CORREL(Table1[MonthlyIncome],AK1017:AK2486)</f>
        <v>3.5430874439131663E-2</v>
      </c>
      <c r="AN1017">
        <f>CORREL(Table1[YearsAtCompany],AK1017:AK2486)</f>
        <v>1.6362018769516064E-2</v>
      </c>
      <c r="AO1017">
        <f t="shared" si="15"/>
        <v>0</v>
      </c>
    </row>
    <row r="1018" spans="1:41" x14ac:dyDescent="0.25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  <c r="AK1018" s="4">
        <f>IF(Table1[[#This Row],[Attrition]]="Yes", 1,0)</f>
        <v>1</v>
      </c>
      <c r="AL1018">
        <f>CORREL(Table1[Age],AK1018:AK2487)</f>
        <v>-0.12244802653875522</v>
      </c>
      <c r="AM1018">
        <f>CORREL(Table1[MonthlyIncome],AK1018:AK2487)</f>
        <v>-3.8492353975667692E-2</v>
      </c>
      <c r="AN1018">
        <f>CORREL(Table1[YearsAtCompany],AK1018:AK2487)</f>
        <v>-4.9881376931517854E-2</v>
      </c>
      <c r="AO1018">
        <f t="shared" si="15"/>
        <v>1</v>
      </c>
    </row>
    <row r="1019" spans="1:41" x14ac:dyDescent="0.25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  <c r="AK1019" s="4">
        <f>IF(Table1[[#This Row],[Attrition]]="Yes", 1,0)</f>
        <v>0</v>
      </c>
      <c r="AL1019">
        <f>CORREL(Table1[Age],AK1019:AK2488)</f>
        <v>-2.0218915014366495E-2</v>
      </c>
      <c r="AM1019">
        <f>CORREL(Table1[MonthlyIncome],AK1019:AK2488)</f>
        <v>2.8091901691876479E-2</v>
      </c>
      <c r="AN1019">
        <f>CORREL(Table1[YearsAtCompany],AK1019:AK2488)</f>
        <v>-1.0213693500293438E-2</v>
      </c>
      <c r="AO1019">
        <f t="shared" si="15"/>
        <v>0</v>
      </c>
    </row>
    <row r="1020" spans="1:41" x14ac:dyDescent="0.25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  <c r="AK1020" s="4">
        <f>IF(Table1[[#This Row],[Attrition]]="Yes", 1,0)</f>
        <v>0</v>
      </c>
      <c r="AL1020">
        <f>CORREL(Table1[Age],AK1020:AK2489)</f>
        <v>3.3325807475043163E-2</v>
      </c>
      <c r="AM1020">
        <f>CORREL(Table1[MonthlyIncome],AK1020:AK2489)</f>
        <v>7.0649450442199085E-2</v>
      </c>
      <c r="AN1020">
        <f>CORREL(Table1[YearsAtCompany],AK1020:AK2489)</f>
        <v>5.5998350258127674E-2</v>
      </c>
      <c r="AO1020">
        <f t="shared" si="15"/>
        <v>0</v>
      </c>
    </row>
    <row r="1021" spans="1:41" x14ac:dyDescent="0.25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  <c r="AK1021" s="4">
        <f>IF(Table1[[#This Row],[Attrition]]="Yes", 1,0)</f>
        <v>0</v>
      </c>
      <c r="AL1021">
        <f>CORREL(Table1[Age],AK1021:AK2490)</f>
        <v>-2.570533841072695E-2</v>
      </c>
      <c r="AM1021">
        <f>CORREL(Table1[MonthlyIncome],AK1021:AK2490)</f>
        <v>-5.4503356202983202E-2</v>
      </c>
      <c r="AN1021">
        <f>CORREL(Table1[YearsAtCompany],AK1021:AK2490)</f>
        <v>-3.865907378951794E-3</v>
      </c>
      <c r="AO1021">
        <f t="shared" si="15"/>
        <v>0</v>
      </c>
    </row>
    <row r="1022" spans="1:41" x14ac:dyDescent="0.25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  <c r="AK1022" s="4">
        <f>IF(Table1[[#This Row],[Attrition]]="Yes", 1,0)</f>
        <v>0</v>
      </c>
      <c r="AL1022">
        <f>CORREL(Table1[Age],AK1022:AK2491)</f>
        <v>6.4598303138954233E-3</v>
      </c>
      <c r="AM1022">
        <f>CORREL(Table1[MonthlyIncome],AK1022:AK2491)</f>
        <v>-4.8831878793345461E-2</v>
      </c>
      <c r="AN1022">
        <f>CORREL(Table1[YearsAtCompany],AK1022:AK2491)</f>
        <v>1.9309882966491203E-2</v>
      </c>
      <c r="AO1022">
        <f t="shared" si="15"/>
        <v>0</v>
      </c>
    </row>
    <row r="1023" spans="1:41" x14ac:dyDescent="0.25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  <c r="AK1023" s="4">
        <f>IF(Table1[[#This Row],[Attrition]]="Yes", 1,0)</f>
        <v>1</v>
      </c>
      <c r="AL1023">
        <f>CORREL(Table1[Age],AK1023:AK2492)</f>
        <v>8.628928696250536E-2</v>
      </c>
      <c r="AM1023">
        <f>CORREL(Table1[MonthlyIncome],AK1023:AK2492)</f>
        <v>9.0328148847074845E-3</v>
      </c>
      <c r="AN1023">
        <f>CORREL(Table1[YearsAtCompany],AK1023:AK2492)</f>
        <v>1.4568630188236547E-2</v>
      </c>
      <c r="AO1023">
        <f t="shared" si="15"/>
        <v>1</v>
      </c>
    </row>
    <row r="1024" spans="1:41" x14ac:dyDescent="0.25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  <c r="AK1024" s="4">
        <f>IF(Table1[[#This Row],[Attrition]]="Yes", 1,0)</f>
        <v>0</v>
      </c>
      <c r="AL1024">
        <f>CORREL(Table1[Age],AK1024:AK2493)</f>
        <v>-2.8620662406095183E-2</v>
      </c>
      <c r="AM1024">
        <f>CORREL(Table1[MonthlyIncome],AK1024:AK2493)</f>
        <v>-4.4686663326326051E-3</v>
      </c>
      <c r="AN1024">
        <f>CORREL(Table1[YearsAtCompany],AK1024:AK2493)</f>
        <v>-1.0814412817974834E-2</v>
      </c>
      <c r="AO1024">
        <f t="shared" si="15"/>
        <v>0</v>
      </c>
    </row>
    <row r="1025" spans="1:41" x14ac:dyDescent="0.25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  <c r="AK1025" s="4">
        <f>IF(Table1[[#This Row],[Attrition]]="Yes", 1,0)</f>
        <v>0</v>
      </c>
      <c r="AL1025">
        <f>CORREL(Table1[Age],AK1025:AK2494)</f>
        <v>2.1703605851249821E-2</v>
      </c>
      <c r="AM1025">
        <f>CORREL(Table1[MonthlyIncome],AK1025:AK2494)</f>
        <v>-5.5210102203380896E-3</v>
      </c>
      <c r="AN1025">
        <f>CORREL(Table1[YearsAtCompany],AK1025:AK2494)</f>
        <v>-2.0109302797219075E-2</v>
      </c>
      <c r="AO1025">
        <f t="shared" si="15"/>
        <v>0</v>
      </c>
    </row>
    <row r="1026" spans="1:41" x14ac:dyDescent="0.25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  <c r="AK1026" s="4">
        <f>IF(Table1[[#This Row],[Attrition]]="Yes", 1,0)</f>
        <v>0</v>
      </c>
      <c r="AL1026">
        <f>CORREL(Table1[Age],AK1026:AK2495)</f>
        <v>-6.3538248846896433E-2</v>
      </c>
      <c r="AM1026">
        <f>CORREL(Table1[MonthlyIncome],AK1026:AK2495)</f>
        <v>1.1853689585670263E-2</v>
      </c>
      <c r="AN1026">
        <f>CORREL(Table1[YearsAtCompany],AK1026:AK2495)</f>
        <v>-4.3790788727755985E-2</v>
      </c>
      <c r="AO1026">
        <f t="shared" si="15"/>
        <v>0</v>
      </c>
    </row>
    <row r="1027" spans="1:41" x14ac:dyDescent="0.25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  <c r="AK1027" s="4">
        <f>IF(Table1[[#This Row],[Attrition]]="Yes", 1,0)</f>
        <v>0</v>
      </c>
      <c r="AL1027">
        <f>CORREL(Table1[Age],AK1027:AK2496)</f>
        <v>-3.022397591662904E-2</v>
      </c>
      <c r="AM1027">
        <f>CORREL(Table1[MonthlyIncome],AK1027:AK2496)</f>
        <v>-8.0565888685466158E-2</v>
      </c>
      <c r="AN1027">
        <f>CORREL(Table1[YearsAtCompany],AK1027:AK2496)</f>
        <v>-6.6070618781827836E-2</v>
      </c>
      <c r="AO1027">
        <f t="shared" ref="AO1027:AO1090" si="16">ABS(AK1027)</f>
        <v>0</v>
      </c>
    </row>
    <row r="1028" spans="1:41" x14ac:dyDescent="0.25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  <c r="AK1028" s="4">
        <f>IF(Table1[[#This Row],[Attrition]]="Yes", 1,0)</f>
        <v>0</v>
      </c>
      <c r="AL1028">
        <f>CORREL(Table1[Age],AK1028:AK2497)</f>
        <v>-7.8706693798671401E-2</v>
      </c>
      <c r="AM1028">
        <f>CORREL(Table1[MonthlyIncome],AK1028:AK2497)</f>
        <v>-6.5295836924046807E-2</v>
      </c>
      <c r="AN1028">
        <f>CORREL(Table1[YearsAtCompany],AK1028:AK2497)</f>
        <v>-4.6091580123889975E-2</v>
      </c>
      <c r="AO1028">
        <f t="shared" si="16"/>
        <v>0</v>
      </c>
    </row>
    <row r="1029" spans="1:41" x14ac:dyDescent="0.25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  <c r="AK1029" s="4">
        <f>IF(Table1[[#This Row],[Attrition]]="Yes", 1,0)</f>
        <v>0</v>
      </c>
      <c r="AL1029">
        <f>CORREL(Table1[Age],AK1029:AK2498)</f>
        <v>8.009435654050738E-2</v>
      </c>
      <c r="AM1029">
        <f>CORREL(Table1[MonthlyIncome],AK1029:AK2498)</f>
        <v>8.3146106765393912E-2</v>
      </c>
      <c r="AN1029">
        <f>CORREL(Table1[YearsAtCompany],AK1029:AK2498)</f>
        <v>0.10119808463627004</v>
      </c>
      <c r="AO1029">
        <f t="shared" si="16"/>
        <v>0</v>
      </c>
    </row>
    <row r="1030" spans="1:41" x14ac:dyDescent="0.25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  <c r="AK1030" s="4">
        <f>IF(Table1[[#This Row],[Attrition]]="Yes", 1,0)</f>
        <v>0</v>
      </c>
      <c r="AL1030">
        <f>CORREL(Table1[Age],AK1030:AK2499)</f>
        <v>-5.4057465021597306E-2</v>
      </c>
      <c r="AM1030">
        <f>CORREL(Table1[MonthlyIncome],AK1030:AK2499)</f>
        <v>-2.1021567675857103E-3</v>
      </c>
      <c r="AN1030">
        <f>CORREL(Table1[YearsAtCompany],AK1030:AK2499)</f>
        <v>4.8331860718591378E-2</v>
      </c>
      <c r="AO1030">
        <f t="shared" si="16"/>
        <v>0</v>
      </c>
    </row>
    <row r="1031" spans="1:41" x14ac:dyDescent="0.25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  <c r="AK1031" s="4">
        <f>IF(Table1[[#This Row],[Attrition]]="Yes", 1,0)</f>
        <v>0</v>
      </c>
      <c r="AL1031">
        <f>CORREL(Table1[Age],AK1031:AK2500)</f>
        <v>3.899141390620204E-2</v>
      </c>
      <c r="AM1031">
        <f>CORREL(Table1[MonthlyIncome],AK1031:AK2500)</f>
        <v>-2.4962998897645729E-2</v>
      </c>
      <c r="AN1031">
        <f>CORREL(Table1[YearsAtCompany],AK1031:AK2500)</f>
        <v>-9.6983902327616202E-3</v>
      </c>
      <c r="AO1031">
        <f t="shared" si="16"/>
        <v>0</v>
      </c>
    </row>
    <row r="1032" spans="1:41" x14ac:dyDescent="0.25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  <c r="AK1032" s="4">
        <f>IF(Table1[[#This Row],[Attrition]]="Yes", 1,0)</f>
        <v>0</v>
      </c>
      <c r="AL1032">
        <f>CORREL(Table1[Age],AK1032:AK2501)</f>
        <v>7.6143861400772089E-2</v>
      </c>
      <c r="AM1032">
        <f>CORREL(Table1[MonthlyIncome],AK1032:AK2501)</f>
        <v>-7.2257950241189042E-2</v>
      </c>
      <c r="AN1032">
        <f>CORREL(Table1[YearsAtCompany],AK1032:AK2501)</f>
        <v>-4.9870483614521316E-2</v>
      </c>
      <c r="AO1032">
        <f t="shared" si="16"/>
        <v>0</v>
      </c>
    </row>
    <row r="1033" spans="1:41" x14ac:dyDescent="0.25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  <c r="AK1033" s="4">
        <f>IF(Table1[[#This Row],[Attrition]]="Yes", 1,0)</f>
        <v>1</v>
      </c>
      <c r="AL1033">
        <f>CORREL(Table1[Age],AK1033:AK2502)</f>
        <v>2.3099514417157484E-2</v>
      </c>
      <c r="AM1033">
        <f>CORREL(Table1[MonthlyIncome],AK1033:AK2502)</f>
        <v>-9.5356589941503131E-3</v>
      </c>
      <c r="AN1033">
        <f>CORREL(Table1[YearsAtCompany],AK1033:AK2502)</f>
        <v>-3.2483600948075088E-4</v>
      </c>
      <c r="AO1033">
        <f t="shared" si="16"/>
        <v>1</v>
      </c>
    </row>
    <row r="1034" spans="1:41" x14ac:dyDescent="0.25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  <c r="AK1034" s="4">
        <f>IF(Table1[[#This Row],[Attrition]]="Yes", 1,0)</f>
        <v>1</v>
      </c>
      <c r="AL1034">
        <f>CORREL(Table1[Age],AK1034:AK2503)</f>
        <v>-2.230479237598784E-3</v>
      </c>
      <c r="AM1034">
        <f>CORREL(Table1[MonthlyIncome],AK1034:AK2503)</f>
        <v>-1.4100465378833972E-3</v>
      </c>
      <c r="AN1034">
        <f>CORREL(Table1[YearsAtCompany],AK1034:AK2503)</f>
        <v>-1.9996935250372005E-2</v>
      </c>
      <c r="AO1034">
        <f t="shared" si="16"/>
        <v>1</v>
      </c>
    </row>
    <row r="1035" spans="1:41" x14ac:dyDescent="0.25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  <c r="AK1035" s="4">
        <f>IF(Table1[[#This Row],[Attrition]]="Yes", 1,0)</f>
        <v>1</v>
      </c>
      <c r="AL1035">
        <f>CORREL(Table1[Age],AK1035:AK2504)</f>
        <v>1.8585212278992867E-2</v>
      </c>
      <c r="AM1035">
        <f>CORREL(Table1[MonthlyIncome],AK1035:AK2504)</f>
        <v>8.227325721137305E-3</v>
      </c>
      <c r="AN1035">
        <f>CORREL(Table1[YearsAtCompany],AK1035:AK2504)</f>
        <v>4.8710993562344607E-4</v>
      </c>
      <c r="AO1035">
        <f t="shared" si="16"/>
        <v>1</v>
      </c>
    </row>
    <row r="1036" spans="1:41" x14ac:dyDescent="0.25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  <c r="AK1036" s="4">
        <f>IF(Table1[[#This Row],[Attrition]]="Yes", 1,0)</f>
        <v>0</v>
      </c>
      <c r="AL1036">
        <f>CORREL(Table1[Age],AK1036:AK2505)</f>
        <v>-9.0149962429611818E-2</v>
      </c>
      <c r="AM1036">
        <f>CORREL(Table1[MonthlyIncome],AK1036:AK2505)</f>
        <v>3.7635931880622343E-2</v>
      </c>
      <c r="AN1036">
        <f>CORREL(Table1[YearsAtCompany],AK1036:AK2505)</f>
        <v>-3.8548861219662744E-3</v>
      </c>
      <c r="AO1036">
        <f t="shared" si="16"/>
        <v>0</v>
      </c>
    </row>
    <row r="1037" spans="1:41" x14ac:dyDescent="0.25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  <c r="AK1037" s="4">
        <f>IF(Table1[[#This Row],[Attrition]]="Yes", 1,0)</f>
        <v>0</v>
      </c>
      <c r="AL1037">
        <f>CORREL(Table1[Age],AK1037:AK2506)</f>
        <v>-2.445090680131597E-2</v>
      </c>
      <c r="AM1037">
        <f>CORREL(Table1[MonthlyIncome],AK1037:AK2506)</f>
        <v>-2.0320615701271815E-2</v>
      </c>
      <c r="AN1037">
        <f>CORREL(Table1[YearsAtCompany],AK1037:AK2506)</f>
        <v>4.8717648404602798E-2</v>
      </c>
      <c r="AO1037">
        <f t="shared" si="16"/>
        <v>0</v>
      </c>
    </row>
    <row r="1038" spans="1:41" x14ac:dyDescent="0.25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  <c r="AK1038" s="4">
        <f>IF(Table1[[#This Row],[Attrition]]="Yes", 1,0)</f>
        <v>1</v>
      </c>
      <c r="AL1038">
        <f>CORREL(Table1[Age],AK1038:AK2507)</f>
        <v>3.6235524833939485E-2</v>
      </c>
      <c r="AM1038">
        <f>CORREL(Table1[MonthlyIncome],AK1038:AK2507)</f>
        <v>8.4479341915301417E-2</v>
      </c>
      <c r="AN1038">
        <f>CORREL(Table1[YearsAtCompany],AK1038:AK2507)</f>
        <v>5.0629958537493226E-2</v>
      </c>
      <c r="AO1038">
        <f t="shared" si="16"/>
        <v>1</v>
      </c>
    </row>
    <row r="1039" spans="1:41" x14ac:dyDescent="0.25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  <c r="AK1039" s="4">
        <f>IF(Table1[[#This Row],[Attrition]]="Yes", 1,0)</f>
        <v>0</v>
      </c>
      <c r="AL1039">
        <f>CORREL(Table1[Age],AK1039:AK2508)</f>
        <v>-5.2356716325285081E-2</v>
      </c>
      <c r="AM1039">
        <f>CORREL(Table1[MonthlyIncome],AK1039:AK2508)</f>
        <v>-4.2648637258624986E-2</v>
      </c>
      <c r="AN1039">
        <f>CORREL(Table1[YearsAtCompany],AK1039:AK2508)</f>
        <v>-6.0637526684218984E-2</v>
      </c>
      <c r="AO1039">
        <f t="shared" si="16"/>
        <v>0</v>
      </c>
    </row>
    <row r="1040" spans="1:41" x14ac:dyDescent="0.25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  <c r="AK1040" s="4">
        <f>IF(Table1[[#This Row],[Attrition]]="Yes", 1,0)</f>
        <v>0</v>
      </c>
      <c r="AL1040">
        <f>CORREL(Table1[Age],AK1040:AK2509)</f>
        <v>1.1951425888915297E-2</v>
      </c>
      <c r="AM1040">
        <f>CORREL(Table1[MonthlyIncome],AK1040:AK2509)</f>
        <v>2.8452322831586836E-2</v>
      </c>
      <c r="AN1040">
        <f>CORREL(Table1[YearsAtCompany],AK1040:AK2509)</f>
        <v>1.7896484044963055E-2</v>
      </c>
      <c r="AO1040">
        <f t="shared" si="16"/>
        <v>0</v>
      </c>
    </row>
    <row r="1041" spans="1:41" x14ac:dyDescent="0.25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  <c r="AK1041" s="4">
        <f>IF(Table1[[#This Row],[Attrition]]="Yes", 1,0)</f>
        <v>1</v>
      </c>
      <c r="AL1041">
        <f>CORREL(Table1[Age],AK1041:AK2510)</f>
        <v>-2.5497613105024707E-3</v>
      </c>
      <c r="AM1041">
        <f>CORREL(Table1[MonthlyIncome],AK1041:AK2510)</f>
        <v>-1.9552868800646148E-2</v>
      </c>
      <c r="AN1041">
        <f>CORREL(Table1[YearsAtCompany],AK1041:AK2510)</f>
        <v>-2.2814486731209765E-2</v>
      </c>
      <c r="AO1041">
        <f t="shared" si="16"/>
        <v>1</v>
      </c>
    </row>
    <row r="1042" spans="1:41" x14ac:dyDescent="0.25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  <c r="AK1042" s="4">
        <f>IF(Table1[[#This Row],[Attrition]]="Yes", 1,0)</f>
        <v>0</v>
      </c>
      <c r="AL1042">
        <f>CORREL(Table1[Age],AK1042:AK2511)</f>
        <v>-3.1787593028365653E-2</v>
      </c>
      <c r="AM1042">
        <f>CORREL(Table1[MonthlyIncome],AK1042:AK2511)</f>
        <v>3.8149614247512662E-2</v>
      </c>
      <c r="AN1042">
        <f>CORREL(Table1[YearsAtCompany],AK1042:AK2511)</f>
        <v>-3.0320493788094375E-2</v>
      </c>
      <c r="AO1042">
        <f t="shared" si="16"/>
        <v>0</v>
      </c>
    </row>
    <row r="1043" spans="1:41" x14ac:dyDescent="0.25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  <c r="AK1043" s="4">
        <f>IF(Table1[[#This Row],[Attrition]]="Yes", 1,0)</f>
        <v>0</v>
      </c>
      <c r="AL1043">
        <f>CORREL(Table1[Age],AK1043:AK2512)</f>
        <v>2.5243227082517368E-2</v>
      </c>
      <c r="AM1043">
        <f>CORREL(Table1[MonthlyIncome],AK1043:AK2512)</f>
        <v>-3.8465224947027331E-2</v>
      </c>
      <c r="AN1043">
        <f>CORREL(Table1[YearsAtCompany],AK1043:AK2512)</f>
        <v>-2.2704167769344773E-2</v>
      </c>
      <c r="AO1043">
        <f t="shared" si="16"/>
        <v>0</v>
      </c>
    </row>
    <row r="1044" spans="1:41" x14ac:dyDescent="0.25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  <c r="AK1044" s="4">
        <f>IF(Table1[[#This Row],[Attrition]]="Yes", 1,0)</f>
        <v>0</v>
      </c>
      <c r="AL1044">
        <f>CORREL(Table1[Age],AK1044:AK2513)</f>
        <v>-2.5024594624512671E-2</v>
      </c>
      <c r="AM1044">
        <f>CORREL(Table1[MonthlyIncome],AK1044:AK2513)</f>
        <v>2.1574018918054595E-2</v>
      </c>
      <c r="AN1044">
        <f>CORREL(Table1[YearsAtCompany],AK1044:AK2513)</f>
        <v>4.3926204888836605E-2</v>
      </c>
      <c r="AO1044">
        <f t="shared" si="16"/>
        <v>0</v>
      </c>
    </row>
    <row r="1045" spans="1:41" x14ac:dyDescent="0.25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  <c r="AK1045" s="4">
        <f>IF(Table1[[#This Row],[Attrition]]="Yes", 1,0)</f>
        <v>0</v>
      </c>
      <c r="AL1045">
        <f>CORREL(Table1[Age],AK1045:AK2514)</f>
        <v>-2.8107917451081193E-3</v>
      </c>
      <c r="AM1045">
        <f>CORREL(Table1[MonthlyIncome],AK1045:AK2514)</f>
        <v>-2.3633761677525636E-2</v>
      </c>
      <c r="AN1045">
        <f>CORREL(Table1[YearsAtCompany],AK1045:AK2514)</f>
        <v>6.3708117626149526E-3</v>
      </c>
      <c r="AO1045">
        <f t="shared" si="16"/>
        <v>0</v>
      </c>
    </row>
    <row r="1046" spans="1:41" x14ac:dyDescent="0.25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  <c r="AK1046" s="4">
        <f>IF(Table1[[#This Row],[Attrition]]="Yes", 1,0)</f>
        <v>0</v>
      </c>
      <c r="AL1046">
        <f>CORREL(Table1[Age],AK1046:AK2515)</f>
        <v>-5.0918429841385206E-2</v>
      </c>
      <c r="AM1046">
        <f>CORREL(Table1[MonthlyIncome],AK1046:AK2515)</f>
        <v>1.9305283226130149E-2</v>
      </c>
      <c r="AN1046">
        <f>CORREL(Table1[YearsAtCompany],AK1046:AK2515)</f>
        <v>4.8300630949419589E-2</v>
      </c>
      <c r="AO1046">
        <f t="shared" si="16"/>
        <v>0</v>
      </c>
    </row>
    <row r="1047" spans="1:41" x14ac:dyDescent="0.25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  <c r="AK1047" s="4">
        <f>IF(Table1[[#This Row],[Attrition]]="Yes", 1,0)</f>
        <v>0</v>
      </c>
      <c r="AL1047">
        <f>CORREL(Table1[Age],AK1047:AK2516)</f>
        <v>-5.117010052652398E-2</v>
      </c>
      <c r="AM1047">
        <f>CORREL(Table1[MonthlyIncome],AK1047:AK2516)</f>
        <v>-0.11381862499305653</v>
      </c>
      <c r="AN1047">
        <f>CORREL(Table1[YearsAtCompany],AK1047:AK2516)</f>
        <v>-2.9799833342069041E-2</v>
      </c>
      <c r="AO1047">
        <f t="shared" si="16"/>
        <v>0</v>
      </c>
    </row>
    <row r="1048" spans="1:41" x14ac:dyDescent="0.25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  <c r="AK1048" s="4">
        <f>IF(Table1[[#This Row],[Attrition]]="Yes", 1,0)</f>
        <v>0</v>
      </c>
      <c r="AL1048">
        <f>CORREL(Table1[Age],AK1048:AK2517)</f>
        <v>-1.5396716979073206E-2</v>
      </c>
      <c r="AM1048">
        <f>CORREL(Table1[MonthlyIncome],AK1048:AK2517)</f>
        <v>8.3559582921007652E-2</v>
      </c>
      <c r="AN1048">
        <f>CORREL(Table1[YearsAtCompany],AK1048:AK2517)</f>
        <v>2.9991411889599421E-2</v>
      </c>
      <c r="AO1048">
        <f t="shared" si="16"/>
        <v>0</v>
      </c>
    </row>
    <row r="1049" spans="1:41" x14ac:dyDescent="0.25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  <c r="AK1049" s="4">
        <f>IF(Table1[[#This Row],[Attrition]]="Yes", 1,0)</f>
        <v>0</v>
      </c>
      <c r="AL1049">
        <f>CORREL(Table1[Age],AK1049:AK2518)</f>
        <v>5.630581222701659E-2</v>
      </c>
      <c r="AM1049">
        <f>CORREL(Table1[MonthlyIncome],AK1049:AK2518)</f>
        <v>1.6542509744279909E-2</v>
      </c>
      <c r="AN1049">
        <f>CORREL(Table1[YearsAtCompany],AK1049:AK2518)</f>
        <v>6.1880649661123291E-3</v>
      </c>
      <c r="AO1049">
        <f t="shared" si="16"/>
        <v>0</v>
      </c>
    </row>
    <row r="1050" spans="1:41" x14ac:dyDescent="0.25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  <c r="AK1050" s="4">
        <f>IF(Table1[[#This Row],[Attrition]]="Yes", 1,0)</f>
        <v>0</v>
      </c>
      <c r="AL1050">
        <f>CORREL(Table1[Age],AK1050:AK2519)</f>
        <v>0.12892844662913891</v>
      </c>
      <c r="AM1050">
        <f>CORREL(Table1[MonthlyIncome],AK1050:AK2519)</f>
        <v>0.1130443853668847</v>
      </c>
      <c r="AN1050">
        <f>CORREL(Table1[YearsAtCompany],AK1050:AK2519)</f>
        <v>3.2551224537583551E-2</v>
      </c>
      <c r="AO1050">
        <f t="shared" si="16"/>
        <v>0</v>
      </c>
    </row>
    <row r="1051" spans="1:41" x14ac:dyDescent="0.25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  <c r="AK1051" s="4">
        <f>IF(Table1[[#This Row],[Attrition]]="Yes", 1,0)</f>
        <v>0</v>
      </c>
      <c r="AL1051">
        <f>CORREL(Table1[Age],AK1051:AK2520)</f>
        <v>0.11511665945299092</v>
      </c>
      <c r="AM1051">
        <f>CORREL(Table1[MonthlyIncome],AK1051:AK2520)</f>
        <v>-1.2686861424265573E-2</v>
      </c>
      <c r="AN1051">
        <f>CORREL(Table1[YearsAtCompany],AK1051:AK2520)</f>
        <v>-9.1260775238261628E-3</v>
      </c>
      <c r="AO1051">
        <f t="shared" si="16"/>
        <v>0</v>
      </c>
    </row>
    <row r="1052" spans="1:41" x14ac:dyDescent="0.25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  <c r="AK1052" s="4">
        <f>IF(Table1[[#This Row],[Attrition]]="Yes", 1,0)</f>
        <v>0</v>
      </c>
      <c r="AL1052">
        <f>CORREL(Table1[Age],AK1052:AK2521)</f>
        <v>3.8549774014635996E-2</v>
      </c>
      <c r="AM1052">
        <f>CORREL(Table1[MonthlyIncome],AK1052:AK2521)</f>
        <v>8.9819021851621453E-2</v>
      </c>
      <c r="AN1052">
        <f>CORREL(Table1[YearsAtCompany],AK1052:AK2521)</f>
        <v>0.10892067183752746</v>
      </c>
      <c r="AO1052">
        <f t="shared" si="16"/>
        <v>0</v>
      </c>
    </row>
    <row r="1053" spans="1:41" x14ac:dyDescent="0.25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  <c r="AK1053" s="4">
        <f>IF(Table1[[#This Row],[Attrition]]="Yes", 1,0)</f>
        <v>0</v>
      </c>
      <c r="AL1053">
        <f>CORREL(Table1[Age],AK1053:AK2522)</f>
        <v>-0.11837401961948901</v>
      </c>
      <c r="AM1053">
        <f>CORREL(Table1[MonthlyIncome],AK1053:AK2522)</f>
        <v>-7.0900610961740024E-2</v>
      </c>
      <c r="AN1053">
        <f>CORREL(Table1[YearsAtCompany],AK1053:AK2522)</f>
        <v>1.933854874508514E-2</v>
      </c>
      <c r="AO1053">
        <f t="shared" si="16"/>
        <v>0</v>
      </c>
    </row>
    <row r="1054" spans="1:41" x14ac:dyDescent="0.25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  <c r="AK1054" s="4">
        <f>IF(Table1[[#This Row],[Attrition]]="Yes", 1,0)</f>
        <v>0</v>
      </c>
      <c r="AL1054">
        <f>CORREL(Table1[Age],AK1054:AK2523)</f>
        <v>-3.2736448587772311E-2</v>
      </c>
      <c r="AM1054">
        <f>CORREL(Table1[MonthlyIncome],AK1054:AK2523)</f>
        <v>-1.6773014571059498E-2</v>
      </c>
      <c r="AN1054">
        <f>CORREL(Table1[YearsAtCompany],AK1054:AK2523)</f>
        <v>1.241904821520822E-2</v>
      </c>
      <c r="AO1054">
        <f t="shared" si="16"/>
        <v>0</v>
      </c>
    </row>
    <row r="1055" spans="1:41" x14ac:dyDescent="0.25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  <c r="AK1055" s="4">
        <f>IF(Table1[[#This Row],[Attrition]]="Yes", 1,0)</f>
        <v>0</v>
      </c>
      <c r="AL1055">
        <f>CORREL(Table1[Age],AK1055:AK2524)</f>
        <v>-2.9521618258119088E-2</v>
      </c>
      <c r="AM1055">
        <f>CORREL(Table1[MonthlyIncome],AK1055:AK2524)</f>
        <v>-1.3448293799985521E-2</v>
      </c>
      <c r="AN1055">
        <f>CORREL(Table1[YearsAtCompany],AK1055:AK2524)</f>
        <v>-2.2542755766490806E-2</v>
      </c>
      <c r="AO1055">
        <f t="shared" si="16"/>
        <v>0</v>
      </c>
    </row>
    <row r="1056" spans="1:41" x14ac:dyDescent="0.25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  <c r="AK1056" s="4">
        <f>IF(Table1[[#This Row],[Attrition]]="Yes", 1,0)</f>
        <v>0</v>
      </c>
      <c r="AL1056">
        <f>CORREL(Table1[Age],AK1056:AK2525)</f>
        <v>5.1785241567220849E-2</v>
      </c>
      <c r="AM1056">
        <f>CORREL(Table1[MonthlyIncome],AK1056:AK2525)</f>
        <v>-2.4737843905990094E-2</v>
      </c>
      <c r="AN1056">
        <f>CORREL(Table1[YearsAtCompany],AK1056:AK2525)</f>
        <v>3.2558095515071071E-2</v>
      </c>
      <c r="AO1056">
        <f t="shared" si="16"/>
        <v>0</v>
      </c>
    </row>
    <row r="1057" spans="1:41" x14ac:dyDescent="0.25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  <c r="AK1057" s="4">
        <f>IF(Table1[[#This Row],[Attrition]]="Yes", 1,0)</f>
        <v>0</v>
      </c>
      <c r="AL1057">
        <f>CORREL(Table1[Age],AK1057:AK2526)</f>
        <v>-1.2946644858707269E-2</v>
      </c>
      <c r="AM1057">
        <f>CORREL(Table1[MonthlyIncome],AK1057:AK2526)</f>
        <v>1.6572057776317491E-2</v>
      </c>
      <c r="AN1057">
        <f>CORREL(Table1[YearsAtCompany],AK1057:AK2526)</f>
        <v>5.4038463978453258E-2</v>
      </c>
      <c r="AO1057">
        <f t="shared" si="16"/>
        <v>0</v>
      </c>
    </row>
    <row r="1058" spans="1:41" x14ac:dyDescent="0.25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  <c r="AK1058" s="4">
        <f>IF(Table1[[#This Row],[Attrition]]="Yes", 1,0)</f>
        <v>1</v>
      </c>
      <c r="AL1058">
        <f>CORREL(Table1[Age],AK1058:AK2527)</f>
        <v>1.2040228054976673E-2</v>
      </c>
      <c r="AM1058">
        <f>CORREL(Table1[MonthlyIncome],AK1058:AK2527)</f>
        <v>-6.3765768382607474E-3</v>
      </c>
      <c r="AN1058">
        <f>CORREL(Table1[YearsAtCompany],AK1058:AK2527)</f>
        <v>2.4069587365161058E-2</v>
      </c>
      <c r="AO1058">
        <f t="shared" si="16"/>
        <v>1</v>
      </c>
    </row>
    <row r="1059" spans="1:41" x14ac:dyDescent="0.25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  <c r="AK1059" s="4">
        <f>IF(Table1[[#This Row],[Attrition]]="Yes", 1,0)</f>
        <v>1</v>
      </c>
      <c r="AL1059">
        <f>CORREL(Table1[Age],AK1059:AK2528)</f>
        <v>-3.3063373968757151E-2</v>
      </c>
      <c r="AM1059">
        <f>CORREL(Table1[MonthlyIncome],AK1059:AK2528)</f>
        <v>-1.2521902136707282E-2</v>
      </c>
      <c r="AN1059">
        <f>CORREL(Table1[YearsAtCompany],AK1059:AK2528)</f>
        <v>-5.1514740274094799E-2</v>
      </c>
      <c r="AO1059">
        <f t="shared" si="16"/>
        <v>1</v>
      </c>
    </row>
    <row r="1060" spans="1:41" x14ac:dyDescent="0.25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  <c r="AK1060" s="4">
        <f>IF(Table1[[#This Row],[Attrition]]="Yes", 1,0)</f>
        <v>1</v>
      </c>
      <c r="AL1060">
        <f>CORREL(Table1[Age],AK1060:AK2529)</f>
        <v>7.9853380765965449E-3</v>
      </c>
      <c r="AM1060">
        <f>CORREL(Table1[MonthlyIncome],AK1060:AK2529)</f>
        <v>5.7339634922765184E-2</v>
      </c>
      <c r="AN1060">
        <f>CORREL(Table1[YearsAtCompany],AK1060:AK2529)</f>
        <v>-6.1576429273486749E-3</v>
      </c>
      <c r="AO1060">
        <f t="shared" si="16"/>
        <v>1</v>
      </c>
    </row>
    <row r="1061" spans="1:41" x14ac:dyDescent="0.25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  <c r="AK1061" s="4">
        <f>IF(Table1[[#This Row],[Attrition]]="Yes", 1,0)</f>
        <v>0</v>
      </c>
      <c r="AL1061">
        <f>CORREL(Table1[Age],AK1061:AK2530)</f>
        <v>-2.4946341144596908E-2</v>
      </c>
      <c r="AM1061">
        <f>CORREL(Table1[MonthlyIncome],AK1061:AK2530)</f>
        <v>6.2042041785802166E-2</v>
      </c>
      <c r="AN1061">
        <f>CORREL(Table1[YearsAtCompany],AK1061:AK2530)</f>
        <v>1.5953265472106826E-3</v>
      </c>
      <c r="AO1061">
        <f t="shared" si="16"/>
        <v>0</v>
      </c>
    </row>
    <row r="1062" spans="1:41" x14ac:dyDescent="0.25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  <c r="AK1062" s="4">
        <f>IF(Table1[[#This Row],[Attrition]]="Yes", 1,0)</f>
        <v>1</v>
      </c>
      <c r="AL1062">
        <f>CORREL(Table1[Age],AK1062:AK2531)</f>
        <v>2.7306027704346633E-2</v>
      </c>
      <c r="AM1062">
        <f>CORREL(Table1[MonthlyIncome],AK1062:AK2531)</f>
        <v>2.3827913107828728E-2</v>
      </c>
      <c r="AN1062">
        <f>CORREL(Table1[YearsAtCompany],AK1062:AK2531)</f>
        <v>5.4010672277117242E-2</v>
      </c>
      <c r="AO1062">
        <f t="shared" si="16"/>
        <v>1</v>
      </c>
    </row>
    <row r="1063" spans="1:41" x14ac:dyDescent="0.25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  <c r="AK1063" s="4">
        <f>IF(Table1[[#This Row],[Attrition]]="Yes", 1,0)</f>
        <v>0</v>
      </c>
      <c r="AL1063">
        <f>CORREL(Table1[Age],AK1063:AK2532)</f>
        <v>-2.1502093950770667E-2</v>
      </c>
      <c r="AM1063">
        <f>CORREL(Table1[MonthlyIncome],AK1063:AK2532)</f>
        <v>8.0753592530155311E-3</v>
      </c>
      <c r="AN1063">
        <f>CORREL(Table1[YearsAtCompany],AK1063:AK2532)</f>
        <v>4.9797291033844129E-2</v>
      </c>
      <c r="AO1063">
        <f t="shared" si="16"/>
        <v>0</v>
      </c>
    </row>
    <row r="1064" spans="1:41" x14ac:dyDescent="0.25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  <c r="AK1064" s="4">
        <f>IF(Table1[[#This Row],[Attrition]]="Yes", 1,0)</f>
        <v>0</v>
      </c>
      <c r="AL1064">
        <f>CORREL(Table1[Age],AK1064:AK2533)</f>
        <v>4.3576579785367567E-2</v>
      </c>
      <c r="AM1064">
        <f>CORREL(Table1[MonthlyIncome],AK1064:AK2533)</f>
        <v>-4.0289410881154406E-3</v>
      </c>
      <c r="AN1064">
        <f>CORREL(Table1[YearsAtCompany],AK1064:AK2533)</f>
        <v>7.4055135892689581E-3</v>
      </c>
      <c r="AO1064">
        <f t="shared" si="16"/>
        <v>0</v>
      </c>
    </row>
    <row r="1065" spans="1:41" x14ac:dyDescent="0.25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  <c r="AK1065" s="4">
        <f>IF(Table1[[#This Row],[Attrition]]="Yes", 1,0)</f>
        <v>0</v>
      </c>
      <c r="AL1065">
        <f>CORREL(Table1[Age],AK1065:AK2534)</f>
        <v>3.9092062983943097E-2</v>
      </c>
      <c r="AM1065">
        <f>CORREL(Table1[MonthlyIncome],AK1065:AK2534)</f>
        <v>0.10711298609422512</v>
      </c>
      <c r="AN1065">
        <f>CORREL(Table1[YearsAtCompany],AK1065:AK2534)</f>
        <v>4.6544116464723936E-2</v>
      </c>
      <c r="AO1065">
        <f t="shared" si="16"/>
        <v>0</v>
      </c>
    </row>
    <row r="1066" spans="1:41" x14ac:dyDescent="0.25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  <c r="AK1066" s="4">
        <f>IF(Table1[[#This Row],[Attrition]]="Yes", 1,0)</f>
        <v>0</v>
      </c>
      <c r="AL1066">
        <f>CORREL(Table1[Age],AK1066:AK2535)</f>
        <v>-3.2293283140205832E-2</v>
      </c>
      <c r="AM1066">
        <f>CORREL(Table1[MonthlyIncome],AK1066:AK2535)</f>
        <v>-7.1058051975517664E-2</v>
      </c>
      <c r="AN1066">
        <f>CORREL(Table1[YearsAtCompany],AK1066:AK2535)</f>
        <v>7.4189224882919647E-3</v>
      </c>
      <c r="AO1066">
        <f t="shared" si="16"/>
        <v>0</v>
      </c>
    </row>
    <row r="1067" spans="1:41" x14ac:dyDescent="0.25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  <c r="AK1067" s="4">
        <f>IF(Table1[[#This Row],[Attrition]]="Yes", 1,0)</f>
        <v>0</v>
      </c>
      <c r="AL1067">
        <f>CORREL(Table1[Age],AK1067:AK2536)</f>
        <v>-8.9676703172254981E-3</v>
      </c>
      <c r="AM1067">
        <f>CORREL(Table1[MonthlyIncome],AK1067:AK2536)</f>
        <v>6.671147246069666E-3</v>
      </c>
      <c r="AN1067">
        <f>CORREL(Table1[YearsAtCompany],AK1067:AK2536)</f>
        <v>1.5519518065204282E-2</v>
      </c>
      <c r="AO1067">
        <f t="shared" si="16"/>
        <v>0</v>
      </c>
    </row>
    <row r="1068" spans="1:41" x14ac:dyDescent="0.25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  <c r="AK1068" s="4">
        <f>IF(Table1[[#This Row],[Attrition]]="Yes", 1,0)</f>
        <v>0</v>
      </c>
      <c r="AL1068">
        <f>CORREL(Table1[Age],AK1068:AK2537)</f>
        <v>1.8627740863457958E-2</v>
      </c>
      <c r="AM1068">
        <f>CORREL(Table1[MonthlyIncome],AK1068:AK2537)</f>
        <v>-3.1166364516807023E-2</v>
      </c>
      <c r="AN1068">
        <f>CORREL(Table1[YearsAtCompany],AK1068:AK2537)</f>
        <v>-7.8434327539545698E-2</v>
      </c>
      <c r="AO1068">
        <f t="shared" si="16"/>
        <v>0</v>
      </c>
    </row>
    <row r="1069" spans="1:41" x14ac:dyDescent="0.25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  <c r="AK1069" s="4">
        <f>IF(Table1[[#This Row],[Attrition]]="Yes", 1,0)</f>
        <v>0</v>
      </c>
      <c r="AL1069">
        <f>CORREL(Table1[Age],AK1069:AK2538)</f>
        <v>-4.3527728318343152E-2</v>
      </c>
      <c r="AM1069">
        <f>CORREL(Table1[MonthlyIncome],AK1069:AK2538)</f>
        <v>5.9104115496093053E-4</v>
      </c>
      <c r="AN1069">
        <f>CORREL(Table1[YearsAtCompany],AK1069:AK2538)</f>
        <v>-1.3583942060899227E-2</v>
      </c>
      <c r="AO1069">
        <f t="shared" si="16"/>
        <v>0</v>
      </c>
    </row>
    <row r="1070" spans="1:41" x14ac:dyDescent="0.25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  <c r="AK1070" s="4">
        <f>IF(Table1[[#This Row],[Attrition]]="Yes", 1,0)</f>
        <v>1</v>
      </c>
      <c r="AL1070">
        <f>CORREL(Table1[Age],AK1070:AK2539)</f>
        <v>1.0580937635500578E-2</v>
      </c>
      <c r="AM1070">
        <f>CORREL(Table1[MonthlyIncome],AK1070:AK2539)</f>
        <v>4.3922392579447363E-2</v>
      </c>
      <c r="AN1070">
        <f>CORREL(Table1[YearsAtCompany],AK1070:AK2539)</f>
        <v>8.6113346380003744E-2</v>
      </c>
      <c r="AO1070">
        <f t="shared" si="16"/>
        <v>1</v>
      </c>
    </row>
    <row r="1071" spans="1:41" x14ac:dyDescent="0.25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  <c r="AK1071" s="4">
        <f>IF(Table1[[#This Row],[Attrition]]="Yes", 1,0)</f>
        <v>0</v>
      </c>
      <c r="AL1071">
        <f>CORREL(Table1[Age],AK1071:AK2540)</f>
        <v>-7.1017643374578207E-2</v>
      </c>
      <c r="AM1071">
        <f>CORREL(Table1[MonthlyIncome],AK1071:AK2540)</f>
        <v>9.9033121225791054E-2</v>
      </c>
      <c r="AN1071">
        <f>CORREL(Table1[YearsAtCompany],AK1071:AK2540)</f>
        <v>8.4674150732138548E-2</v>
      </c>
      <c r="AO1071">
        <f t="shared" si="16"/>
        <v>0</v>
      </c>
    </row>
    <row r="1072" spans="1:41" x14ac:dyDescent="0.25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  <c r="AK1072" s="4">
        <f>IF(Table1[[#This Row],[Attrition]]="Yes", 1,0)</f>
        <v>0</v>
      </c>
      <c r="AL1072">
        <f>CORREL(Table1[Age],AK1072:AK2541)</f>
        <v>-1.2048811506618759E-2</v>
      </c>
      <c r="AM1072">
        <f>CORREL(Table1[MonthlyIncome],AK1072:AK2541)</f>
        <v>-4.6914791309862147E-2</v>
      </c>
      <c r="AN1072">
        <f>CORREL(Table1[YearsAtCompany],AK1072:AK2541)</f>
        <v>1.9719547601800932E-2</v>
      </c>
      <c r="AO1072">
        <f t="shared" si="16"/>
        <v>0</v>
      </c>
    </row>
    <row r="1073" spans="1:41" x14ac:dyDescent="0.25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  <c r="AK1073" s="4">
        <f>IF(Table1[[#This Row],[Attrition]]="Yes", 1,0)</f>
        <v>0</v>
      </c>
      <c r="AL1073">
        <f>CORREL(Table1[Age],AK1073:AK2542)</f>
        <v>6.257762624940677E-2</v>
      </c>
      <c r="AM1073">
        <f>CORREL(Table1[MonthlyIncome],AK1073:AK2542)</f>
        <v>-4.479883117387088E-2</v>
      </c>
      <c r="AN1073">
        <f>CORREL(Table1[YearsAtCompany],AK1073:AK2542)</f>
        <v>-1.0454434640555369E-3</v>
      </c>
      <c r="AO1073">
        <f t="shared" si="16"/>
        <v>0</v>
      </c>
    </row>
    <row r="1074" spans="1:41" x14ac:dyDescent="0.25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  <c r="AK1074" s="4">
        <f>IF(Table1[[#This Row],[Attrition]]="Yes", 1,0)</f>
        <v>0</v>
      </c>
      <c r="AL1074">
        <f>CORREL(Table1[Age],AK1074:AK2543)</f>
        <v>-1.5853401253921012E-2</v>
      </c>
      <c r="AM1074">
        <f>CORREL(Table1[MonthlyIncome],AK1074:AK2543)</f>
        <v>-5.8204551888839738E-2</v>
      </c>
      <c r="AN1074">
        <f>CORREL(Table1[YearsAtCompany],AK1074:AK2543)</f>
        <v>6.6451406119101214E-3</v>
      </c>
      <c r="AO1074">
        <f t="shared" si="16"/>
        <v>0</v>
      </c>
    </row>
    <row r="1075" spans="1:41" x14ac:dyDescent="0.25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  <c r="AK1075" s="4">
        <f>IF(Table1[[#This Row],[Attrition]]="Yes", 1,0)</f>
        <v>0</v>
      </c>
      <c r="AL1075">
        <f>CORREL(Table1[Age],AK1075:AK2544)</f>
        <v>-1.7201757256427249E-2</v>
      </c>
      <c r="AM1075">
        <f>CORREL(Table1[MonthlyIncome],AK1075:AK2544)</f>
        <v>-0.11679296937779272</v>
      </c>
      <c r="AN1075">
        <f>CORREL(Table1[YearsAtCompany],AK1075:AK2544)</f>
        <v>-6.4817913336311511E-2</v>
      </c>
      <c r="AO1075">
        <f t="shared" si="16"/>
        <v>0</v>
      </c>
    </row>
    <row r="1076" spans="1:41" x14ac:dyDescent="0.25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  <c r="AK1076" s="4">
        <f>IF(Table1[[#This Row],[Attrition]]="Yes", 1,0)</f>
        <v>0</v>
      </c>
      <c r="AL1076">
        <f>CORREL(Table1[Age],AK1076:AK2545)</f>
        <v>-1.1058697945203325E-2</v>
      </c>
      <c r="AM1076">
        <f>CORREL(Table1[MonthlyIncome],AK1076:AK2545)</f>
        <v>-4.5649533636934567E-2</v>
      </c>
      <c r="AN1076">
        <f>CORREL(Table1[YearsAtCompany],AK1076:AK2545)</f>
        <v>-6.0650690291471077E-2</v>
      </c>
      <c r="AO1076">
        <f t="shared" si="16"/>
        <v>0</v>
      </c>
    </row>
    <row r="1077" spans="1:41" x14ac:dyDescent="0.25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  <c r="AK1077" s="4">
        <f>IF(Table1[[#This Row],[Attrition]]="Yes", 1,0)</f>
        <v>0</v>
      </c>
      <c r="AL1077">
        <f>CORREL(Table1[Age],AK1077:AK2546)</f>
        <v>4.6274518411394017E-2</v>
      </c>
      <c r="AM1077">
        <f>CORREL(Table1[MonthlyIncome],AK1077:AK2546)</f>
        <v>6.4848333845203887E-2</v>
      </c>
      <c r="AN1077">
        <f>CORREL(Table1[YearsAtCompany],AK1077:AK2546)</f>
        <v>3.926211806120615E-2</v>
      </c>
      <c r="AO1077">
        <f t="shared" si="16"/>
        <v>0</v>
      </c>
    </row>
    <row r="1078" spans="1:41" x14ac:dyDescent="0.25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  <c r="AK1078" s="4">
        <f>IF(Table1[[#This Row],[Attrition]]="Yes", 1,0)</f>
        <v>0</v>
      </c>
      <c r="AL1078">
        <f>CORREL(Table1[Age],AK1078:AK2547)</f>
        <v>-3.15735658502053E-2</v>
      </c>
      <c r="AM1078">
        <f>CORREL(Table1[MonthlyIncome],AK1078:AK2547)</f>
        <v>-6.5175900059898564E-3</v>
      </c>
      <c r="AN1078">
        <f>CORREL(Table1[YearsAtCompany],AK1078:AK2547)</f>
        <v>8.5515572048273196E-3</v>
      </c>
      <c r="AO1078">
        <f t="shared" si="16"/>
        <v>0</v>
      </c>
    </row>
    <row r="1079" spans="1:41" x14ac:dyDescent="0.25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  <c r="AK1079" s="4">
        <f>IF(Table1[[#This Row],[Attrition]]="Yes", 1,0)</f>
        <v>1</v>
      </c>
      <c r="AL1079">
        <f>CORREL(Table1[Age],AK1079:AK2548)</f>
        <v>-3.3497937227007411E-2</v>
      </c>
      <c r="AM1079">
        <f>CORREL(Table1[MonthlyIncome],AK1079:AK2548)</f>
        <v>-5.4897943902582104E-2</v>
      </c>
      <c r="AN1079">
        <f>CORREL(Table1[YearsAtCompany],AK1079:AK2548)</f>
        <v>-2.9467605952646244E-2</v>
      </c>
      <c r="AO1079">
        <f t="shared" si="16"/>
        <v>1</v>
      </c>
    </row>
    <row r="1080" spans="1:41" x14ac:dyDescent="0.25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  <c r="AK1080" s="4">
        <f>IF(Table1[[#This Row],[Attrition]]="Yes", 1,0)</f>
        <v>0</v>
      </c>
      <c r="AL1080">
        <f>CORREL(Table1[Age],AK1080:AK2549)</f>
        <v>-4.156914097056489E-2</v>
      </c>
      <c r="AM1080">
        <f>CORREL(Table1[MonthlyIncome],AK1080:AK2549)</f>
        <v>-5.8394019027110985E-2</v>
      </c>
      <c r="AN1080">
        <f>CORREL(Table1[YearsAtCompany],AK1080:AK2549)</f>
        <v>-1.4087479323628315E-2</v>
      </c>
      <c r="AO1080">
        <f t="shared" si="16"/>
        <v>0</v>
      </c>
    </row>
    <row r="1081" spans="1:41" x14ac:dyDescent="0.25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  <c r="AK1081" s="4">
        <f>IF(Table1[[#This Row],[Attrition]]="Yes", 1,0)</f>
        <v>0</v>
      </c>
      <c r="AL1081">
        <f>CORREL(Table1[Age],AK1081:AK2550)</f>
        <v>1.6209170491410022E-2</v>
      </c>
      <c r="AM1081">
        <f>CORREL(Table1[MonthlyIncome],AK1081:AK2550)</f>
        <v>-1.4328094523348475E-2</v>
      </c>
      <c r="AN1081">
        <f>CORREL(Table1[YearsAtCompany],AK1081:AK2550)</f>
        <v>2.7235154985588653E-2</v>
      </c>
      <c r="AO1081">
        <f t="shared" si="16"/>
        <v>0</v>
      </c>
    </row>
    <row r="1082" spans="1:41" x14ac:dyDescent="0.25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  <c r="AK1082" s="4">
        <f>IF(Table1[[#This Row],[Attrition]]="Yes", 1,0)</f>
        <v>0</v>
      </c>
      <c r="AL1082">
        <f>CORREL(Table1[Age],AK1082:AK2551)</f>
        <v>5.0428618010260072E-2</v>
      </c>
      <c r="AM1082">
        <f>CORREL(Table1[MonthlyIncome],AK1082:AK2551)</f>
        <v>-8.841786011718536E-2</v>
      </c>
      <c r="AN1082">
        <f>CORREL(Table1[YearsAtCompany],AK1082:AK2551)</f>
        <v>-6.6651634653182981E-2</v>
      </c>
      <c r="AO1082">
        <f t="shared" si="16"/>
        <v>0</v>
      </c>
    </row>
    <row r="1083" spans="1:41" x14ac:dyDescent="0.25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  <c r="AK1083" s="4">
        <f>IF(Table1[[#This Row],[Attrition]]="Yes", 1,0)</f>
        <v>0</v>
      </c>
      <c r="AL1083">
        <f>CORREL(Table1[Age],AK1083:AK2552)</f>
        <v>-6.8796763745333919E-4</v>
      </c>
      <c r="AM1083">
        <f>CORREL(Table1[MonthlyIncome],AK1083:AK2552)</f>
        <v>6.9601210700521651E-2</v>
      </c>
      <c r="AN1083">
        <f>CORREL(Table1[YearsAtCompany],AK1083:AK2552)</f>
        <v>-1.6831065103992481E-2</v>
      </c>
      <c r="AO1083">
        <f t="shared" si="16"/>
        <v>0</v>
      </c>
    </row>
    <row r="1084" spans="1:41" x14ac:dyDescent="0.25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  <c r="AK1084" s="4">
        <f>IF(Table1[[#This Row],[Attrition]]="Yes", 1,0)</f>
        <v>0</v>
      </c>
      <c r="AL1084">
        <f>CORREL(Table1[Age],AK1084:AK2553)</f>
        <v>0.115770648998562</v>
      </c>
      <c r="AM1084">
        <f>CORREL(Table1[MonthlyIncome],AK1084:AK2553)</f>
        <v>0.126257338781328</v>
      </c>
      <c r="AN1084">
        <f>CORREL(Table1[YearsAtCompany],AK1084:AK2553)</f>
        <v>4.6457292704811116E-2</v>
      </c>
      <c r="AO1084">
        <f t="shared" si="16"/>
        <v>0</v>
      </c>
    </row>
    <row r="1085" spans="1:41" x14ac:dyDescent="0.25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  <c r="AK1085" s="4">
        <f>IF(Table1[[#This Row],[Attrition]]="Yes", 1,0)</f>
        <v>1</v>
      </c>
      <c r="AL1085">
        <f>CORREL(Table1[Age],AK1085:AK2554)</f>
        <v>5.2178734305435945E-2</v>
      </c>
      <c r="AM1085">
        <f>CORREL(Table1[MonthlyIncome],AK1085:AK2554)</f>
        <v>-2.5180903651747109E-2</v>
      </c>
      <c r="AN1085">
        <f>CORREL(Table1[YearsAtCompany],AK1085:AK2554)</f>
        <v>9.958694100178436E-4</v>
      </c>
      <c r="AO1085">
        <f t="shared" si="16"/>
        <v>1</v>
      </c>
    </row>
    <row r="1086" spans="1:41" x14ac:dyDescent="0.25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  <c r="AK1086" s="4">
        <f>IF(Table1[[#This Row],[Attrition]]="Yes", 1,0)</f>
        <v>0</v>
      </c>
      <c r="AL1086">
        <f>CORREL(Table1[Age],AK1086:AK2555)</f>
        <v>4.936015310308442E-2</v>
      </c>
      <c r="AM1086">
        <f>CORREL(Table1[MonthlyIncome],AK1086:AK2555)</f>
        <v>-4.4918246579623809E-3</v>
      </c>
      <c r="AN1086">
        <f>CORREL(Table1[YearsAtCompany],AK1086:AK2555)</f>
        <v>0.12585222706994265</v>
      </c>
      <c r="AO1086">
        <f t="shared" si="16"/>
        <v>0</v>
      </c>
    </row>
    <row r="1087" spans="1:41" x14ac:dyDescent="0.25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  <c r="AK1087" s="4">
        <f>IF(Table1[[#This Row],[Attrition]]="Yes", 1,0)</f>
        <v>1</v>
      </c>
      <c r="AL1087">
        <f>CORREL(Table1[Age],AK1087:AK2556)</f>
        <v>-3.8505189078196535E-2</v>
      </c>
      <c r="AM1087">
        <f>CORREL(Table1[MonthlyIncome],AK1087:AK2556)</f>
        <v>5.9502122331823261E-2</v>
      </c>
      <c r="AN1087">
        <f>CORREL(Table1[YearsAtCompany],AK1087:AK2556)</f>
        <v>3.0056775535826925E-2</v>
      </c>
      <c r="AO1087">
        <f t="shared" si="16"/>
        <v>1</v>
      </c>
    </row>
    <row r="1088" spans="1:41" x14ac:dyDescent="0.25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  <c r="AK1088" s="4">
        <f>IF(Table1[[#This Row],[Attrition]]="Yes", 1,0)</f>
        <v>0</v>
      </c>
      <c r="AL1088">
        <f>CORREL(Table1[Age],AK1088:AK2557)</f>
        <v>1.5566541065099243E-2</v>
      </c>
      <c r="AM1088">
        <f>CORREL(Table1[MonthlyIncome],AK1088:AK2557)</f>
        <v>2.0162777952833586E-2</v>
      </c>
      <c r="AN1088">
        <f>CORREL(Table1[YearsAtCompany],AK1088:AK2557)</f>
        <v>9.6091253597070138E-3</v>
      </c>
      <c r="AO1088">
        <f t="shared" si="16"/>
        <v>0</v>
      </c>
    </row>
    <row r="1089" spans="1:41" x14ac:dyDescent="0.25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  <c r="AK1089" s="4">
        <f>IF(Table1[[#This Row],[Attrition]]="Yes", 1,0)</f>
        <v>0</v>
      </c>
      <c r="AL1089">
        <f>CORREL(Table1[Age],AK1089:AK2558)</f>
        <v>-5.1352418963821887E-2</v>
      </c>
      <c r="AM1089">
        <f>CORREL(Table1[MonthlyIncome],AK1089:AK2558)</f>
        <v>-6.0158734381059259E-2</v>
      </c>
      <c r="AN1089">
        <f>CORREL(Table1[YearsAtCompany],AK1089:AK2558)</f>
        <v>-1.0141735343969827E-2</v>
      </c>
      <c r="AO1089">
        <f t="shared" si="16"/>
        <v>0</v>
      </c>
    </row>
    <row r="1090" spans="1:41" x14ac:dyDescent="0.25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  <c r="AK1090" s="4">
        <f>IF(Table1[[#This Row],[Attrition]]="Yes", 1,0)</f>
        <v>0</v>
      </c>
      <c r="AL1090">
        <f>CORREL(Table1[Age],AK1090:AK2559)</f>
        <v>3.7605477281343657E-3</v>
      </c>
      <c r="AM1090">
        <f>CORREL(Table1[MonthlyIncome],AK1090:AK2559)</f>
        <v>-1.5975724004048553E-2</v>
      </c>
      <c r="AN1090">
        <f>CORREL(Table1[YearsAtCompany],AK1090:AK2559)</f>
        <v>1.9281373463784311E-2</v>
      </c>
      <c r="AO1090">
        <f t="shared" si="16"/>
        <v>0</v>
      </c>
    </row>
    <row r="1091" spans="1:41" x14ac:dyDescent="0.25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  <c r="AK1091" s="4">
        <f>IF(Table1[[#This Row],[Attrition]]="Yes", 1,0)</f>
        <v>0</v>
      </c>
      <c r="AL1091">
        <f>CORREL(Table1[Age],AK1091:AK2560)</f>
        <v>2.2627036261741982E-2</v>
      </c>
      <c r="AM1091">
        <f>CORREL(Table1[MonthlyIncome],AK1091:AK2560)</f>
        <v>9.6508678759571559E-2</v>
      </c>
      <c r="AN1091">
        <f>CORREL(Table1[YearsAtCompany],AK1091:AK2560)</f>
        <v>-1.4883255645594428E-2</v>
      </c>
      <c r="AO1091">
        <f t="shared" ref="AO1091:AO1154" si="17">ABS(AK1091)</f>
        <v>0</v>
      </c>
    </row>
    <row r="1092" spans="1:41" x14ac:dyDescent="0.25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  <c r="AK1092" s="4">
        <f>IF(Table1[[#This Row],[Attrition]]="Yes", 1,0)</f>
        <v>0</v>
      </c>
      <c r="AL1092">
        <f>CORREL(Table1[Age],AK1092:AK2561)</f>
        <v>1.1366437036685393E-2</v>
      </c>
      <c r="AM1092">
        <f>CORREL(Table1[MonthlyIncome],AK1092:AK2561)</f>
        <v>5.9709847674577689E-2</v>
      </c>
      <c r="AN1092">
        <f>CORREL(Table1[YearsAtCompany],AK1092:AK2561)</f>
        <v>-3.5399349549681533E-2</v>
      </c>
      <c r="AO1092">
        <f t="shared" si="17"/>
        <v>0</v>
      </c>
    </row>
    <row r="1093" spans="1:41" x14ac:dyDescent="0.25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  <c r="AK1093" s="4">
        <f>IF(Table1[[#This Row],[Attrition]]="Yes", 1,0)</f>
        <v>0</v>
      </c>
      <c r="AL1093">
        <f>CORREL(Table1[Age],AK1093:AK2562)</f>
        <v>-6.7433571915558391E-2</v>
      </c>
      <c r="AM1093">
        <f>CORREL(Table1[MonthlyIncome],AK1093:AK2562)</f>
        <v>-2.6943604702742405E-2</v>
      </c>
      <c r="AN1093">
        <f>CORREL(Table1[YearsAtCompany],AK1093:AK2562)</f>
        <v>6.960163089102381E-3</v>
      </c>
      <c r="AO1093">
        <f t="shared" si="17"/>
        <v>0</v>
      </c>
    </row>
    <row r="1094" spans="1:41" x14ac:dyDescent="0.25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  <c r="AK1094" s="4">
        <f>IF(Table1[[#This Row],[Attrition]]="Yes", 1,0)</f>
        <v>0</v>
      </c>
      <c r="AL1094">
        <f>CORREL(Table1[Age],AK1094:AK2563)</f>
        <v>5.8514745691144718E-2</v>
      </c>
      <c r="AM1094">
        <f>CORREL(Table1[MonthlyIncome],AK1094:AK2563)</f>
        <v>-3.4730966594571207E-2</v>
      </c>
      <c r="AN1094">
        <f>CORREL(Table1[YearsAtCompany],AK1094:AK2563)</f>
        <v>-5.7487712563248486E-2</v>
      </c>
      <c r="AO1094">
        <f t="shared" si="17"/>
        <v>0</v>
      </c>
    </row>
    <row r="1095" spans="1:41" x14ac:dyDescent="0.25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  <c r="AK1095" s="4">
        <f>IF(Table1[[#This Row],[Attrition]]="Yes", 1,0)</f>
        <v>0</v>
      </c>
      <c r="AL1095">
        <f>CORREL(Table1[Age],AK1095:AK2564)</f>
        <v>-4.4821954186912226E-2</v>
      </c>
      <c r="AM1095">
        <f>CORREL(Table1[MonthlyIncome],AK1095:AK2564)</f>
        <v>-4.6044962533670292E-3</v>
      </c>
      <c r="AN1095">
        <f>CORREL(Table1[YearsAtCompany],AK1095:AK2564)</f>
        <v>-1.3235306436142694E-2</v>
      </c>
      <c r="AO1095">
        <f t="shared" si="17"/>
        <v>0</v>
      </c>
    </row>
    <row r="1096" spans="1:41" x14ac:dyDescent="0.25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  <c r="AK1096" s="4">
        <f>IF(Table1[[#This Row],[Attrition]]="Yes", 1,0)</f>
        <v>0</v>
      </c>
      <c r="AL1096">
        <f>CORREL(Table1[Age],AK1096:AK2565)</f>
        <v>4.6798971680771205E-3</v>
      </c>
      <c r="AM1096">
        <f>CORREL(Table1[MonthlyIncome],AK1096:AK2565)</f>
        <v>-9.9194181999288228E-3</v>
      </c>
      <c r="AN1096">
        <f>CORREL(Table1[YearsAtCompany],AK1096:AK2565)</f>
        <v>1.8827345003856327E-2</v>
      </c>
      <c r="AO1096">
        <f t="shared" si="17"/>
        <v>0</v>
      </c>
    </row>
    <row r="1097" spans="1:41" x14ac:dyDescent="0.25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  <c r="AK1097" s="4">
        <f>IF(Table1[[#This Row],[Attrition]]="Yes", 1,0)</f>
        <v>0</v>
      </c>
      <c r="AL1097">
        <f>CORREL(Table1[Age],AK1097:AK2566)</f>
        <v>-4.5420934691159091E-2</v>
      </c>
      <c r="AM1097">
        <f>CORREL(Table1[MonthlyIncome],AK1097:AK2566)</f>
        <v>3.862720485749533E-2</v>
      </c>
      <c r="AN1097">
        <f>CORREL(Table1[YearsAtCompany],AK1097:AK2566)</f>
        <v>8.3873155813404612E-2</v>
      </c>
      <c r="AO1097">
        <f t="shared" si="17"/>
        <v>0</v>
      </c>
    </row>
    <row r="1098" spans="1:41" x14ac:dyDescent="0.25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  <c r="AK1098" s="4">
        <f>IF(Table1[[#This Row],[Attrition]]="Yes", 1,0)</f>
        <v>0</v>
      </c>
      <c r="AL1098">
        <f>CORREL(Table1[Age],AK1098:AK2567)</f>
        <v>7.2401633091306872E-2</v>
      </c>
      <c r="AM1098">
        <f>CORREL(Table1[MonthlyIncome],AK1098:AK2567)</f>
        <v>-2.1505073832260229E-2</v>
      </c>
      <c r="AN1098">
        <f>CORREL(Table1[YearsAtCompany],AK1098:AK2567)</f>
        <v>5.6511635921404312E-2</v>
      </c>
      <c r="AO1098">
        <f t="shared" si="17"/>
        <v>0</v>
      </c>
    </row>
    <row r="1099" spans="1:41" x14ac:dyDescent="0.25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  <c r="AK1099" s="4">
        <f>IF(Table1[[#This Row],[Attrition]]="Yes", 1,0)</f>
        <v>0</v>
      </c>
      <c r="AL1099">
        <f>CORREL(Table1[Age],AK1099:AK2568)</f>
        <v>-5.2872042893359365E-3</v>
      </c>
      <c r="AM1099">
        <f>CORREL(Table1[MonthlyIncome],AK1099:AK2568)</f>
        <v>-1.2983456479085662E-3</v>
      </c>
      <c r="AN1099">
        <f>CORREL(Table1[YearsAtCompany],AK1099:AK2568)</f>
        <v>-6.8797560890309483E-3</v>
      </c>
      <c r="AO1099">
        <f t="shared" si="17"/>
        <v>0</v>
      </c>
    </row>
    <row r="1100" spans="1:41" x14ac:dyDescent="0.25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  <c r="AK1100" s="4">
        <f>IF(Table1[[#This Row],[Attrition]]="Yes", 1,0)</f>
        <v>0</v>
      </c>
      <c r="AL1100">
        <f>CORREL(Table1[Age],AK1100:AK2569)</f>
        <v>-6.4701495835971734E-2</v>
      </c>
      <c r="AM1100">
        <f>CORREL(Table1[MonthlyIncome],AK1100:AK2569)</f>
        <v>-7.1507259687089014E-2</v>
      </c>
      <c r="AN1100">
        <f>CORREL(Table1[YearsAtCompany],AK1100:AK2569)</f>
        <v>-4.4849841488367709E-2</v>
      </c>
      <c r="AO1100">
        <f t="shared" si="17"/>
        <v>0</v>
      </c>
    </row>
    <row r="1101" spans="1:41" x14ac:dyDescent="0.25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  <c r="AK1101" s="4">
        <f>IF(Table1[[#This Row],[Attrition]]="Yes", 1,0)</f>
        <v>0</v>
      </c>
      <c r="AL1101">
        <f>CORREL(Table1[Age],AK1101:AK2570)</f>
        <v>-1.7327605861214315E-2</v>
      </c>
      <c r="AM1101">
        <f>CORREL(Table1[MonthlyIncome],AK1101:AK2570)</f>
        <v>3.4706954921318457E-2</v>
      </c>
      <c r="AN1101">
        <f>CORREL(Table1[YearsAtCompany],AK1101:AK2570)</f>
        <v>-3.4853375014268571E-2</v>
      </c>
      <c r="AO1101">
        <f t="shared" si="17"/>
        <v>0</v>
      </c>
    </row>
    <row r="1102" spans="1:41" x14ac:dyDescent="0.25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  <c r="AK1102" s="4">
        <f>IF(Table1[[#This Row],[Attrition]]="Yes", 1,0)</f>
        <v>0</v>
      </c>
      <c r="AL1102">
        <f>CORREL(Table1[Age],AK1102:AK2571)</f>
        <v>4.3554379537588339E-2</v>
      </c>
      <c r="AM1102">
        <f>CORREL(Table1[MonthlyIncome],AK1102:AK2571)</f>
        <v>4.8941405436676362E-2</v>
      </c>
      <c r="AN1102">
        <f>CORREL(Table1[YearsAtCompany],AK1102:AK2571)</f>
        <v>-3.7137708484314781E-2</v>
      </c>
      <c r="AO1102">
        <f t="shared" si="17"/>
        <v>0</v>
      </c>
    </row>
    <row r="1103" spans="1:41" x14ac:dyDescent="0.25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  <c r="AK1103" s="4">
        <f>IF(Table1[[#This Row],[Attrition]]="Yes", 1,0)</f>
        <v>0</v>
      </c>
      <c r="AL1103">
        <f>CORREL(Table1[Age],AK1103:AK2572)</f>
        <v>8.3122456519975602E-2</v>
      </c>
      <c r="AM1103">
        <f>CORREL(Table1[MonthlyIncome],AK1103:AK2572)</f>
        <v>-6.0488653162370795E-5</v>
      </c>
      <c r="AN1103">
        <f>CORREL(Table1[YearsAtCompany],AK1103:AK2572)</f>
        <v>2.6491795186640497E-2</v>
      </c>
      <c r="AO1103">
        <f t="shared" si="17"/>
        <v>0</v>
      </c>
    </row>
    <row r="1104" spans="1:41" x14ac:dyDescent="0.25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  <c r="AK1104" s="4">
        <f>IF(Table1[[#This Row],[Attrition]]="Yes", 1,0)</f>
        <v>0</v>
      </c>
      <c r="AL1104">
        <f>CORREL(Table1[Age],AK1104:AK2573)</f>
        <v>-0.12206489356200151</v>
      </c>
      <c r="AM1104">
        <f>CORREL(Table1[MonthlyIncome],AK1104:AK2573)</f>
        <v>-4.6803178986244934E-2</v>
      </c>
      <c r="AN1104">
        <f>CORREL(Table1[YearsAtCompany],AK1104:AK2573)</f>
        <v>1.5530609120712156E-2</v>
      </c>
      <c r="AO1104">
        <f t="shared" si="17"/>
        <v>0</v>
      </c>
    </row>
    <row r="1105" spans="1:41" x14ac:dyDescent="0.25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  <c r="AK1105" s="4">
        <f>IF(Table1[[#This Row],[Attrition]]="Yes", 1,0)</f>
        <v>0</v>
      </c>
      <c r="AL1105">
        <f>CORREL(Table1[Age],AK1105:AK2574)</f>
        <v>-2.075478075584393E-2</v>
      </c>
      <c r="AM1105">
        <f>CORREL(Table1[MonthlyIncome],AK1105:AK2574)</f>
        <v>1.9106996256321285E-2</v>
      </c>
      <c r="AN1105">
        <f>CORREL(Table1[YearsAtCompany],AK1105:AK2574)</f>
        <v>9.5145711733756105E-2</v>
      </c>
      <c r="AO1105">
        <f t="shared" si="17"/>
        <v>0</v>
      </c>
    </row>
    <row r="1106" spans="1:41" x14ac:dyDescent="0.25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  <c r="AK1106" s="4">
        <f>IF(Table1[[#This Row],[Attrition]]="Yes", 1,0)</f>
        <v>0</v>
      </c>
      <c r="AL1106">
        <f>CORREL(Table1[Age],AK1106:AK2575)</f>
        <v>4.1991941836546164E-2</v>
      </c>
      <c r="AM1106">
        <f>CORREL(Table1[MonthlyIncome],AK1106:AK2575)</f>
        <v>3.101773802680111E-2</v>
      </c>
      <c r="AN1106">
        <f>CORREL(Table1[YearsAtCompany],AK1106:AK2575)</f>
        <v>-3.0347116119067381E-2</v>
      </c>
      <c r="AO1106">
        <f t="shared" si="17"/>
        <v>0</v>
      </c>
    </row>
    <row r="1107" spans="1:41" x14ac:dyDescent="0.25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  <c r="AK1107" s="4">
        <f>IF(Table1[[#This Row],[Attrition]]="Yes", 1,0)</f>
        <v>0</v>
      </c>
      <c r="AL1107">
        <f>CORREL(Table1[Age],AK1107:AK2576)</f>
        <v>7.6844266657759952E-2</v>
      </c>
      <c r="AM1107">
        <f>CORREL(Table1[MonthlyIncome],AK1107:AK2576)</f>
        <v>-5.2393837577575569E-2</v>
      </c>
      <c r="AN1107">
        <f>CORREL(Table1[YearsAtCompany],AK1107:AK2576)</f>
        <v>-4.8234286941247789E-2</v>
      </c>
      <c r="AO1107">
        <f t="shared" si="17"/>
        <v>0</v>
      </c>
    </row>
    <row r="1108" spans="1:41" x14ac:dyDescent="0.25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  <c r="AK1108" s="4">
        <f>IF(Table1[[#This Row],[Attrition]]="Yes", 1,0)</f>
        <v>1</v>
      </c>
      <c r="AL1108">
        <f>CORREL(Table1[Age],AK1108:AK2577)</f>
        <v>4.8183639509780093E-2</v>
      </c>
      <c r="AM1108">
        <f>CORREL(Table1[MonthlyIncome],AK1108:AK2577)</f>
        <v>-1.364923365230716E-2</v>
      </c>
      <c r="AN1108">
        <f>CORREL(Table1[YearsAtCompany],AK1108:AK2577)</f>
        <v>-3.9048487105978788E-2</v>
      </c>
      <c r="AO1108">
        <f t="shared" si="17"/>
        <v>1</v>
      </c>
    </row>
    <row r="1109" spans="1:41" x14ac:dyDescent="0.25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  <c r="AK1109" s="4">
        <f>IF(Table1[[#This Row],[Attrition]]="Yes", 1,0)</f>
        <v>0</v>
      </c>
      <c r="AL1109">
        <f>CORREL(Table1[Age],AK1109:AK2578)</f>
        <v>4.3072969296517473E-2</v>
      </c>
      <c r="AM1109">
        <f>CORREL(Table1[MonthlyIncome],AK1109:AK2578)</f>
        <v>-3.2902378255206623E-2</v>
      </c>
      <c r="AN1109">
        <f>CORREL(Table1[YearsAtCompany],AK1109:AK2578)</f>
        <v>6.1501057729544145E-2</v>
      </c>
      <c r="AO1109">
        <f t="shared" si="17"/>
        <v>0</v>
      </c>
    </row>
    <row r="1110" spans="1:41" x14ac:dyDescent="0.25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  <c r="AK1110" s="4">
        <f>IF(Table1[[#This Row],[Attrition]]="Yes", 1,0)</f>
        <v>0</v>
      </c>
      <c r="AL1110">
        <f>CORREL(Table1[Age],AK1110:AK2579)</f>
        <v>4.3033642712956892E-2</v>
      </c>
      <c r="AM1110">
        <f>CORREL(Table1[MonthlyIncome],AK1110:AK2579)</f>
        <v>9.7554460229269196E-2</v>
      </c>
      <c r="AN1110">
        <f>CORREL(Table1[YearsAtCompany],AK1110:AK2579)</f>
        <v>3.4170236624493658E-2</v>
      </c>
      <c r="AO1110">
        <f t="shared" si="17"/>
        <v>0</v>
      </c>
    </row>
    <row r="1111" spans="1:41" x14ac:dyDescent="0.25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  <c r="AK1111" s="4">
        <f>IF(Table1[[#This Row],[Attrition]]="Yes", 1,0)</f>
        <v>0</v>
      </c>
      <c r="AL1111">
        <f>CORREL(Table1[Age],AK1111:AK2580)</f>
        <v>-7.020745752208386E-3</v>
      </c>
      <c r="AM1111">
        <f>CORREL(Table1[MonthlyIncome],AK1111:AK2580)</f>
        <v>-4.7824743132537867E-3</v>
      </c>
      <c r="AN1111">
        <f>CORREL(Table1[YearsAtCompany],AK1111:AK2580)</f>
        <v>-1.6762139778804575E-2</v>
      </c>
      <c r="AO1111">
        <f t="shared" si="17"/>
        <v>0</v>
      </c>
    </row>
    <row r="1112" spans="1:41" x14ac:dyDescent="0.25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  <c r="AK1112" s="4">
        <f>IF(Table1[[#This Row],[Attrition]]="Yes", 1,0)</f>
        <v>1</v>
      </c>
      <c r="AL1112">
        <f>CORREL(Table1[Age],AK1112:AK2581)</f>
        <v>3.9224056160808513E-2</v>
      </c>
      <c r="AM1112">
        <f>CORREL(Table1[MonthlyIncome],AK1112:AK2581)</f>
        <v>-1.0410559155741647E-2</v>
      </c>
      <c r="AN1112">
        <f>CORREL(Table1[YearsAtCompany],AK1112:AK2581)</f>
        <v>5.7672919614384546E-2</v>
      </c>
      <c r="AO1112">
        <f t="shared" si="17"/>
        <v>1</v>
      </c>
    </row>
    <row r="1113" spans="1:41" x14ac:dyDescent="0.25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  <c r="AK1113" s="4">
        <f>IF(Table1[[#This Row],[Attrition]]="Yes", 1,0)</f>
        <v>1</v>
      </c>
      <c r="AL1113">
        <f>CORREL(Table1[Age],AK1113:AK2582)</f>
        <v>-1.516632052851483E-2</v>
      </c>
      <c r="AM1113">
        <f>CORREL(Table1[MonthlyIncome],AK1113:AK2582)</f>
        <v>6.167635406930122E-2</v>
      </c>
      <c r="AN1113">
        <f>CORREL(Table1[YearsAtCompany],AK1113:AK2582)</f>
        <v>3.9979849816647782E-2</v>
      </c>
      <c r="AO1113">
        <f t="shared" si="17"/>
        <v>1</v>
      </c>
    </row>
    <row r="1114" spans="1:41" x14ac:dyDescent="0.25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  <c r="AK1114" s="4">
        <f>IF(Table1[[#This Row],[Attrition]]="Yes", 1,0)</f>
        <v>1</v>
      </c>
      <c r="AL1114">
        <f>CORREL(Table1[Age],AK1114:AK2583)</f>
        <v>-3.8120234902159794E-2</v>
      </c>
      <c r="AM1114">
        <f>CORREL(Table1[MonthlyIncome],AK1114:AK2583)</f>
        <v>-2.4962691085472118E-2</v>
      </c>
      <c r="AN1114">
        <f>CORREL(Table1[YearsAtCompany],AK1114:AK2583)</f>
        <v>2.9778899628154859E-2</v>
      </c>
      <c r="AO1114">
        <f t="shared" si="17"/>
        <v>1</v>
      </c>
    </row>
    <row r="1115" spans="1:41" x14ac:dyDescent="0.25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  <c r="AK1115" s="4">
        <f>IF(Table1[[#This Row],[Attrition]]="Yes", 1,0)</f>
        <v>0</v>
      </c>
      <c r="AL1115">
        <f>CORREL(Table1[Age],AK1115:AK2584)</f>
        <v>-2.008134025330964E-2</v>
      </c>
      <c r="AM1115">
        <f>CORREL(Table1[MonthlyIncome],AK1115:AK2584)</f>
        <v>-6.2951321772391045E-2</v>
      </c>
      <c r="AN1115">
        <f>CORREL(Table1[YearsAtCompany],AK1115:AK2584)</f>
        <v>-2.8955246433593602E-2</v>
      </c>
      <c r="AO1115">
        <f t="shared" si="17"/>
        <v>0</v>
      </c>
    </row>
    <row r="1116" spans="1:41" x14ac:dyDescent="0.25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  <c r="AK1116" s="4">
        <f>IF(Table1[[#This Row],[Attrition]]="Yes", 1,0)</f>
        <v>0</v>
      </c>
      <c r="AL1116">
        <f>CORREL(Table1[Age],AK1116:AK2585)</f>
        <v>5.8568371673087739E-2</v>
      </c>
      <c r="AM1116">
        <f>CORREL(Table1[MonthlyIncome],AK1116:AK2585)</f>
        <v>-5.6499755512585396E-2</v>
      </c>
      <c r="AN1116">
        <f>CORREL(Table1[YearsAtCompany],AK1116:AK2585)</f>
        <v>-5.6320861015317192E-2</v>
      </c>
      <c r="AO1116">
        <f t="shared" si="17"/>
        <v>0</v>
      </c>
    </row>
    <row r="1117" spans="1:41" x14ac:dyDescent="0.25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  <c r="AK1117" s="4">
        <f>IF(Table1[[#This Row],[Attrition]]="Yes", 1,0)</f>
        <v>0</v>
      </c>
      <c r="AL1117">
        <f>CORREL(Table1[Age],AK1117:AK2586)</f>
        <v>2.2684447470526826E-2</v>
      </c>
      <c r="AM1117">
        <f>CORREL(Table1[MonthlyIncome],AK1117:AK2586)</f>
        <v>-8.0339260346295287E-3</v>
      </c>
      <c r="AN1117">
        <f>CORREL(Table1[YearsAtCompany],AK1117:AK2586)</f>
        <v>-6.8727651735509404E-2</v>
      </c>
      <c r="AO1117">
        <f t="shared" si="17"/>
        <v>0</v>
      </c>
    </row>
    <row r="1118" spans="1:41" x14ac:dyDescent="0.25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  <c r="AK1118" s="4">
        <f>IF(Table1[[#This Row],[Attrition]]="Yes", 1,0)</f>
        <v>0</v>
      </c>
      <c r="AL1118">
        <f>CORREL(Table1[Age],AK1118:AK2587)</f>
        <v>5.1223358287067811E-2</v>
      </c>
      <c r="AM1118">
        <f>CORREL(Table1[MonthlyIncome],AK1118:AK2587)</f>
        <v>6.0865708464681964E-2</v>
      </c>
      <c r="AN1118">
        <f>CORREL(Table1[YearsAtCompany],AK1118:AK2587)</f>
        <v>-4.60501312488505E-3</v>
      </c>
      <c r="AO1118">
        <f t="shared" si="17"/>
        <v>0</v>
      </c>
    </row>
    <row r="1119" spans="1:41" x14ac:dyDescent="0.25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  <c r="AK1119" s="4">
        <f>IF(Table1[[#This Row],[Attrition]]="Yes", 1,0)</f>
        <v>0</v>
      </c>
      <c r="AL1119">
        <f>CORREL(Table1[Age],AK1119:AK2588)</f>
        <v>3.1352587782528976E-3</v>
      </c>
      <c r="AM1119">
        <f>CORREL(Table1[MonthlyIncome],AK1119:AK2588)</f>
        <v>2.2566564958724847E-2</v>
      </c>
      <c r="AN1119">
        <f>CORREL(Table1[YearsAtCompany],AK1119:AK2588)</f>
        <v>-3.7225997413847203E-2</v>
      </c>
      <c r="AO1119">
        <f t="shared" si="17"/>
        <v>0</v>
      </c>
    </row>
    <row r="1120" spans="1:41" x14ac:dyDescent="0.25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  <c r="AK1120" s="4">
        <f>IF(Table1[[#This Row],[Attrition]]="Yes", 1,0)</f>
        <v>0</v>
      </c>
      <c r="AL1120">
        <f>CORREL(Table1[Age],AK1120:AK2589)</f>
        <v>6.2461977776081933E-3</v>
      </c>
      <c r="AM1120">
        <f>CORREL(Table1[MonthlyIncome],AK1120:AK2589)</f>
        <v>2.3539066547456106E-2</v>
      </c>
      <c r="AN1120">
        <f>CORREL(Table1[YearsAtCompany],AK1120:AK2589)</f>
        <v>6.9357845472457075E-2</v>
      </c>
      <c r="AO1120">
        <f t="shared" si="17"/>
        <v>0</v>
      </c>
    </row>
    <row r="1121" spans="1:41" x14ac:dyDescent="0.25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  <c r="AK1121" s="4">
        <f>IF(Table1[[#This Row],[Attrition]]="Yes", 1,0)</f>
        <v>0</v>
      </c>
      <c r="AL1121">
        <f>CORREL(Table1[Age],AK1121:AK2590)</f>
        <v>-2.1162563688916985E-2</v>
      </c>
      <c r="AM1121">
        <f>CORREL(Table1[MonthlyIncome],AK1121:AK2590)</f>
        <v>-3.6849432676008168E-2</v>
      </c>
      <c r="AN1121">
        <f>CORREL(Table1[YearsAtCompany],AK1121:AK2590)</f>
        <v>-5.3519950111423069E-2</v>
      </c>
      <c r="AO1121">
        <f t="shared" si="17"/>
        <v>0</v>
      </c>
    </row>
    <row r="1122" spans="1:41" x14ac:dyDescent="0.25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  <c r="AK1122" s="4">
        <f>IF(Table1[[#This Row],[Attrition]]="Yes", 1,0)</f>
        <v>0</v>
      </c>
      <c r="AL1122">
        <f>CORREL(Table1[Age],AK1122:AK2591)</f>
        <v>-1.5219364605683836E-2</v>
      </c>
      <c r="AM1122">
        <f>CORREL(Table1[MonthlyIncome],AK1122:AK2591)</f>
        <v>-8.5449445995189211E-3</v>
      </c>
      <c r="AN1122">
        <f>CORREL(Table1[YearsAtCompany],AK1122:AK2591)</f>
        <v>3.4872023595832025E-2</v>
      </c>
      <c r="AO1122">
        <f t="shared" si="17"/>
        <v>0</v>
      </c>
    </row>
    <row r="1123" spans="1:41" x14ac:dyDescent="0.25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  <c r="AK1123" s="4">
        <f>IF(Table1[[#This Row],[Attrition]]="Yes", 1,0)</f>
        <v>0</v>
      </c>
      <c r="AL1123">
        <f>CORREL(Table1[Age],AK1123:AK2592)</f>
        <v>-9.5862144275103908E-2</v>
      </c>
      <c r="AM1123">
        <f>CORREL(Table1[MonthlyIncome],AK1123:AK2592)</f>
        <v>-5.18800145459987E-2</v>
      </c>
      <c r="AN1123">
        <f>CORREL(Table1[YearsAtCompany],AK1123:AK2592)</f>
        <v>-3.6080692662904396E-2</v>
      </c>
      <c r="AO1123">
        <f t="shared" si="17"/>
        <v>0</v>
      </c>
    </row>
    <row r="1124" spans="1:41" x14ac:dyDescent="0.25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  <c r="AK1124" s="4">
        <f>IF(Table1[[#This Row],[Attrition]]="Yes", 1,0)</f>
        <v>0</v>
      </c>
      <c r="AL1124">
        <f>CORREL(Table1[Age],AK1124:AK2593)</f>
        <v>5.8341906626620142E-3</v>
      </c>
      <c r="AM1124">
        <f>CORREL(Table1[MonthlyIncome],AK1124:AK2593)</f>
        <v>1.5220390091810611E-3</v>
      </c>
      <c r="AN1124">
        <f>CORREL(Table1[YearsAtCompany],AK1124:AK2593)</f>
        <v>-7.3799265475533397E-4</v>
      </c>
      <c r="AO1124">
        <f t="shared" si="17"/>
        <v>0</v>
      </c>
    </row>
    <row r="1125" spans="1:41" x14ac:dyDescent="0.25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  <c r="AK1125" s="4">
        <f>IF(Table1[[#This Row],[Attrition]]="Yes", 1,0)</f>
        <v>0</v>
      </c>
      <c r="AL1125">
        <f>CORREL(Table1[Age],AK1125:AK2594)</f>
        <v>9.0476101358105354E-2</v>
      </c>
      <c r="AM1125">
        <f>CORREL(Table1[MonthlyIncome],AK1125:AK2594)</f>
        <v>4.0323712189835742E-2</v>
      </c>
      <c r="AN1125">
        <f>CORREL(Table1[YearsAtCompany],AK1125:AK2594)</f>
        <v>6.8611660881925857E-2</v>
      </c>
      <c r="AO1125">
        <f t="shared" si="17"/>
        <v>0</v>
      </c>
    </row>
    <row r="1126" spans="1:41" x14ac:dyDescent="0.25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  <c r="AK1126" s="4">
        <f>IF(Table1[[#This Row],[Attrition]]="Yes", 1,0)</f>
        <v>0</v>
      </c>
      <c r="AL1126">
        <f>CORREL(Table1[Age],AK1126:AK2595)</f>
        <v>1.6529794244826854E-2</v>
      </c>
      <c r="AM1126">
        <f>CORREL(Table1[MonthlyIncome],AK1126:AK2595)</f>
        <v>6.463845748990657E-2</v>
      </c>
      <c r="AN1126">
        <f>CORREL(Table1[YearsAtCompany],AK1126:AK2595)</f>
        <v>-3.2747289420962646E-2</v>
      </c>
      <c r="AO1126">
        <f t="shared" si="17"/>
        <v>0</v>
      </c>
    </row>
    <row r="1127" spans="1:41" x14ac:dyDescent="0.25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  <c r="AK1127" s="4">
        <f>IF(Table1[[#This Row],[Attrition]]="Yes", 1,0)</f>
        <v>0</v>
      </c>
      <c r="AL1127">
        <f>CORREL(Table1[Age],AK1127:AK2596)</f>
        <v>4.6339886366556234E-2</v>
      </c>
      <c r="AM1127">
        <f>CORREL(Table1[MonthlyIncome],AK1127:AK2596)</f>
        <v>3.4319222613511793E-2</v>
      </c>
      <c r="AN1127">
        <f>CORREL(Table1[YearsAtCompany],AK1127:AK2596)</f>
        <v>9.669933861056669E-2</v>
      </c>
      <c r="AO1127">
        <f t="shared" si="17"/>
        <v>0</v>
      </c>
    </row>
    <row r="1128" spans="1:41" x14ac:dyDescent="0.25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  <c r="AK1128" s="4">
        <f>IF(Table1[[#This Row],[Attrition]]="Yes", 1,0)</f>
        <v>0</v>
      </c>
      <c r="AL1128">
        <f>CORREL(Table1[Age],AK1128:AK2597)</f>
        <v>3.6177376662121397E-2</v>
      </c>
      <c r="AM1128">
        <f>CORREL(Table1[MonthlyIncome],AK1128:AK2597)</f>
        <v>9.2442422287827161E-2</v>
      </c>
      <c r="AN1128">
        <f>CORREL(Table1[YearsAtCompany],AK1128:AK2597)</f>
        <v>6.5547167963868891E-2</v>
      </c>
      <c r="AO1128">
        <f t="shared" si="17"/>
        <v>0</v>
      </c>
    </row>
    <row r="1129" spans="1:41" x14ac:dyDescent="0.25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  <c r="AK1129" s="4">
        <f>IF(Table1[[#This Row],[Attrition]]="Yes", 1,0)</f>
        <v>0</v>
      </c>
      <c r="AL1129">
        <f>CORREL(Table1[Age],AK1129:AK2598)</f>
        <v>-3.154850796062765E-2</v>
      </c>
      <c r="AM1129">
        <f>CORREL(Table1[MonthlyIncome],AK1129:AK2598)</f>
        <v>-3.5341753340485532E-2</v>
      </c>
      <c r="AN1129">
        <f>CORREL(Table1[YearsAtCompany],AK1129:AK2598)</f>
        <v>-9.2346841915193056E-3</v>
      </c>
      <c r="AO1129">
        <f t="shared" si="17"/>
        <v>0</v>
      </c>
    </row>
    <row r="1130" spans="1:41" x14ac:dyDescent="0.25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  <c r="AK1130" s="4">
        <f>IF(Table1[[#This Row],[Attrition]]="Yes", 1,0)</f>
        <v>0</v>
      </c>
      <c r="AL1130">
        <f>CORREL(Table1[Age],AK1130:AK2599)</f>
        <v>-2.7843634880922775E-2</v>
      </c>
      <c r="AM1130">
        <f>CORREL(Table1[MonthlyIncome],AK1130:AK2599)</f>
        <v>1.8940900324482417E-2</v>
      </c>
      <c r="AN1130">
        <f>CORREL(Table1[YearsAtCompany],AK1130:AK2599)</f>
        <v>2.8148112845913547E-2</v>
      </c>
      <c r="AO1130">
        <f t="shared" si="17"/>
        <v>0</v>
      </c>
    </row>
    <row r="1131" spans="1:41" x14ac:dyDescent="0.25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  <c r="AK1131" s="4">
        <f>IF(Table1[[#This Row],[Attrition]]="Yes", 1,0)</f>
        <v>0</v>
      </c>
      <c r="AL1131">
        <f>CORREL(Table1[Age],AK1131:AK2600)</f>
        <v>-3.1358946099115971E-2</v>
      </c>
      <c r="AM1131">
        <f>CORREL(Table1[MonthlyIncome],AK1131:AK2600)</f>
        <v>-0.14077237198812895</v>
      </c>
      <c r="AN1131">
        <f>CORREL(Table1[YearsAtCompany],AK1131:AK2600)</f>
        <v>-5.616058411587007E-2</v>
      </c>
      <c r="AO1131">
        <f t="shared" si="17"/>
        <v>0</v>
      </c>
    </row>
    <row r="1132" spans="1:41" x14ac:dyDescent="0.25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  <c r="AK1132" s="4">
        <f>IF(Table1[[#This Row],[Attrition]]="Yes", 1,0)</f>
        <v>0</v>
      </c>
      <c r="AL1132">
        <f>CORREL(Table1[Age],AK1132:AK2601)</f>
        <v>-9.8228313488448002E-2</v>
      </c>
      <c r="AM1132">
        <f>CORREL(Table1[MonthlyIncome],AK1132:AK2601)</f>
        <v>-4.5109344542981204E-2</v>
      </c>
      <c r="AN1132">
        <f>CORREL(Table1[YearsAtCompany],AK1132:AK2601)</f>
        <v>-6.1503101478020857E-2</v>
      </c>
      <c r="AO1132">
        <f t="shared" si="17"/>
        <v>0</v>
      </c>
    </row>
    <row r="1133" spans="1:41" x14ac:dyDescent="0.25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  <c r="AK1133" s="4">
        <f>IF(Table1[[#This Row],[Attrition]]="Yes", 1,0)</f>
        <v>0</v>
      </c>
      <c r="AL1133">
        <f>CORREL(Table1[Age],AK1133:AK2602)</f>
        <v>6.7700854043366385E-2</v>
      </c>
      <c r="AM1133">
        <f>CORREL(Table1[MonthlyIncome],AK1133:AK2602)</f>
        <v>2.7521998776059327E-3</v>
      </c>
      <c r="AN1133">
        <f>CORREL(Table1[YearsAtCompany],AK1133:AK2602)</f>
        <v>1.5990251538431477E-2</v>
      </c>
      <c r="AO1133">
        <f t="shared" si="17"/>
        <v>0</v>
      </c>
    </row>
    <row r="1134" spans="1:41" x14ac:dyDescent="0.25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  <c r="AK1134" s="4">
        <f>IF(Table1[[#This Row],[Attrition]]="Yes", 1,0)</f>
        <v>0</v>
      </c>
      <c r="AL1134">
        <f>CORREL(Table1[Age],AK1134:AK2603)</f>
        <v>4.3318664099858753E-3</v>
      </c>
      <c r="AM1134">
        <f>CORREL(Table1[MonthlyIncome],AK1134:AK2603)</f>
        <v>5.6089045757030283E-2</v>
      </c>
      <c r="AN1134">
        <f>CORREL(Table1[YearsAtCompany],AK1134:AK2603)</f>
        <v>-4.3200004515676203E-2</v>
      </c>
      <c r="AO1134">
        <f t="shared" si="17"/>
        <v>0</v>
      </c>
    </row>
    <row r="1135" spans="1:41" x14ac:dyDescent="0.25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  <c r="AK1135" s="4">
        <f>IF(Table1[[#This Row],[Attrition]]="Yes", 1,0)</f>
        <v>0</v>
      </c>
      <c r="AL1135">
        <f>CORREL(Table1[Age],AK1135:AK2604)</f>
        <v>-4.8442942026484991E-2</v>
      </c>
      <c r="AM1135">
        <f>CORREL(Table1[MonthlyIncome],AK1135:AK2604)</f>
        <v>-4.9518251313985864E-2</v>
      </c>
      <c r="AN1135">
        <f>CORREL(Table1[YearsAtCompany],AK1135:AK2604)</f>
        <v>-4.1492875244591165E-2</v>
      </c>
      <c r="AO1135">
        <f t="shared" si="17"/>
        <v>0</v>
      </c>
    </row>
    <row r="1136" spans="1:41" x14ac:dyDescent="0.25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  <c r="AK1136" s="4">
        <f>IF(Table1[[#This Row],[Attrition]]="Yes", 1,0)</f>
        <v>0</v>
      </c>
      <c r="AL1136">
        <f>CORREL(Table1[Age],AK1136:AK2605)</f>
        <v>8.3979702328704733E-2</v>
      </c>
      <c r="AM1136">
        <f>CORREL(Table1[MonthlyIncome],AK1136:AK2605)</f>
        <v>2.2548503705669101E-2</v>
      </c>
      <c r="AN1136">
        <f>CORREL(Table1[YearsAtCompany],AK1136:AK2605)</f>
        <v>-3.5223042515917555E-2</v>
      </c>
      <c r="AO1136">
        <f t="shared" si="17"/>
        <v>0</v>
      </c>
    </row>
    <row r="1137" spans="1:41" x14ac:dyDescent="0.25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  <c r="AK1137" s="4">
        <f>IF(Table1[[#This Row],[Attrition]]="Yes", 1,0)</f>
        <v>0</v>
      </c>
      <c r="AL1137">
        <f>CORREL(Table1[Age],AK1137:AK2606)</f>
        <v>3.9827444375761946E-2</v>
      </c>
      <c r="AM1137">
        <f>CORREL(Table1[MonthlyIncome],AK1137:AK2606)</f>
        <v>-5.4407140596264489E-2</v>
      </c>
      <c r="AN1137">
        <f>CORREL(Table1[YearsAtCompany],AK1137:AK2606)</f>
        <v>-3.2051743679048464E-2</v>
      </c>
      <c r="AO1137">
        <f t="shared" si="17"/>
        <v>0</v>
      </c>
    </row>
    <row r="1138" spans="1:41" x14ac:dyDescent="0.25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  <c r="AK1138" s="4">
        <f>IF(Table1[[#This Row],[Attrition]]="Yes", 1,0)</f>
        <v>1</v>
      </c>
      <c r="AL1138">
        <f>CORREL(Table1[Age],AK1138:AK2607)</f>
        <v>-1.280657452734942E-2</v>
      </c>
      <c r="AM1138">
        <f>CORREL(Table1[MonthlyIncome],AK1138:AK2607)</f>
        <v>-5.9524767787986904E-2</v>
      </c>
      <c r="AN1138">
        <f>CORREL(Table1[YearsAtCompany],AK1138:AK2607)</f>
        <v>-7.4207414644675016E-3</v>
      </c>
      <c r="AO1138">
        <f t="shared" si="17"/>
        <v>1</v>
      </c>
    </row>
    <row r="1139" spans="1:41" x14ac:dyDescent="0.25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  <c r="AK1139" s="4">
        <f>IF(Table1[[#This Row],[Attrition]]="Yes", 1,0)</f>
        <v>0</v>
      </c>
      <c r="AL1139">
        <f>CORREL(Table1[Age],AK1139:AK2608)</f>
        <v>-1.0115690708121322E-2</v>
      </c>
      <c r="AM1139">
        <f>CORREL(Table1[MonthlyIncome],AK1139:AK2608)</f>
        <v>-0.11824854989636104</v>
      </c>
      <c r="AN1139">
        <f>CORREL(Table1[YearsAtCompany],AK1139:AK2608)</f>
        <v>-0.11612533135514851</v>
      </c>
      <c r="AO1139">
        <f t="shared" si="17"/>
        <v>0</v>
      </c>
    </row>
    <row r="1140" spans="1:41" x14ac:dyDescent="0.25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  <c r="AK1140" s="4">
        <f>IF(Table1[[#This Row],[Attrition]]="Yes", 1,0)</f>
        <v>0</v>
      </c>
      <c r="AL1140">
        <f>CORREL(Table1[Age],AK1140:AK2609)</f>
        <v>9.4536739872781717E-2</v>
      </c>
      <c r="AM1140">
        <f>CORREL(Table1[MonthlyIncome],AK1140:AK2609)</f>
        <v>9.7115359776126467E-2</v>
      </c>
      <c r="AN1140">
        <f>CORREL(Table1[YearsAtCompany],AK1140:AK2609)</f>
        <v>0.13661037045277732</v>
      </c>
      <c r="AO1140">
        <f t="shared" si="17"/>
        <v>0</v>
      </c>
    </row>
    <row r="1141" spans="1:41" x14ac:dyDescent="0.25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  <c r="AK1141" s="4">
        <f>IF(Table1[[#This Row],[Attrition]]="Yes", 1,0)</f>
        <v>0</v>
      </c>
      <c r="AL1141">
        <f>CORREL(Table1[Age],AK1141:AK2610)</f>
        <v>4.7120873396959792E-2</v>
      </c>
      <c r="AM1141">
        <f>CORREL(Table1[MonthlyIncome],AK1141:AK2610)</f>
        <v>3.263799527347639E-2</v>
      </c>
      <c r="AN1141">
        <f>CORREL(Table1[YearsAtCompany],AK1141:AK2610)</f>
        <v>0.10147490216491929</v>
      </c>
      <c r="AO1141">
        <f t="shared" si="17"/>
        <v>0</v>
      </c>
    </row>
    <row r="1142" spans="1:41" x14ac:dyDescent="0.25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  <c r="AK1142" s="4">
        <f>IF(Table1[[#This Row],[Attrition]]="Yes", 1,0)</f>
        <v>0</v>
      </c>
      <c r="AL1142">
        <f>CORREL(Table1[Age],AK1142:AK2611)</f>
        <v>5.4406532638372654E-2</v>
      </c>
      <c r="AM1142">
        <f>CORREL(Table1[MonthlyIncome],AK1142:AK2611)</f>
        <v>1.9246964951375248E-2</v>
      </c>
      <c r="AN1142">
        <f>CORREL(Table1[YearsAtCompany],AK1142:AK2611)</f>
        <v>-1.0217896153955113E-2</v>
      </c>
      <c r="AO1142">
        <f t="shared" si="17"/>
        <v>0</v>
      </c>
    </row>
    <row r="1143" spans="1:41" x14ac:dyDescent="0.25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  <c r="AK1143" s="4">
        <f>IF(Table1[[#This Row],[Attrition]]="Yes", 1,0)</f>
        <v>0</v>
      </c>
      <c r="AL1143">
        <f>CORREL(Table1[Age],AK1143:AK2612)</f>
        <v>-6.4825303570785947E-2</v>
      </c>
      <c r="AM1143">
        <f>CORREL(Table1[MonthlyIncome],AK1143:AK2612)</f>
        <v>-3.7119405112463574E-2</v>
      </c>
      <c r="AN1143">
        <f>CORREL(Table1[YearsAtCompany],AK1143:AK2612)</f>
        <v>-7.418982435457161E-2</v>
      </c>
      <c r="AO1143">
        <f t="shared" si="17"/>
        <v>0</v>
      </c>
    </row>
    <row r="1144" spans="1:41" x14ac:dyDescent="0.25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  <c r="AK1144" s="4">
        <f>IF(Table1[[#This Row],[Attrition]]="Yes", 1,0)</f>
        <v>0</v>
      </c>
      <c r="AL1144">
        <f>CORREL(Table1[Age],AK1144:AK2613)</f>
        <v>-3.6632735792065434E-2</v>
      </c>
      <c r="AM1144">
        <f>CORREL(Table1[MonthlyIncome],AK1144:AK2613)</f>
        <v>7.1783688387404121E-2</v>
      </c>
      <c r="AN1144">
        <f>CORREL(Table1[YearsAtCompany],AK1144:AK2613)</f>
        <v>8.6830226826128537E-2</v>
      </c>
      <c r="AO1144">
        <f t="shared" si="17"/>
        <v>0</v>
      </c>
    </row>
    <row r="1145" spans="1:41" x14ac:dyDescent="0.25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  <c r="AK1145" s="4">
        <f>IF(Table1[[#This Row],[Attrition]]="Yes", 1,0)</f>
        <v>0</v>
      </c>
      <c r="AL1145">
        <f>CORREL(Table1[Age],AK1145:AK2614)</f>
        <v>4.4402363004717504E-2</v>
      </c>
      <c r="AM1145">
        <f>CORREL(Table1[MonthlyIncome],AK1145:AK2614)</f>
        <v>5.9133041703325721E-2</v>
      </c>
      <c r="AN1145">
        <f>CORREL(Table1[YearsAtCompany],AK1145:AK2614)</f>
        <v>5.9952781911524457E-2</v>
      </c>
      <c r="AO1145">
        <f t="shared" si="17"/>
        <v>0</v>
      </c>
    </row>
    <row r="1146" spans="1:41" x14ac:dyDescent="0.25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  <c r="AK1146" s="4">
        <f>IF(Table1[[#This Row],[Attrition]]="Yes", 1,0)</f>
        <v>0</v>
      </c>
      <c r="AL1146">
        <f>CORREL(Table1[Age],AK1146:AK2615)</f>
        <v>4.9306270844880207E-2</v>
      </c>
      <c r="AM1146">
        <f>CORREL(Table1[MonthlyIncome],AK1146:AK2615)</f>
        <v>4.884826531685265E-2</v>
      </c>
      <c r="AN1146">
        <f>CORREL(Table1[YearsAtCompany],AK1146:AK2615)</f>
        <v>3.16858405844452E-2</v>
      </c>
      <c r="AO1146">
        <f t="shared" si="17"/>
        <v>0</v>
      </c>
    </row>
    <row r="1147" spans="1:41" x14ac:dyDescent="0.25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  <c r="AK1147" s="4">
        <f>IF(Table1[[#This Row],[Attrition]]="Yes", 1,0)</f>
        <v>0</v>
      </c>
      <c r="AL1147">
        <f>CORREL(Table1[Age],AK1147:AK2616)</f>
        <v>5.1311970442796263E-2</v>
      </c>
      <c r="AM1147">
        <f>CORREL(Table1[MonthlyIncome],AK1147:AK2616)</f>
        <v>7.9613096674781836E-2</v>
      </c>
      <c r="AN1147">
        <f>CORREL(Table1[YearsAtCompany],AK1147:AK2616)</f>
        <v>3.4782935358381201E-2</v>
      </c>
      <c r="AO1147">
        <f t="shared" si="17"/>
        <v>0</v>
      </c>
    </row>
    <row r="1148" spans="1:41" x14ac:dyDescent="0.25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  <c r="AK1148" s="4">
        <f>IF(Table1[[#This Row],[Attrition]]="Yes", 1,0)</f>
        <v>0</v>
      </c>
      <c r="AL1148">
        <f>CORREL(Table1[Age],AK1148:AK2617)</f>
        <v>-3.5976038701106836E-3</v>
      </c>
      <c r="AM1148">
        <f>CORREL(Table1[MonthlyIncome],AK1148:AK2617)</f>
        <v>3.1470349868366998E-2</v>
      </c>
      <c r="AN1148">
        <f>CORREL(Table1[YearsAtCompany],AK1148:AK2617)</f>
        <v>1.0570533782928068E-2</v>
      </c>
      <c r="AO1148">
        <f t="shared" si="17"/>
        <v>0</v>
      </c>
    </row>
    <row r="1149" spans="1:41" x14ac:dyDescent="0.25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  <c r="AK1149" s="4">
        <f>IF(Table1[[#This Row],[Attrition]]="Yes", 1,0)</f>
        <v>0</v>
      </c>
      <c r="AL1149">
        <f>CORREL(Table1[Age],AK1149:AK2618)</f>
        <v>-2.1641217394684647E-2</v>
      </c>
      <c r="AM1149">
        <f>CORREL(Table1[MonthlyIncome],AK1149:AK2618)</f>
        <v>-1.4051965228814094E-2</v>
      </c>
      <c r="AN1149">
        <f>CORREL(Table1[YearsAtCompany],AK1149:AK2618)</f>
        <v>8.0047890786039147E-2</v>
      </c>
      <c r="AO1149">
        <f t="shared" si="17"/>
        <v>0</v>
      </c>
    </row>
    <row r="1150" spans="1:41" x14ac:dyDescent="0.25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  <c r="AK1150" s="4">
        <f>IF(Table1[[#This Row],[Attrition]]="Yes", 1,0)</f>
        <v>0</v>
      </c>
      <c r="AL1150">
        <f>CORREL(Table1[Age],AK1150:AK2619)</f>
        <v>-6.2504284993623774E-2</v>
      </c>
      <c r="AM1150">
        <f>CORREL(Table1[MonthlyIncome],AK1150:AK2619)</f>
        <v>1.9979685340002065E-2</v>
      </c>
      <c r="AN1150">
        <f>CORREL(Table1[YearsAtCompany],AK1150:AK2619)</f>
        <v>2.0080573644414637E-2</v>
      </c>
      <c r="AO1150">
        <f t="shared" si="17"/>
        <v>0</v>
      </c>
    </row>
    <row r="1151" spans="1:41" x14ac:dyDescent="0.25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  <c r="AK1151" s="4">
        <f>IF(Table1[[#This Row],[Attrition]]="Yes", 1,0)</f>
        <v>0</v>
      </c>
      <c r="AL1151">
        <f>CORREL(Table1[Age],AK1151:AK2620)</f>
        <v>-1.4839871189655339E-2</v>
      </c>
      <c r="AM1151">
        <f>CORREL(Table1[MonthlyIncome],AK1151:AK2620)</f>
        <v>-3.8484498103278655E-2</v>
      </c>
      <c r="AN1151">
        <f>CORREL(Table1[YearsAtCompany],AK1151:AK2620)</f>
        <v>-3.4709204718280526E-2</v>
      </c>
      <c r="AO1151">
        <f t="shared" si="17"/>
        <v>0</v>
      </c>
    </row>
    <row r="1152" spans="1:41" x14ac:dyDescent="0.25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  <c r="AK1152" s="4">
        <f>IF(Table1[[#This Row],[Attrition]]="Yes", 1,0)</f>
        <v>0</v>
      </c>
      <c r="AL1152">
        <f>CORREL(Table1[Age],AK1152:AK2621)</f>
        <v>6.9847100072395238E-2</v>
      </c>
      <c r="AM1152">
        <f>CORREL(Table1[MonthlyIncome],AK1152:AK2621)</f>
        <v>-3.0154415755629507E-2</v>
      </c>
      <c r="AN1152">
        <f>CORREL(Table1[YearsAtCompany],AK1152:AK2621)</f>
        <v>-0.10556930886201474</v>
      </c>
      <c r="AO1152">
        <f t="shared" si="17"/>
        <v>0</v>
      </c>
    </row>
    <row r="1153" spans="1:41" x14ac:dyDescent="0.25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  <c r="AK1153" s="4">
        <f>IF(Table1[[#This Row],[Attrition]]="Yes", 1,0)</f>
        <v>0</v>
      </c>
      <c r="AL1153">
        <f>CORREL(Table1[Age],AK1153:AK2622)</f>
        <v>-2.5461522442608381E-2</v>
      </c>
      <c r="AM1153">
        <f>CORREL(Table1[MonthlyIncome],AK1153:AK2622)</f>
        <v>-1.5544211230351323E-3</v>
      </c>
      <c r="AN1153">
        <f>CORREL(Table1[YearsAtCompany],AK1153:AK2622)</f>
        <v>-2.8951402169987799E-2</v>
      </c>
      <c r="AO1153">
        <f t="shared" si="17"/>
        <v>0</v>
      </c>
    </row>
    <row r="1154" spans="1:41" x14ac:dyDescent="0.25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  <c r="AK1154" s="4">
        <f>IF(Table1[[#This Row],[Attrition]]="Yes", 1,0)</f>
        <v>0</v>
      </c>
      <c r="AL1154">
        <f>CORREL(Table1[Age],AK1154:AK2623)</f>
        <v>8.7310487861762681E-3</v>
      </c>
      <c r="AM1154">
        <f>CORREL(Table1[MonthlyIncome],AK1154:AK2623)</f>
        <v>3.3105457569275631E-2</v>
      </c>
      <c r="AN1154">
        <f>CORREL(Table1[YearsAtCompany],AK1154:AK2623)</f>
        <v>2.6520087791058206E-2</v>
      </c>
      <c r="AO1154">
        <f t="shared" si="17"/>
        <v>0</v>
      </c>
    </row>
    <row r="1155" spans="1:41" x14ac:dyDescent="0.25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  <c r="AK1155" s="4">
        <f>IF(Table1[[#This Row],[Attrition]]="Yes", 1,0)</f>
        <v>1</v>
      </c>
      <c r="AL1155">
        <f>CORREL(Table1[Age],AK1155:AK2624)</f>
        <v>-3.8211431566568296E-2</v>
      </c>
      <c r="AM1155">
        <f>CORREL(Table1[MonthlyIncome],AK1155:AK2624)</f>
        <v>-8.1772370090049451E-2</v>
      </c>
      <c r="AN1155">
        <f>CORREL(Table1[YearsAtCompany],AK1155:AK2624)</f>
        <v>1.487975427365121E-2</v>
      </c>
      <c r="AO1155">
        <f t="shared" ref="AO1155:AO1218" si="18">ABS(AK1155)</f>
        <v>1</v>
      </c>
    </row>
    <row r="1156" spans="1:41" x14ac:dyDescent="0.25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  <c r="AK1156" s="4">
        <f>IF(Table1[[#This Row],[Attrition]]="Yes", 1,0)</f>
        <v>0</v>
      </c>
      <c r="AL1156">
        <f>CORREL(Table1[Age],AK1156:AK2625)</f>
        <v>-3.4832261608170476E-2</v>
      </c>
      <c r="AM1156">
        <f>CORREL(Table1[MonthlyIncome],AK1156:AK2625)</f>
        <v>-6.4528985384150556E-2</v>
      </c>
      <c r="AN1156">
        <f>CORREL(Table1[YearsAtCompany],AK1156:AK2625)</f>
        <v>-8.4679928531291693E-2</v>
      </c>
      <c r="AO1156">
        <f t="shared" si="18"/>
        <v>0</v>
      </c>
    </row>
    <row r="1157" spans="1:41" x14ac:dyDescent="0.25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  <c r="AK1157" s="4">
        <f>IF(Table1[[#This Row],[Attrition]]="Yes", 1,0)</f>
        <v>0</v>
      </c>
      <c r="AL1157">
        <f>CORREL(Table1[Age],AK1157:AK2626)</f>
        <v>1.1758645468291761E-2</v>
      </c>
      <c r="AM1157">
        <f>CORREL(Table1[MonthlyIncome],AK1157:AK2626)</f>
        <v>-8.1156045554123216E-2</v>
      </c>
      <c r="AN1157">
        <f>CORREL(Table1[YearsAtCompany],AK1157:AK2626)</f>
        <v>-5.0310439268746295E-2</v>
      </c>
      <c r="AO1157">
        <f t="shared" si="18"/>
        <v>0</v>
      </c>
    </row>
    <row r="1158" spans="1:41" x14ac:dyDescent="0.25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  <c r="AK1158" s="4">
        <f>IF(Table1[[#This Row],[Attrition]]="Yes", 1,0)</f>
        <v>0</v>
      </c>
      <c r="AL1158">
        <f>CORREL(Table1[Age],AK1158:AK2627)</f>
        <v>4.9249596564286319E-2</v>
      </c>
      <c r="AM1158">
        <f>CORREL(Table1[MonthlyIncome],AK1158:AK2627)</f>
        <v>-4.2133669300403298E-2</v>
      </c>
      <c r="AN1158">
        <f>CORREL(Table1[YearsAtCompany],AK1158:AK2627)</f>
        <v>-8.6502252593934903E-2</v>
      </c>
      <c r="AO1158">
        <f t="shared" si="18"/>
        <v>0</v>
      </c>
    </row>
    <row r="1159" spans="1:41" x14ac:dyDescent="0.25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  <c r="AK1159" s="4">
        <f>IF(Table1[[#This Row],[Attrition]]="Yes", 1,0)</f>
        <v>0</v>
      </c>
      <c r="AL1159">
        <f>CORREL(Table1[Age],AK1159:AK2628)</f>
        <v>8.1170044485993562E-2</v>
      </c>
      <c r="AM1159">
        <f>CORREL(Table1[MonthlyIncome],AK1159:AK2628)</f>
        <v>2.2354301702724379E-2</v>
      </c>
      <c r="AN1159">
        <f>CORREL(Table1[YearsAtCompany],AK1159:AK2628)</f>
        <v>2.4194311617803461E-2</v>
      </c>
      <c r="AO1159">
        <f t="shared" si="18"/>
        <v>0</v>
      </c>
    </row>
    <row r="1160" spans="1:41" x14ac:dyDescent="0.25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  <c r="AK1160" s="4">
        <f>IF(Table1[[#This Row],[Attrition]]="Yes", 1,0)</f>
        <v>0</v>
      </c>
      <c r="AL1160">
        <f>CORREL(Table1[Age],AK1160:AK2629)</f>
        <v>-9.3193000921239363E-4</v>
      </c>
      <c r="AM1160">
        <f>CORREL(Table1[MonthlyIncome],AK1160:AK2629)</f>
        <v>-4.5875345196445235E-3</v>
      </c>
      <c r="AN1160">
        <f>CORREL(Table1[YearsAtCompany],AK1160:AK2629)</f>
        <v>-4.7566133984549607E-3</v>
      </c>
      <c r="AO1160">
        <f t="shared" si="18"/>
        <v>0</v>
      </c>
    </row>
    <row r="1161" spans="1:41" x14ac:dyDescent="0.25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  <c r="AK1161" s="4">
        <f>IF(Table1[[#This Row],[Attrition]]="Yes", 1,0)</f>
        <v>0</v>
      </c>
      <c r="AL1161">
        <f>CORREL(Table1[Age],AK1161:AK2630)</f>
        <v>2.6019326825808608E-2</v>
      </c>
      <c r="AM1161">
        <f>CORREL(Table1[MonthlyIncome],AK1161:AK2630)</f>
        <v>0.10507169724990706</v>
      </c>
      <c r="AN1161">
        <f>CORREL(Table1[YearsAtCompany],AK1161:AK2630)</f>
        <v>0.17578293527341518</v>
      </c>
      <c r="AO1161">
        <f t="shared" si="18"/>
        <v>0</v>
      </c>
    </row>
    <row r="1162" spans="1:41" x14ac:dyDescent="0.25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  <c r="AK1162" s="4">
        <f>IF(Table1[[#This Row],[Attrition]]="Yes", 1,0)</f>
        <v>0</v>
      </c>
      <c r="AL1162">
        <f>CORREL(Table1[Age],AK1162:AK2631)</f>
        <v>2.1462357218892938E-3</v>
      </c>
      <c r="AM1162">
        <f>CORREL(Table1[MonthlyIncome],AK1162:AK2631)</f>
        <v>1.7257062225448927E-2</v>
      </c>
      <c r="AN1162">
        <f>CORREL(Table1[YearsAtCompany],AK1162:AK2631)</f>
        <v>6.1975875700642766E-2</v>
      </c>
      <c r="AO1162">
        <f t="shared" si="18"/>
        <v>0</v>
      </c>
    </row>
    <row r="1163" spans="1:41" x14ac:dyDescent="0.25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  <c r="AK1163" s="4">
        <f>IF(Table1[[#This Row],[Attrition]]="Yes", 1,0)</f>
        <v>0</v>
      </c>
      <c r="AL1163">
        <f>CORREL(Table1[Age],AK1163:AK2632)</f>
        <v>9.9135554287490379E-2</v>
      </c>
      <c r="AM1163">
        <f>CORREL(Table1[MonthlyIncome],AK1163:AK2632)</f>
        <v>-5.8221414862069804E-3</v>
      </c>
      <c r="AN1163">
        <f>CORREL(Table1[YearsAtCompany],AK1163:AK2632)</f>
        <v>8.1713908354213188E-2</v>
      </c>
      <c r="AO1163">
        <f t="shared" si="18"/>
        <v>0</v>
      </c>
    </row>
    <row r="1164" spans="1:41" x14ac:dyDescent="0.25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  <c r="AK1164" s="4">
        <f>IF(Table1[[#This Row],[Attrition]]="Yes", 1,0)</f>
        <v>1</v>
      </c>
      <c r="AL1164">
        <f>CORREL(Table1[Age],AK1164:AK2633)</f>
        <v>-4.8956637276454676E-2</v>
      </c>
      <c r="AM1164">
        <f>CORREL(Table1[MonthlyIncome],AK1164:AK2633)</f>
        <v>-2.1931775433996801E-2</v>
      </c>
      <c r="AN1164">
        <f>CORREL(Table1[YearsAtCompany],AK1164:AK2633)</f>
        <v>-6.0069729078360182E-2</v>
      </c>
      <c r="AO1164">
        <f t="shared" si="18"/>
        <v>1</v>
      </c>
    </row>
    <row r="1165" spans="1:41" x14ac:dyDescent="0.25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  <c r="AK1165" s="4">
        <f>IF(Table1[[#This Row],[Attrition]]="Yes", 1,0)</f>
        <v>0</v>
      </c>
      <c r="AL1165">
        <f>CORREL(Table1[Age],AK1165:AK2634)</f>
        <v>-0.10962917422698991</v>
      </c>
      <c r="AM1165">
        <f>CORREL(Table1[MonthlyIncome],AK1165:AK2634)</f>
        <v>-6.9945244256918726E-2</v>
      </c>
      <c r="AN1165">
        <f>CORREL(Table1[YearsAtCompany],AK1165:AK2634)</f>
        <v>-6.5044126855447817E-2</v>
      </c>
      <c r="AO1165">
        <f t="shared" si="18"/>
        <v>0</v>
      </c>
    </row>
    <row r="1166" spans="1:41" x14ac:dyDescent="0.25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  <c r="AK1166" s="4">
        <f>IF(Table1[[#This Row],[Attrition]]="Yes", 1,0)</f>
        <v>0</v>
      </c>
      <c r="AL1166">
        <f>CORREL(Table1[Age],AK1166:AK2635)</f>
        <v>2.3427051722774352E-2</v>
      </c>
      <c r="AM1166">
        <f>CORREL(Table1[MonthlyIncome],AK1166:AK2635)</f>
        <v>2.0758866511468767E-2</v>
      </c>
      <c r="AN1166">
        <f>CORREL(Table1[YearsAtCompany],AK1166:AK2635)</f>
        <v>2.9903277038641075E-2</v>
      </c>
      <c r="AO1166">
        <f t="shared" si="18"/>
        <v>0</v>
      </c>
    </row>
    <row r="1167" spans="1:41" x14ac:dyDescent="0.25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  <c r="AK1167" s="4">
        <f>IF(Table1[[#This Row],[Attrition]]="Yes", 1,0)</f>
        <v>0</v>
      </c>
      <c r="AL1167">
        <f>CORREL(Table1[Age],AK1167:AK2636)</f>
        <v>9.5679436596988517E-3</v>
      </c>
      <c r="AM1167">
        <f>CORREL(Table1[MonthlyIncome],AK1167:AK2636)</f>
        <v>-4.0117434368119077E-3</v>
      </c>
      <c r="AN1167">
        <f>CORREL(Table1[YearsAtCompany],AK1167:AK2636)</f>
        <v>-3.6472368124377624E-2</v>
      </c>
      <c r="AO1167">
        <f t="shared" si="18"/>
        <v>0</v>
      </c>
    </row>
    <row r="1168" spans="1:41" x14ac:dyDescent="0.25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  <c r="AK1168" s="4">
        <f>IF(Table1[[#This Row],[Attrition]]="Yes", 1,0)</f>
        <v>0</v>
      </c>
      <c r="AL1168">
        <f>CORREL(Table1[Age],AK1168:AK2637)</f>
        <v>-1.0712551269294757E-2</v>
      </c>
      <c r="AM1168">
        <f>CORREL(Table1[MonthlyIncome],AK1168:AK2637)</f>
        <v>-1.9744727712097256E-2</v>
      </c>
      <c r="AN1168">
        <f>CORREL(Table1[YearsAtCompany],AK1168:AK2637)</f>
        <v>-4.268061732032466E-2</v>
      </c>
      <c r="AO1168">
        <f t="shared" si="18"/>
        <v>0</v>
      </c>
    </row>
    <row r="1169" spans="1:41" x14ac:dyDescent="0.25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  <c r="AK1169" s="4">
        <f>IF(Table1[[#This Row],[Attrition]]="Yes", 1,0)</f>
        <v>1</v>
      </c>
      <c r="AL1169">
        <f>CORREL(Table1[Age],AK1169:AK2638)</f>
        <v>6.6684592175516394E-2</v>
      </c>
      <c r="AM1169">
        <f>CORREL(Table1[MonthlyIncome],AK1169:AK2638)</f>
        <v>9.9123391794175966E-2</v>
      </c>
      <c r="AN1169">
        <f>CORREL(Table1[YearsAtCompany],AK1169:AK2638)</f>
        <v>-2.477158500186645E-2</v>
      </c>
      <c r="AO1169">
        <f t="shared" si="18"/>
        <v>1</v>
      </c>
    </row>
    <row r="1170" spans="1:41" x14ac:dyDescent="0.25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  <c r="AK1170" s="4">
        <f>IF(Table1[[#This Row],[Attrition]]="Yes", 1,0)</f>
        <v>0</v>
      </c>
      <c r="AL1170">
        <f>CORREL(Table1[Age],AK1170:AK2639)</f>
        <v>9.932163768922208E-3</v>
      </c>
      <c r="AM1170">
        <f>CORREL(Table1[MonthlyIncome],AK1170:AK2639)</f>
        <v>9.4303276612137679E-2</v>
      </c>
      <c r="AN1170">
        <f>CORREL(Table1[YearsAtCompany],AK1170:AK2639)</f>
        <v>7.5001129908229561E-2</v>
      </c>
      <c r="AO1170">
        <f t="shared" si="18"/>
        <v>0</v>
      </c>
    </row>
    <row r="1171" spans="1:41" x14ac:dyDescent="0.25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  <c r="AK1171" s="4">
        <f>IF(Table1[[#This Row],[Attrition]]="Yes", 1,0)</f>
        <v>0</v>
      </c>
      <c r="AL1171">
        <f>CORREL(Table1[Age],AK1171:AK2640)</f>
        <v>-3.4686579220097026E-2</v>
      </c>
      <c r="AM1171">
        <f>CORREL(Table1[MonthlyIncome],AK1171:AK2640)</f>
        <v>-0.10066988599112806</v>
      </c>
      <c r="AN1171">
        <f>CORREL(Table1[YearsAtCompany],AK1171:AK2640)</f>
        <v>-0.10210235982997147</v>
      </c>
      <c r="AO1171">
        <f t="shared" si="18"/>
        <v>0</v>
      </c>
    </row>
    <row r="1172" spans="1:41" x14ac:dyDescent="0.25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  <c r="AK1172" s="4">
        <f>IF(Table1[[#This Row],[Attrition]]="Yes", 1,0)</f>
        <v>0</v>
      </c>
      <c r="AL1172">
        <f>CORREL(Table1[Age],AK1172:AK2641)</f>
        <v>-2.2480042394145134E-3</v>
      </c>
      <c r="AM1172">
        <f>CORREL(Table1[MonthlyIncome],AK1172:AK2641)</f>
        <v>-0.1161726320585256</v>
      </c>
      <c r="AN1172">
        <f>CORREL(Table1[YearsAtCompany],AK1172:AK2641)</f>
        <v>-6.6441888171879293E-2</v>
      </c>
      <c r="AO1172">
        <f t="shared" si="18"/>
        <v>0</v>
      </c>
    </row>
    <row r="1173" spans="1:41" x14ac:dyDescent="0.25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  <c r="AK1173" s="4">
        <f>IF(Table1[[#This Row],[Attrition]]="Yes", 1,0)</f>
        <v>1</v>
      </c>
      <c r="AL1173">
        <f>CORREL(Table1[Age],AK1173:AK2642)</f>
        <v>3.7612151589558633E-3</v>
      </c>
      <c r="AM1173">
        <f>CORREL(Table1[MonthlyIncome],AK1173:AK2642)</f>
        <v>-3.3101630581445329E-2</v>
      </c>
      <c r="AN1173">
        <f>CORREL(Table1[YearsAtCompany],AK1173:AK2642)</f>
        <v>-3.6441882089372678E-2</v>
      </c>
      <c r="AO1173">
        <f t="shared" si="18"/>
        <v>1</v>
      </c>
    </row>
    <row r="1174" spans="1:41" x14ac:dyDescent="0.25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  <c r="AK1174" s="4">
        <f>IF(Table1[[#This Row],[Attrition]]="Yes", 1,0)</f>
        <v>0</v>
      </c>
      <c r="AL1174">
        <f>CORREL(Table1[Age],AK1174:AK2643)</f>
        <v>7.9583808691108988E-3</v>
      </c>
      <c r="AM1174">
        <f>CORREL(Table1[MonthlyIncome],AK1174:AK2643)</f>
        <v>-1.3213818656244131E-2</v>
      </c>
      <c r="AN1174">
        <f>CORREL(Table1[YearsAtCompany],AK1174:AK2643)</f>
        <v>3.713051458595934E-2</v>
      </c>
      <c r="AO1174">
        <f t="shared" si="18"/>
        <v>0</v>
      </c>
    </row>
    <row r="1175" spans="1:41" x14ac:dyDescent="0.25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  <c r="AK1175" s="4">
        <f>IF(Table1[[#This Row],[Attrition]]="Yes", 1,0)</f>
        <v>0</v>
      </c>
      <c r="AL1175">
        <f>CORREL(Table1[Age],AK1175:AK2644)</f>
        <v>-1.4818281912335268E-3</v>
      </c>
      <c r="AM1175">
        <f>CORREL(Table1[MonthlyIncome],AK1175:AK2644)</f>
        <v>-1.1511277121051723E-2</v>
      </c>
      <c r="AN1175">
        <f>CORREL(Table1[YearsAtCompany],AK1175:AK2644)</f>
        <v>3.2259491774075395E-2</v>
      </c>
      <c r="AO1175">
        <f t="shared" si="18"/>
        <v>0</v>
      </c>
    </row>
    <row r="1176" spans="1:41" x14ac:dyDescent="0.25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  <c r="AK1176" s="4">
        <f>IF(Table1[[#This Row],[Attrition]]="Yes", 1,0)</f>
        <v>0</v>
      </c>
      <c r="AL1176">
        <f>CORREL(Table1[Age],AK1176:AK2645)</f>
        <v>7.4375896434612939E-4</v>
      </c>
      <c r="AM1176">
        <f>CORREL(Table1[MonthlyIncome],AK1176:AK2645)</f>
        <v>5.0450851060724451E-2</v>
      </c>
      <c r="AN1176">
        <f>CORREL(Table1[YearsAtCompany],AK1176:AK2645)</f>
        <v>5.0660426579855401E-2</v>
      </c>
      <c r="AO1176">
        <f t="shared" si="18"/>
        <v>0</v>
      </c>
    </row>
    <row r="1177" spans="1:41" x14ac:dyDescent="0.25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  <c r="AK1177" s="4">
        <f>IF(Table1[[#This Row],[Attrition]]="Yes", 1,0)</f>
        <v>0</v>
      </c>
      <c r="AL1177">
        <f>CORREL(Table1[Age],AK1177:AK2646)</f>
        <v>0.11668417673112812</v>
      </c>
      <c r="AM1177">
        <f>CORREL(Table1[MonthlyIncome],AK1177:AK2646)</f>
        <v>0.11296735487287274</v>
      </c>
      <c r="AN1177">
        <f>CORREL(Table1[YearsAtCompany],AK1177:AK2646)</f>
        <v>7.0716212625918179E-2</v>
      </c>
      <c r="AO1177">
        <f t="shared" si="18"/>
        <v>0</v>
      </c>
    </row>
    <row r="1178" spans="1:41" x14ac:dyDescent="0.25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  <c r="AK1178" s="4">
        <f>IF(Table1[[#This Row],[Attrition]]="Yes", 1,0)</f>
        <v>0</v>
      </c>
      <c r="AL1178">
        <f>CORREL(Table1[Age],AK1178:AK2647)</f>
        <v>0.14114986488664985</v>
      </c>
      <c r="AM1178">
        <f>CORREL(Table1[MonthlyIncome],AK1178:AK2647)</f>
        <v>1.3244348971559903E-2</v>
      </c>
      <c r="AN1178">
        <f>CORREL(Table1[YearsAtCompany],AK1178:AK2647)</f>
        <v>2.158080745273044E-2</v>
      </c>
      <c r="AO1178">
        <f t="shared" si="18"/>
        <v>0</v>
      </c>
    </row>
    <row r="1179" spans="1:41" x14ac:dyDescent="0.25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  <c r="AK1179" s="4">
        <f>IF(Table1[[#This Row],[Attrition]]="Yes", 1,0)</f>
        <v>0</v>
      </c>
      <c r="AL1179">
        <f>CORREL(Table1[Age],AK1179:AK2648)</f>
        <v>-9.751632342700961E-2</v>
      </c>
      <c r="AM1179">
        <f>CORREL(Table1[MonthlyIncome],AK1179:AK2648)</f>
        <v>-4.9556018760294841E-2</v>
      </c>
      <c r="AN1179">
        <f>CORREL(Table1[YearsAtCompany],AK1179:AK2648)</f>
        <v>-7.6719975322226394E-2</v>
      </c>
      <c r="AO1179">
        <f t="shared" si="18"/>
        <v>0</v>
      </c>
    </row>
    <row r="1180" spans="1:41" x14ac:dyDescent="0.25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  <c r="AK1180" s="4">
        <f>IF(Table1[[#This Row],[Attrition]]="Yes", 1,0)</f>
        <v>0</v>
      </c>
      <c r="AL1180">
        <f>CORREL(Table1[Age],AK1180:AK2649)</f>
        <v>-4.635467287475914E-2</v>
      </c>
      <c r="AM1180">
        <f>CORREL(Table1[MonthlyIncome],AK1180:AK2649)</f>
        <v>-2.2550007596512021E-2</v>
      </c>
      <c r="AN1180">
        <f>CORREL(Table1[YearsAtCompany],AK1180:AK2649)</f>
        <v>7.7898758952597265E-3</v>
      </c>
      <c r="AO1180">
        <f t="shared" si="18"/>
        <v>0</v>
      </c>
    </row>
    <row r="1181" spans="1:41" x14ac:dyDescent="0.25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  <c r="AK1181" s="4">
        <f>IF(Table1[[#This Row],[Attrition]]="Yes", 1,0)</f>
        <v>0</v>
      </c>
      <c r="AL1181">
        <f>CORREL(Table1[Age],AK1181:AK2650)</f>
        <v>-5.7855695782013231E-2</v>
      </c>
      <c r="AM1181">
        <f>CORREL(Table1[MonthlyIncome],AK1181:AK2650)</f>
        <v>7.2236604773886728E-2</v>
      </c>
      <c r="AN1181">
        <f>CORREL(Table1[YearsAtCompany],AK1181:AK2650)</f>
        <v>4.6526611996247122E-2</v>
      </c>
      <c r="AO1181">
        <f t="shared" si="18"/>
        <v>0</v>
      </c>
    </row>
    <row r="1182" spans="1:41" x14ac:dyDescent="0.25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  <c r="AK1182" s="4">
        <f>IF(Table1[[#This Row],[Attrition]]="Yes", 1,0)</f>
        <v>0</v>
      </c>
      <c r="AL1182">
        <f>CORREL(Table1[Age],AK1182:AK2651)</f>
        <v>6.2928375646590567E-2</v>
      </c>
      <c r="AM1182">
        <f>CORREL(Table1[MonthlyIncome],AK1182:AK2651)</f>
        <v>-4.930712687610464E-2</v>
      </c>
      <c r="AN1182">
        <f>CORREL(Table1[YearsAtCompany],AK1182:AK2651)</f>
        <v>-5.448890326226765E-2</v>
      </c>
      <c r="AO1182">
        <f t="shared" si="18"/>
        <v>0</v>
      </c>
    </row>
    <row r="1183" spans="1:41" x14ac:dyDescent="0.25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  <c r="AK1183" s="4">
        <f>IF(Table1[[#This Row],[Attrition]]="Yes", 1,0)</f>
        <v>0</v>
      </c>
      <c r="AL1183">
        <f>CORREL(Table1[Age],AK1183:AK2652)</f>
        <v>3.1759637352610601E-2</v>
      </c>
      <c r="AM1183">
        <f>CORREL(Table1[MonthlyIncome],AK1183:AK2652)</f>
        <v>7.1790001251676047E-2</v>
      </c>
      <c r="AN1183">
        <f>CORREL(Table1[YearsAtCompany],AK1183:AK2652)</f>
        <v>3.5165776202203076E-2</v>
      </c>
      <c r="AO1183">
        <f t="shared" si="18"/>
        <v>0</v>
      </c>
    </row>
    <row r="1184" spans="1:41" x14ac:dyDescent="0.25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  <c r="AK1184" s="4">
        <f>IF(Table1[[#This Row],[Attrition]]="Yes", 1,0)</f>
        <v>0</v>
      </c>
      <c r="AL1184">
        <f>CORREL(Table1[Age],AK1184:AK2653)</f>
        <v>2.1829467095019289E-2</v>
      </c>
      <c r="AM1184">
        <f>CORREL(Table1[MonthlyIncome],AK1184:AK2653)</f>
        <v>-1.4196030242788841E-2</v>
      </c>
      <c r="AN1184">
        <f>CORREL(Table1[YearsAtCompany],AK1184:AK2653)</f>
        <v>-1.1577181117699547E-2</v>
      </c>
      <c r="AO1184">
        <f t="shared" si="18"/>
        <v>0</v>
      </c>
    </row>
    <row r="1185" spans="1:41" x14ac:dyDescent="0.25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  <c r="AK1185" s="4">
        <f>IF(Table1[[#This Row],[Attrition]]="Yes", 1,0)</f>
        <v>0</v>
      </c>
      <c r="AL1185">
        <f>CORREL(Table1[Age],AK1185:AK2654)</f>
        <v>-8.6526625119558831E-2</v>
      </c>
      <c r="AM1185">
        <f>CORREL(Table1[MonthlyIncome],AK1185:AK2654)</f>
        <v>-4.459794698599974E-2</v>
      </c>
      <c r="AN1185">
        <f>CORREL(Table1[YearsAtCompany],AK1185:AK2654)</f>
        <v>2.8866602459385944E-2</v>
      </c>
      <c r="AO1185">
        <f t="shared" si="18"/>
        <v>0</v>
      </c>
    </row>
    <row r="1186" spans="1:41" x14ac:dyDescent="0.25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  <c r="AK1186" s="4">
        <f>IF(Table1[[#This Row],[Attrition]]="Yes", 1,0)</f>
        <v>0</v>
      </c>
      <c r="AL1186">
        <f>CORREL(Table1[Age],AK1186:AK2655)</f>
        <v>-9.0779113798001437E-2</v>
      </c>
      <c r="AM1186">
        <f>CORREL(Table1[MonthlyIncome],AK1186:AK2655)</f>
        <v>-1.4721077267625943E-2</v>
      </c>
      <c r="AN1186">
        <f>CORREL(Table1[YearsAtCompany],AK1186:AK2655)</f>
        <v>-8.3142478577778331E-2</v>
      </c>
      <c r="AO1186">
        <f t="shared" si="18"/>
        <v>0</v>
      </c>
    </row>
    <row r="1187" spans="1:41" x14ac:dyDescent="0.25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  <c r="AK1187" s="4">
        <f>IF(Table1[[#This Row],[Attrition]]="Yes", 1,0)</f>
        <v>0</v>
      </c>
      <c r="AL1187">
        <f>CORREL(Table1[Age],AK1187:AK2656)</f>
        <v>-1.5369778300125855E-2</v>
      </c>
      <c r="AM1187">
        <f>CORREL(Table1[MonthlyIncome],AK1187:AK2656)</f>
        <v>7.1304542463795015E-2</v>
      </c>
      <c r="AN1187">
        <f>CORREL(Table1[YearsAtCompany],AK1187:AK2656)</f>
        <v>1.8196721752859045E-2</v>
      </c>
      <c r="AO1187">
        <f t="shared" si="18"/>
        <v>0</v>
      </c>
    </row>
    <row r="1188" spans="1:41" x14ac:dyDescent="0.25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  <c r="AK1188" s="4">
        <f>IF(Table1[[#This Row],[Attrition]]="Yes", 1,0)</f>
        <v>1</v>
      </c>
      <c r="AL1188">
        <f>CORREL(Table1[Age],AK1188:AK2657)</f>
        <v>0.17469297284756247</v>
      </c>
      <c r="AM1188">
        <f>CORREL(Table1[MonthlyIncome],AK1188:AK2657)</f>
        <v>2.9121488188228545E-2</v>
      </c>
      <c r="AN1188">
        <f>CORREL(Table1[YearsAtCompany],AK1188:AK2657)</f>
        <v>3.2534909488172691E-3</v>
      </c>
      <c r="AO1188">
        <f t="shared" si="18"/>
        <v>1</v>
      </c>
    </row>
    <row r="1189" spans="1:41" x14ac:dyDescent="0.25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  <c r="AK1189" s="4">
        <f>IF(Table1[[#This Row],[Attrition]]="Yes", 1,0)</f>
        <v>0</v>
      </c>
      <c r="AL1189">
        <f>CORREL(Table1[Age],AK1189:AK2658)</f>
        <v>-4.7566621105797173E-3</v>
      </c>
      <c r="AM1189">
        <f>CORREL(Table1[MonthlyIncome],AK1189:AK2658)</f>
        <v>-4.4290420484445307E-2</v>
      </c>
      <c r="AN1189">
        <f>CORREL(Table1[YearsAtCompany],AK1189:AK2658)</f>
        <v>8.6074922098911072E-2</v>
      </c>
      <c r="AO1189">
        <f t="shared" si="18"/>
        <v>0</v>
      </c>
    </row>
    <row r="1190" spans="1:41" x14ac:dyDescent="0.25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  <c r="AK1190" s="4">
        <f>IF(Table1[[#This Row],[Attrition]]="Yes", 1,0)</f>
        <v>0</v>
      </c>
      <c r="AL1190">
        <f>CORREL(Table1[Age],AK1190:AK2659)</f>
        <v>-5.4662663135274674E-2</v>
      </c>
      <c r="AM1190">
        <f>CORREL(Table1[MonthlyIncome],AK1190:AK2659)</f>
        <v>-7.4904524668500116E-2</v>
      </c>
      <c r="AN1190">
        <f>CORREL(Table1[YearsAtCompany],AK1190:AK2659)</f>
        <v>-6.0707957858352354E-2</v>
      </c>
      <c r="AO1190">
        <f t="shared" si="18"/>
        <v>0</v>
      </c>
    </row>
    <row r="1191" spans="1:41" x14ac:dyDescent="0.25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  <c r="AK1191" s="4">
        <f>IF(Table1[[#This Row],[Attrition]]="Yes", 1,0)</f>
        <v>0</v>
      </c>
      <c r="AL1191">
        <f>CORREL(Table1[Age],AK1191:AK2660)</f>
        <v>-0.10998964674026256</v>
      </c>
      <c r="AM1191">
        <f>CORREL(Table1[MonthlyIncome],AK1191:AK2660)</f>
        <v>-2.0555346267825139E-2</v>
      </c>
      <c r="AN1191">
        <f>CORREL(Table1[YearsAtCompany],AK1191:AK2660)</f>
        <v>-1.866235414570146E-2</v>
      </c>
      <c r="AO1191">
        <f t="shared" si="18"/>
        <v>0</v>
      </c>
    </row>
    <row r="1192" spans="1:41" x14ac:dyDescent="0.25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  <c r="AK1192" s="4">
        <f>IF(Table1[[#This Row],[Attrition]]="Yes", 1,0)</f>
        <v>0</v>
      </c>
      <c r="AL1192">
        <f>CORREL(Table1[Age],AK1192:AK2661)</f>
        <v>-3.2663364443448577E-2</v>
      </c>
      <c r="AM1192">
        <f>CORREL(Table1[MonthlyIncome],AK1192:AK2661)</f>
        <v>-8.6631065843643107E-2</v>
      </c>
      <c r="AN1192">
        <f>CORREL(Table1[YearsAtCompany],AK1192:AK2661)</f>
        <v>-0.11471041122068613</v>
      </c>
      <c r="AO1192">
        <f t="shared" si="18"/>
        <v>0</v>
      </c>
    </row>
    <row r="1193" spans="1:41" x14ac:dyDescent="0.25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  <c r="AK1193" s="4">
        <f>IF(Table1[[#This Row],[Attrition]]="Yes", 1,0)</f>
        <v>0</v>
      </c>
      <c r="AL1193">
        <f>CORREL(Table1[Age],AK1193:AK2662)</f>
        <v>5.7724430749584409E-2</v>
      </c>
      <c r="AM1193">
        <f>CORREL(Table1[MonthlyIncome],AK1193:AK2662)</f>
        <v>7.0261031202965715E-2</v>
      </c>
      <c r="AN1193">
        <f>CORREL(Table1[YearsAtCompany],AK1193:AK2662)</f>
        <v>8.7286086337638499E-2</v>
      </c>
      <c r="AO1193">
        <f t="shared" si="18"/>
        <v>0</v>
      </c>
    </row>
    <row r="1194" spans="1:41" x14ac:dyDescent="0.25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  <c r="AK1194" s="4">
        <f>IF(Table1[[#This Row],[Attrition]]="Yes", 1,0)</f>
        <v>0</v>
      </c>
      <c r="AL1194">
        <f>CORREL(Table1[Age],AK1194:AK2663)</f>
        <v>7.2101217998588998E-2</v>
      </c>
      <c r="AM1194">
        <f>CORREL(Table1[MonthlyIncome],AK1194:AK2663)</f>
        <v>-1.6262354613204976E-2</v>
      </c>
      <c r="AN1194">
        <f>CORREL(Table1[YearsAtCompany],AK1194:AK2663)</f>
        <v>-1.153632608279514E-2</v>
      </c>
      <c r="AO1194">
        <f t="shared" si="18"/>
        <v>0</v>
      </c>
    </row>
    <row r="1195" spans="1:41" x14ac:dyDescent="0.25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  <c r="AK1195" s="4">
        <f>IF(Table1[[#This Row],[Attrition]]="Yes", 1,0)</f>
        <v>0</v>
      </c>
      <c r="AL1195">
        <f>CORREL(Table1[Age],AK1195:AK2664)</f>
        <v>-8.0709592857622345E-2</v>
      </c>
      <c r="AM1195">
        <f>CORREL(Table1[MonthlyIncome],AK1195:AK2664)</f>
        <v>7.7876656972524966E-2</v>
      </c>
      <c r="AN1195">
        <f>CORREL(Table1[YearsAtCompany],AK1195:AK2664)</f>
        <v>6.9555217904983715E-2</v>
      </c>
      <c r="AO1195">
        <f t="shared" si="18"/>
        <v>0</v>
      </c>
    </row>
    <row r="1196" spans="1:41" x14ac:dyDescent="0.25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  <c r="AK1196" s="4">
        <f>IF(Table1[[#This Row],[Attrition]]="Yes", 1,0)</f>
        <v>0</v>
      </c>
      <c r="AL1196">
        <f>CORREL(Table1[Age],AK1196:AK2665)</f>
        <v>-2.8702738655608698E-2</v>
      </c>
      <c r="AM1196">
        <f>CORREL(Table1[MonthlyIncome],AK1196:AK2665)</f>
        <v>-4.2661467302344283E-2</v>
      </c>
      <c r="AN1196">
        <f>CORREL(Table1[YearsAtCompany],AK1196:AK2665)</f>
        <v>-5.7092979996623369E-2</v>
      </c>
      <c r="AO1196">
        <f t="shared" si="18"/>
        <v>0</v>
      </c>
    </row>
    <row r="1197" spans="1:41" x14ac:dyDescent="0.25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  <c r="AK1197" s="4">
        <f>IF(Table1[[#This Row],[Attrition]]="Yes", 1,0)</f>
        <v>0</v>
      </c>
      <c r="AL1197">
        <f>CORREL(Table1[Age],AK1197:AK2666)</f>
        <v>-2.6633171787096614E-2</v>
      </c>
      <c r="AM1197">
        <f>CORREL(Table1[MonthlyIncome],AK1197:AK2666)</f>
        <v>7.7635925100361385E-6</v>
      </c>
      <c r="AN1197">
        <f>CORREL(Table1[YearsAtCompany],AK1197:AK2666)</f>
        <v>-1.9817361004859104E-4</v>
      </c>
      <c r="AO1197">
        <f t="shared" si="18"/>
        <v>0</v>
      </c>
    </row>
    <row r="1198" spans="1:41" x14ac:dyDescent="0.25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  <c r="AK1198" s="4">
        <f>IF(Table1[[#This Row],[Attrition]]="Yes", 1,0)</f>
        <v>0</v>
      </c>
      <c r="AL1198">
        <f>CORREL(Table1[Age],AK1198:AK2667)</f>
        <v>4.9585774578781456E-3</v>
      </c>
      <c r="AM1198">
        <f>CORREL(Table1[MonthlyIncome],AK1198:AK2667)</f>
        <v>-5.5681767210211522E-2</v>
      </c>
      <c r="AN1198">
        <f>CORREL(Table1[YearsAtCompany],AK1198:AK2667)</f>
        <v>-8.6691764069571381E-2</v>
      </c>
      <c r="AO1198">
        <f t="shared" si="18"/>
        <v>0</v>
      </c>
    </row>
    <row r="1199" spans="1:41" x14ac:dyDescent="0.25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  <c r="AK1199" s="4">
        <f>IF(Table1[[#This Row],[Attrition]]="Yes", 1,0)</f>
        <v>0</v>
      </c>
      <c r="AL1199">
        <f>CORREL(Table1[Age],AK1199:AK2668)</f>
        <v>4.3657749051223729E-2</v>
      </c>
      <c r="AM1199">
        <f>CORREL(Table1[MonthlyIncome],AK1199:AK2668)</f>
        <v>-2.70233015078164E-2</v>
      </c>
      <c r="AN1199">
        <f>CORREL(Table1[YearsAtCompany],AK1199:AK2668)</f>
        <v>-9.0217763872301113E-2</v>
      </c>
      <c r="AO1199">
        <f t="shared" si="18"/>
        <v>0</v>
      </c>
    </row>
    <row r="1200" spans="1:41" x14ac:dyDescent="0.25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  <c r="AK1200" s="4">
        <f>IF(Table1[[#This Row],[Attrition]]="Yes", 1,0)</f>
        <v>0</v>
      </c>
      <c r="AL1200">
        <f>CORREL(Table1[Age],AK1200:AK2669)</f>
        <v>-7.6542834004472288E-2</v>
      </c>
      <c r="AM1200">
        <f>CORREL(Table1[MonthlyIncome],AK1200:AK2669)</f>
        <v>-6.6269928768778602E-2</v>
      </c>
      <c r="AN1200">
        <f>CORREL(Table1[YearsAtCompany],AK1200:AK2669)</f>
        <v>-8.7847591659809987E-2</v>
      </c>
      <c r="AO1200">
        <f t="shared" si="18"/>
        <v>0</v>
      </c>
    </row>
    <row r="1201" spans="1:41" x14ac:dyDescent="0.25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  <c r="AK1201" s="4">
        <f>IF(Table1[[#This Row],[Attrition]]="Yes", 1,0)</f>
        <v>0</v>
      </c>
      <c r="AL1201">
        <f>CORREL(Table1[Age],AK1201:AK2670)</f>
        <v>-7.0789557582219068E-2</v>
      </c>
      <c r="AM1201">
        <f>CORREL(Table1[MonthlyIncome],AK1201:AK2670)</f>
        <v>-0.15617124237104008</v>
      </c>
      <c r="AN1201">
        <f>CORREL(Table1[YearsAtCompany],AK1201:AK2670)</f>
        <v>-8.2862754621818871E-2</v>
      </c>
      <c r="AO1201">
        <f t="shared" si="18"/>
        <v>0</v>
      </c>
    </row>
    <row r="1202" spans="1:41" x14ac:dyDescent="0.25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  <c r="AK1202" s="4">
        <f>IF(Table1[[#This Row],[Attrition]]="Yes", 1,0)</f>
        <v>0</v>
      </c>
      <c r="AL1202">
        <f>CORREL(Table1[Age],AK1202:AK2671)</f>
        <v>4.7145530828330014E-2</v>
      </c>
      <c r="AM1202">
        <f>CORREL(Table1[MonthlyIncome],AK1202:AK2671)</f>
        <v>4.7878287986238707E-2</v>
      </c>
      <c r="AN1202">
        <f>CORREL(Table1[YearsAtCompany],AK1202:AK2671)</f>
        <v>0.13950184898349113</v>
      </c>
      <c r="AO1202">
        <f t="shared" si="18"/>
        <v>0</v>
      </c>
    </row>
    <row r="1203" spans="1:41" x14ac:dyDescent="0.25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  <c r="AK1203" s="4">
        <f>IF(Table1[[#This Row],[Attrition]]="Yes", 1,0)</f>
        <v>1</v>
      </c>
      <c r="AL1203">
        <f>CORREL(Table1[Age],AK1203:AK2672)</f>
        <v>5.1287848746430532E-2</v>
      </c>
      <c r="AM1203">
        <f>CORREL(Table1[MonthlyIncome],AK1203:AK2672)</f>
        <v>6.0245755274758818E-2</v>
      </c>
      <c r="AN1203">
        <f>CORREL(Table1[YearsAtCompany],AK1203:AK2672)</f>
        <v>9.2754202387399523E-2</v>
      </c>
      <c r="AO1203">
        <f t="shared" si="18"/>
        <v>1</v>
      </c>
    </row>
    <row r="1204" spans="1:41" x14ac:dyDescent="0.25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  <c r="AK1204" s="4">
        <f>IF(Table1[[#This Row],[Attrition]]="Yes", 1,0)</f>
        <v>0</v>
      </c>
      <c r="AL1204">
        <f>CORREL(Table1[Age],AK1204:AK2673)</f>
        <v>-2.623452565267716E-3</v>
      </c>
      <c r="AM1204">
        <f>CORREL(Table1[MonthlyIncome],AK1204:AK2673)</f>
        <v>-2.7983060235396227E-2</v>
      </c>
      <c r="AN1204">
        <f>CORREL(Table1[YearsAtCompany],AK1204:AK2673)</f>
        <v>-4.7156735761982968E-2</v>
      </c>
      <c r="AO1204">
        <f t="shared" si="18"/>
        <v>0</v>
      </c>
    </row>
    <row r="1205" spans="1:41" x14ac:dyDescent="0.25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  <c r="AK1205" s="4">
        <f>IF(Table1[[#This Row],[Attrition]]="Yes", 1,0)</f>
        <v>0</v>
      </c>
      <c r="AL1205">
        <f>CORREL(Table1[Age],AK1205:AK2674)</f>
        <v>7.2687109331625116E-2</v>
      </c>
      <c r="AM1205">
        <f>CORREL(Table1[MonthlyIncome],AK1205:AK2674)</f>
        <v>-4.3311951400410276E-2</v>
      </c>
      <c r="AN1205">
        <f>CORREL(Table1[YearsAtCompany],AK1205:AK2674)</f>
        <v>-1.6284009845358213E-2</v>
      </c>
      <c r="AO1205">
        <f t="shared" si="18"/>
        <v>0</v>
      </c>
    </row>
    <row r="1206" spans="1:41" x14ac:dyDescent="0.25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  <c r="AK1206" s="4">
        <f>IF(Table1[[#This Row],[Attrition]]="Yes", 1,0)</f>
        <v>1</v>
      </c>
      <c r="AL1206">
        <f>CORREL(Table1[Age],AK1206:AK2675)</f>
        <v>-5.3442142901304619E-2</v>
      </c>
      <c r="AM1206">
        <f>CORREL(Table1[MonthlyIncome],AK1206:AK2675)</f>
        <v>-1.415503830577174E-2</v>
      </c>
      <c r="AN1206">
        <f>CORREL(Table1[YearsAtCompany],AK1206:AK2675)</f>
        <v>-4.3913199257932377E-2</v>
      </c>
      <c r="AO1206">
        <f t="shared" si="18"/>
        <v>1</v>
      </c>
    </row>
    <row r="1207" spans="1:41" x14ac:dyDescent="0.25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  <c r="AK1207" s="4">
        <f>IF(Table1[[#This Row],[Attrition]]="Yes", 1,0)</f>
        <v>1</v>
      </c>
      <c r="AL1207">
        <f>CORREL(Table1[Age],AK1207:AK2676)</f>
        <v>-0.10658872695403564</v>
      </c>
      <c r="AM1207">
        <f>CORREL(Table1[MonthlyIncome],AK1207:AK2676)</f>
        <v>-5.8389255164672242E-2</v>
      </c>
      <c r="AN1207">
        <f>CORREL(Table1[YearsAtCompany],AK1207:AK2676)</f>
        <v>6.1667877080997281E-3</v>
      </c>
      <c r="AO1207">
        <f t="shared" si="18"/>
        <v>1</v>
      </c>
    </row>
    <row r="1208" spans="1:41" x14ac:dyDescent="0.25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  <c r="AK1208" s="4">
        <f>IF(Table1[[#This Row],[Attrition]]="Yes", 1,0)</f>
        <v>0</v>
      </c>
      <c r="AL1208">
        <f>CORREL(Table1[Age],AK1208:AK2677)</f>
        <v>2.2634657807368303E-2</v>
      </c>
      <c r="AM1208">
        <f>CORREL(Table1[MonthlyIncome],AK1208:AK2677)</f>
        <v>-1.0150387677385565E-2</v>
      </c>
      <c r="AN1208">
        <f>CORREL(Table1[YearsAtCompany],AK1208:AK2677)</f>
        <v>-1.4359471771352106E-2</v>
      </c>
      <c r="AO1208">
        <f t="shared" si="18"/>
        <v>0</v>
      </c>
    </row>
    <row r="1209" spans="1:41" x14ac:dyDescent="0.25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  <c r="AK1209" s="4">
        <f>IF(Table1[[#This Row],[Attrition]]="Yes", 1,0)</f>
        <v>0</v>
      </c>
      <c r="AL1209">
        <f>CORREL(Table1[Age],AK1209:AK2678)</f>
        <v>0.10029853350016046</v>
      </c>
      <c r="AM1209">
        <f>CORREL(Table1[MonthlyIncome],AK1209:AK2678)</f>
        <v>0.22365558146626499</v>
      </c>
      <c r="AN1209">
        <f>CORREL(Table1[YearsAtCompany],AK1209:AK2678)</f>
        <v>0.11519260658186806</v>
      </c>
      <c r="AO1209">
        <f t="shared" si="18"/>
        <v>0</v>
      </c>
    </row>
    <row r="1210" spans="1:41" x14ac:dyDescent="0.25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  <c r="AK1210" s="4">
        <f>IF(Table1[[#This Row],[Attrition]]="Yes", 1,0)</f>
        <v>0</v>
      </c>
      <c r="AL1210">
        <f>CORREL(Table1[Age],AK1210:AK2679)</f>
        <v>4.9390566097808522E-2</v>
      </c>
      <c r="AM1210">
        <f>CORREL(Table1[MonthlyIncome],AK1210:AK2679)</f>
        <v>4.4082542624374145E-2</v>
      </c>
      <c r="AN1210">
        <f>CORREL(Table1[YearsAtCompany],AK1210:AK2679)</f>
        <v>-3.2313316804280554E-2</v>
      </c>
      <c r="AO1210">
        <f t="shared" si="18"/>
        <v>0</v>
      </c>
    </row>
    <row r="1211" spans="1:41" x14ac:dyDescent="0.25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  <c r="AK1211" s="4">
        <f>IF(Table1[[#This Row],[Attrition]]="Yes", 1,0)</f>
        <v>0</v>
      </c>
      <c r="AL1211">
        <f>CORREL(Table1[Age],AK1211:AK2680)</f>
        <v>5.0634977496174724E-2</v>
      </c>
      <c r="AM1211">
        <f>CORREL(Table1[MonthlyIncome],AK1211:AK2680)</f>
        <v>6.1657646613124568E-2</v>
      </c>
      <c r="AN1211">
        <f>CORREL(Table1[YearsAtCompany],AK1211:AK2680)</f>
        <v>7.6750849421686293E-2</v>
      </c>
      <c r="AO1211">
        <f t="shared" si="18"/>
        <v>0</v>
      </c>
    </row>
    <row r="1212" spans="1:41" x14ac:dyDescent="0.25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  <c r="AK1212" s="4">
        <f>IF(Table1[[#This Row],[Attrition]]="Yes", 1,0)</f>
        <v>0</v>
      </c>
      <c r="AL1212">
        <f>CORREL(Table1[Age],AK1212:AK2681)</f>
        <v>7.5791543886583532E-3</v>
      </c>
      <c r="AM1212">
        <f>CORREL(Table1[MonthlyIncome],AK1212:AK2681)</f>
        <v>-4.4389083034487992E-2</v>
      </c>
      <c r="AN1212">
        <f>CORREL(Table1[YearsAtCompany],AK1212:AK2681)</f>
        <v>5.0627975578129383E-2</v>
      </c>
      <c r="AO1212">
        <f t="shared" si="18"/>
        <v>0</v>
      </c>
    </row>
    <row r="1213" spans="1:41" x14ac:dyDescent="0.25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  <c r="AK1213" s="4">
        <f>IF(Table1[[#This Row],[Attrition]]="Yes", 1,0)</f>
        <v>0</v>
      </c>
      <c r="AL1213">
        <f>CORREL(Table1[Age],AK1213:AK2682)</f>
        <v>-5.2867512890966695E-2</v>
      </c>
      <c r="AM1213">
        <f>CORREL(Table1[MonthlyIncome],AK1213:AK2682)</f>
        <v>-3.1679108367759119E-2</v>
      </c>
      <c r="AN1213">
        <f>CORREL(Table1[YearsAtCompany],AK1213:AK2682)</f>
        <v>-5.8885168567880682E-2</v>
      </c>
      <c r="AO1213">
        <f t="shared" si="18"/>
        <v>0</v>
      </c>
    </row>
    <row r="1214" spans="1:41" x14ac:dyDescent="0.25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  <c r="AK1214" s="4">
        <f>IF(Table1[[#This Row],[Attrition]]="Yes", 1,0)</f>
        <v>0</v>
      </c>
      <c r="AL1214">
        <f>CORREL(Table1[Age],AK1214:AK2683)</f>
        <v>0.14750882875264024</v>
      </c>
      <c r="AM1214">
        <f>CORREL(Table1[MonthlyIncome],AK1214:AK2683)</f>
        <v>-6.6923971837072396E-2</v>
      </c>
      <c r="AN1214">
        <f>CORREL(Table1[YearsAtCompany],AK1214:AK2683)</f>
        <v>-2.678320434870074E-2</v>
      </c>
      <c r="AO1214">
        <f t="shared" si="18"/>
        <v>0</v>
      </c>
    </row>
    <row r="1215" spans="1:41" x14ac:dyDescent="0.25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  <c r="AK1215" s="4">
        <f>IF(Table1[[#This Row],[Attrition]]="Yes", 1,0)</f>
        <v>1</v>
      </c>
      <c r="AL1215">
        <f>CORREL(Table1[Age],AK1215:AK2684)</f>
        <v>1.5013130913691003E-2</v>
      </c>
      <c r="AM1215">
        <f>CORREL(Table1[MonthlyIncome],AK1215:AK2684)</f>
        <v>-0.13070405700442372</v>
      </c>
      <c r="AN1215">
        <f>CORREL(Table1[YearsAtCompany],AK1215:AK2684)</f>
        <v>-5.6031483639419788E-2</v>
      </c>
      <c r="AO1215">
        <f t="shared" si="18"/>
        <v>1</v>
      </c>
    </row>
    <row r="1216" spans="1:41" x14ac:dyDescent="0.25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  <c r="AK1216" s="4">
        <f>IF(Table1[[#This Row],[Attrition]]="Yes", 1,0)</f>
        <v>0</v>
      </c>
      <c r="AL1216">
        <f>CORREL(Table1[Age],AK1216:AK2685)</f>
        <v>-1.1335904590313684E-2</v>
      </c>
      <c r="AM1216">
        <f>CORREL(Table1[MonthlyIncome],AK1216:AK2685)</f>
        <v>2.2272852409579567E-2</v>
      </c>
      <c r="AN1216">
        <f>CORREL(Table1[YearsAtCompany],AK1216:AK2685)</f>
        <v>7.9862442127834662E-3</v>
      </c>
      <c r="AO1216">
        <f t="shared" si="18"/>
        <v>0</v>
      </c>
    </row>
    <row r="1217" spans="1:41" x14ac:dyDescent="0.25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  <c r="AK1217" s="4">
        <f>IF(Table1[[#This Row],[Attrition]]="Yes", 1,0)</f>
        <v>0</v>
      </c>
      <c r="AL1217">
        <f>CORREL(Table1[Age],AK1217:AK2686)</f>
        <v>-8.3389386673762542E-2</v>
      </c>
      <c r="AM1217">
        <f>CORREL(Table1[MonthlyIncome],AK1217:AK2686)</f>
        <v>1.8532508261764849E-2</v>
      </c>
      <c r="AN1217">
        <f>CORREL(Table1[YearsAtCompany],AK1217:AK2686)</f>
        <v>8.0990827687594011E-2</v>
      </c>
      <c r="AO1217">
        <f t="shared" si="18"/>
        <v>0</v>
      </c>
    </row>
    <row r="1218" spans="1:41" x14ac:dyDescent="0.25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  <c r="AK1218" s="4">
        <f>IF(Table1[[#This Row],[Attrition]]="Yes", 1,0)</f>
        <v>0</v>
      </c>
      <c r="AL1218">
        <f>CORREL(Table1[Age],AK1218:AK2687)</f>
        <v>1.6449880712228304E-2</v>
      </c>
      <c r="AM1218">
        <f>CORREL(Table1[MonthlyIncome],AK1218:AK2687)</f>
        <v>-1.7825352523485109E-2</v>
      </c>
      <c r="AN1218">
        <f>CORREL(Table1[YearsAtCompany],AK1218:AK2687)</f>
        <v>-3.8125140880264329E-2</v>
      </c>
      <c r="AO1218">
        <f t="shared" si="18"/>
        <v>0</v>
      </c>
    </row>
    <row r="1219" spans="1:41" x14ac:dyDescent="0.25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  <c r="AK1219" s="4">
        <f>IF(Table1[[#This Row],[Attrition]]="Yes", 1,0)</f>
        <v>0</v>
      </c>
      <c r="AL1219">
        <f>CORREL(Table1[Age],AK1219:AK2688)</f>
        <v>3.5925926100729672E-2</v>
      </c>
      <c r="AM1219">
        <f>CORREL(Table1[MonthlyIncome],AK1219:AK2688)</f>
        <v>6.3445015134724045E-2</v>
      </c>
      <c r="AN1219">
        <f>CORREL(Table1[YearsAtCompany],AK1219:AK2688)</f>
        <v>5.773818541374421E-2</v>
      </c>
      <c r="AO1219">
        <f t="shared" ref="AO1219:AO1282" si="19">ABS(AK1219)</f>
        <v>0</v>
      </c>
    </row>
    <row r="1220" spans="1:41" x14ac:dyDescent="0.25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  <c r="AK1220" s="4">
        <f>IF(Table1[[#This Row],[Attrition]]="Yes", 1,0)</f>
        <v>0</v>
      </c>
      <c r="AL1220">
        <f>CORREL(Table1[Age],AK1220:AK2689)</f>
        <v>-1.8139099116268806E-2</v>
      </c>
      <c r="AM1220">
        <f>CORREL(Table1[MonthlyIncome],AK1220:AK2689)</f>
        <v>-3.7214800830047842E-2</v>
      </c>
      <c r="AN1220">
        <f>CORREL(Table1[YearsAtCompany],AK1220:AK2689)</f>
        <v>3.7730355470776245E-2</v>
      </c>
      <c r="AO1220">
        <f t="shared" si="19"/>
        <v>0</v>
      </c>
    </row>
    <row r="1221" spans="1:41" x14ac:dyDescent="0.25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  <c r="AK1221" s="4">
        <f>IF(Table1[[#This Row],[Attrition]]="Yes", 1,0)</f>
        <v>0</v>
      </c>
      <c r="AL1221">
        <f>CORREL(Table1[Age],AK1221:AK2690)</f>
        <v>-6.5863205904651487E-2</v>
      </c>
      <c r="AM1221">
        <f>CORREL(Table1[MonthlyIncome],AK1221:AK2690)</f>
        <v>-3.2963635922227286E-2</v>
      </c>
      <c r="AN1221">
        <f>CORREL(Table1[YearsAtCompany],AK1221:AK2690)</f>
        <v>-2.5258914779354914E-2</v>
      </c>
      <c r="AO1221">
        <f t="shared" si="19"/>
        <v>0</v>
      </c>
    </row>
    <row r="1222" spans="1:41" x14ac:dyDescent="0.25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  <c r="AK1222" s="4">
        <f>IF(Table1[[#This Row],[Attrition]]="Yes", 1,0)</f>
        <v>0</v>
      </c>
      <c r="AL1222">
        <f>CORREL(Table1[Age],AK1222:AK2691)</f>
        <v>-3.5547564480365799E-2</v>
      </c>
      <c r="AM1222">
        <f>CORREL(Table1[MonthlyIncome],AK1222:AK2691)</f>
        <v>-1.1566826692225711E-2</v>
      </c>
      <c r="AN1222">
        <f>CORREL(Table1[YearsAtCompany],AK1222:AK2691)</f>
        <v>-8.8213240687626621E-2</v>
      </c>
      <c r="AO1222">
        <f t="shared" si="19"/>
        <v>0</v>
      </c>
    </row>
    <row r="1223" spans="1:41" x14ac:dyDescent="0.25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  <c r="AK1223" s="4">
        <f>IF(Table1[[#This Row],[Attrition]]="Yes", 1,0)</f>
        <v>0</v>
      </c>
      <c r="AL1223">
        <f>CORREL(Table1[Age],AK1223:AK2692)</f>
        <v>9.4698457512634698E-2</v>
      </c>
      <c r="AM1223">
        <f>CORREL(Table1[MonthlyIncome],AK1223:AK2692)</f>
        <v>4.5318934455626715E-2</v>
      </c>
      <c r="AN1223">
        <f>CORREL(Table1[YearsAtCompany],AK1223:AK2692)</f>
        <v>-1.8011202814098223E-2</v>
      </c>
      <c r="AO1223">
        <f t="shared" si="19"/>
        <v>0</v>
      </c>
    </row>
    <row r="1224" spans="1:41" x14ac:dyDescent="0.25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  <c r="AK1224" s="4">
        <f>IF(Table1[[#This Row],[Attrition]]="Yes", 1,0)</f>
        <v>1</v>
      </c>
      <c r="AL1224">
        <f>CORREL(Table1[Age],AK1224:AK2693)</f>
        <v>2.8962144183791495E-2</v>
      </c>
      <c r="AM1224">
        <f>CORREL(Table1[MonthlyIncome],AK1224:AK2693)</f>
        <v>-5.8311953844957666E-2</v>
      </c>
      <c r="AN1224">
        <f>CORREL(Table1[YearsAtCompany],AK1224:AK2693)</f>
        <v>-2.5756864315419712E-2</v>
      </c>
      <c r="AO1224">
        <f t="shared" si="19"/>
        <v>1</v>
      </c>
    </row>
    <row r="1225" spans="1:41" x14ac:dyDescent="0.25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  <c r="AK1225" s="4">
        <f>IF(Table1[[#This Row],[Attrition]]="Yes", 1,0)</f>
        <v>1</v>
      </c>
      <c r="AL1225">
        <f>CORREL(Table1[Age],AK1225:AK2694)</f>
        <v>-2.8861078174308649E-2</v>
      </c>
      <c r="AM1225">
        <f>CORREL(Table1[MonthlyIncome],AK1225:AK2694)</f>
        <v>-8.0452424335612047E-2</v>
      </c>
      <c r="AN1225">
        <f>CORREL(Table1[YearsAtCompany],AK1225:AK2694)</f>
        <v>-7.010697347690302E-2</v>
      </c>
      <c r="AO1225">
        <f t="shared" si="19"/>
        <v>1</v>
      </c>
    </row>
    <row r="1226" spans="1:41" x14ac:dyDescent="0.25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  <c r="AK1226" s="4">
        <f>IF(Table1[[#This Row],[Attrition]]="Yes", 1,0)</f>
        <v>0</v>
      </c>
      <c r="AL1226">
        <f>CORREL(Table1[Age],AK1226:AK2695)</f>
        <v>-6.3008971025332081E-2</v>
      </c>
      <c r="AM1226">
        <f>CORREL(Table1[MonthlyIncome],AK1226:AK2695)</f>
        <v>-3.8943041830655292E-2</v>
      </c>
      <c r="AN1226">
        <f>CORREL(Table1[YearsAtCompany],AK1226:AK2695)</f>
        <v>-2.0816236419273985E-2</v>
      </c>
      <c r="AO1226">
        <f t="shared" si="19"/>
        <v>0</v>
      </c>
    </row>
    <row r="1227" spans="1:41" x14ac:dyDescent="0.25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  <c r="AK1227" s="4">
        <f>IF(Table1[[#This Row],[Attrition]]="Yes", 1,0)</f>
        <v>0</v>
      </c>
      <c r="AL1227">
        <f>CORREL(Table1[Age],AK1227:AK2696)</f>
        <v>-0.13159101013678282</v>
      </c>
      <c r="AM1227">
        <f>CORREL(Table1[MonthlyIncome],AK1227:AK2696)</f>
        <v>-9.7054469018660439E-2</v>
      </c>
      <c r="AN1227">
        <f>CORREL(Table1[YearsAtCompany],AK1227:AK2696)</f>
        <v>-5.7997974968494508E-2</v>
      </c>
      <c r="AO1227">
        <f t="shared" si="19"/>
        <v>0</v>
      </c>
    </row>
    <row r="1228" spans="1:41" x14ac:dyDescent="0.25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  <c r="AK1228" s="4">
        <f>IF(Table1[[#This Row],[Attrition]]="Yes", 1,0)</f>
        <v>0</v>
      </c>
      <c r="AL1228">
        <f>CORREL(Table1[Age],AK1228:AK2697)</f>
        <v>-0.13047907225504063</v>
      </c>
      <c r="AM1228">
        <f>CORREL(Table1[MonthlyIncome],AK1228:AK2697)</f>
        <v>2.4759177479222318E-2</v>
      </c>
      <c r="AN1228">
        <f>CORREL(Table1[YearsAtCompany],AK1228:AK2697)</f>
        <v>-4.5852284887219159E-2</v>
      </c>
      <c r="AO1228">
        <f t="shared" si="19"/>
        <v>0</v>
      </c>
    </row>
    <row r="1229" spans="1:41" x14ac:dyDescent="0.25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  <c r="AK1229" s="4">
        <f>IF(Table1[[#This Row],[Attrition]]="Yes", 1,0)</f>
        <v>0</v>
      </c>
      <c r="AL1229">
        <f>CORREL(Table1[Age],AK1229:AK2698)</f>
        <v>0.12296234076807103</v>
      </c>
      <c r="AM1229">
        <f>CORREL(Table1[MonthlyIncome],AK1229:AK2698)</f>
        <v>1.8924986069725428E-2</v>
      </c>
      <c r="AN1229">
        <f>CORREL(Table1[YearsAtCompany],AK1229:AK2698)</f>
        <v>4.7402268090645109E-3</v>
      </c>
      <c r="AO1229">
        <f t="shared" si="19"/>
        <v>0</v>
      </c>
    </row>
    <row r="1230" spans="1:41" x14ac:dyDescent="0.25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  <c r="AK1230" s="4">
        <f>IF(Table1[[#This Row],[Attrition]]="Yes", 1,0)</f>
        <v>0</v>
      </c>
      <c r="AL1230">
        <f>CORREL(Table1[Age],AK1230:AK2699)</f>
        <v>0.12245693852939341</v>
      </c>
      <c r="AM1230">
        <f>CORREL(Table1[MonthlyIncome],AK1230:AK2699)</f>
        <v>0.20830560989224317</v>
      </c>
      <c r="AN1230">
        <f>CORREL(Table1[YearsAtCompany],AK1230:AK2699)</f>
        <v>0.1834079779490719</v>
      </c>
      <c r="AO1230">
        <f t="shared" si="19"/>
        <v>0</v>
      </c>
    </row>
    <row r="1231" spans="1:41" x14ac:dyDescent="0.25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  <c r="AK1231" s="4">
        <f>IF(Table1[[#This Row],[Attrition]]="Yes", 1,0)</f>
        <v>0</v>
      </c>
      <c r="AL1231">
        <f>CORREL(Table1[Age],AK1231:AK2700)</f>
        <v>-3.4124151567909322E-2</v>
      </c>
      <c r="AM1231">
        <f>CORREL(Table1[MonthlyIncome],AK1231:AK2700)</f>
        <v>-4.9097316982355241E-2</v>
      </c>
      <c r="AN1231">
        <f>CORREL(Table1[YearsAtCompany],AK1231:AK2700)</f>
        <v>-1.4112809553665413E-3</v>
      </c>
      <c r="AO1231">
        <f t="shared" si="19"/>
        <v>0</v>
      </c>
    </row>
    <row r="1232" spans="1:41" x14ac:dyDescent="0.25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  <c r="AK1232" s="4">
        <f>IF(Table1[[#This Row],[Attrition]]="Yes", 1,0)</f>
        <v>0</v>
      </c>
      <c r="AL1232">
        <f>CORREL(Table1[Age],AK1232:AK2701)</f>
        <v>-0.11598924086012283</v>
      </c>
      <c r="AM1232">
        <f>CORREL(Table1[MonthlyIncome],AK1232:AK2701)</f>
        <v>-1.8722557891622819E-3</v>
      </c>
      <c r="AN1232">
        <f>CORREL(Table1[YearsAtCompany],AK1232:AK2701)</f>
        <v>-6.5065057934027989E-2</v>
      </c>
      <c r="AO1232">
        <f t="shared" si="19"/>
        <v>0</v>
      </c>
    </row>
    <row r="1233" spans="1:41" x14ac:dyDescent="0.25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  <c r="AK1233" s="4">
        <f>IF(Table1[[#This Row],[Attrition]]="Yes", 1,0)</f>
        <v>0</v>
      </c>
      <c r="AL1233">
        <f>CORREL(Table1[Age],AK1233:AK2702)</f>
        <v>3.1572158368581925E-2</v>
      </c>
      <c r="AM1233">
        <f>CORREL(Table1[MonthlyIncome],AK1233:AK2702)</f>
        <v>-5.9849389037445848E-3</v>
      </c>
      <c r="AN1233">
        <f>CORREL(Table1[YearsAtCompany],AK1233:AK2702)</f>
        <v>-9.2353240426436001E-2</v>
      </c>
      <c r="AO1233">
        <f t="shared" si="19"/>
        <v>0</v>
      </c>
    </row>
    <row r="1234" spans="1:41" x14ac:dyDescent="0.25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  <c r="AK1234" s="4">
        <f>IF(Table1[[#This Row],[Attrition]]="Yes", 1,0)</f>
        <v>0</v>
      </c>
      <c r="AL1234">
        <f>CORREL(Table1[Age],AK1234:AK2703)</f>
        <v>-0.11462910024513633</v>
      </c>
      <c r="AM1234">
        <f>CORREL(Table1[MonthlyIncome],AK1234:AK2703)</f>
        <v>-1.8600547617157202E-2</v>
      </c>
      <c r="AN1234">
        <f>CORREL(Table1[YearsAtCompany],AK1234:AK2703)</f>
        <v>-8.2851678602024484E-2</v>
      </c>
      <c r="AO1234">
        <f t="shared" si="19"/>
        <v>0</v>
      </c>
    </row>
    <row r="1235" spans="1:41" x14ac:dyDescent="0.25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  <c r="AK1235" s="4">
        <f>IF(Table1[[#This Row],[Attrition]]="Yes", 1,0)</f>
        <v>0</v>
      </c>
      <c r="AL1235">
        <f>CORREL(Table1[Age],AK1235:AK2704)</f>
        <v>7.2331899435497352E-2</v>
      </c>
      <c r="AM1235">
        <f>CORREL(Table1[MonthlyIncome],AK1235:AK2704)</f>
        <v>4.6033589051861439E-2</v>
      </c>
      <c r="AN1235">
        <f>CORREL(Table1[YearsAtCompany],AK1235:AK2704)</f>
        <v>-8.5724821473861068E-2</v>
      </c>
      <c r="AO1235">
        <f t="shared" si="19"/>
        <v>0</v>
      </c>
    </row>
    <row r="1236" spans="1:41" x14ac:dyDescent="0.25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  <c r="AK1236" s="4">
        <f>IF(Table1[[#This Row],[Attrition]]="Yes", 1,0)</f>
        <v>0</v>
      </c>
      <c r="AL1236">
        <f>CORREL(Table1[Age],AK1236:AK2705)</f>
        <v>3.1382452032339497E-2</v>
      </c>
      <c r="AM1236">
        <f>CORREL(Table1[MonthlyIncome],AK1236:AK2705)</f>
        <v>4.9540750347128015E-2</v>
      </c>
      <c r="AN1236">
        <f>CORREL(Table1[YearsAtCompany],AK1236:AK2705)</f>
        <v>7.1218790637190096E-2</v>
      </c>
      <c r="AO1236">
        <f t="shared" si="19"/>
        <v>0</v>
      </c>
    </row>
    <row r="1237" spans="1:41" x14ac:dyDescent="0.25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  <c r="AK1237" s="4">
        <f>IF(Table1[[#This Row],[Attrition]]="Yes", 1,0)</f>
        <v>0</v>
      </c>
      <c r="AL1237">
        <f>CORREL(Table1[Age],AK1237:AK2706)</f>
        <v>-1.5090233529590432E-2</v>
      </c>
      <c r="AM1237">
        <f>CORREL(Table1[MonthlyIncome],AK1237:AK2706)</f>
        <v>-4.026586330658305E-3</v>
      </c>
      <c r="AN1237">
        <f>CORREL(Table1[YearsAtCompany],AK1237:AK2706)</f>
        <v>0.10866405981348175</v>
      </c>
      <c r="AO1237">
        <f t="shared" si="19"/>
        <v>0</v>
      </c>
    </row>
    <row r="1238" spans="1:41" x14ac:dyDescent="0.25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  <c r="AK1238" s="4">
        <f>IF(Table1[[#This Row],[Attrition]]="Yes", 1,0)</f>
        <v>1</v>
      </c>
      <c r="AL1238">
        <f>CORREL(Table1[Age],AK1238:AK2707)</f>
        <v>-8.7909533347800939E-2</v>
      </c>
      <c r="AM1238">
        <f>CORREL(Table1[MonthlyIncome],AK1238:AK2707)</f>
        <v>-2.4433239898942839E-2</v>
      </c>
      <c r="AN1238">
        <f>CORREL(Table1[YearsAtCompany],AK1238:AK2707)</f>
        <v>3.9385562767384856E-2</v>
      </c>
      <c r="AO1238">
        <f t="shared" si="19"/>
        <v>1</v>
      </c>
    </row>
    <row r="1239" spans="1:41" x14ac:dyDescent="0.25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  <c r="AK1239" s="4">
        <f>IF(Table1[[#This Row],[Attrition]]="Yes", 1,0)</f>
        <v>1</v>
      </c>
      <c r="AL1239">
        <f>CORREL(Table1[Age],AK1239:AK2708)</f>
        <v>-9.8692643415228473E-2</v>
      </c>
      <c r="AM1239">
        <f>CORREL(Table1[MonthlyIncome],AK1239:AK2708)</f>
        <v>6.2234347518507352E-3</v>
      </c>
      <c r="AN1239">
        <f>CORREL(Table1[YearsAtCompany],AK1239:AK2708)</f>
        <v>-1.6675203772969122E-2</v>
      </c>
      <c r="AO1239">
        <f t="shared" si="19"/>
        <v>1</v>
      </c>
    </row>
    <row r="1240" spans="1:41" x14ac:dyDescent="0.25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  <c r="AK1240" s="4">
        <f>IF(Table1[[#This Row],[Attrition]]="Yes", 1,0)</f>
        <v>0</v>
      </c>
      <c r="AL1240">
        <f>CORREL(Table1[Age],AK1240:AK2709)</f>
        <v>-5.5830049966157369E-2</v>
      </c>
      <c r="AM1240">
        <f>CORREL(Table1[MonthlyIncome],AK1240:AK2709)</f>
        <v>-7.45362201685415E-2</v>
      </c>
      <c r="AN1240">
        <f>CORREL(Table1[YearsAtCompany],AK1240:AK2709)</f>
        <v>-9.0424516092928439E-2</v>
      </c>
      <c r="AO1240">
        <f t="shared" si="19"/>
        <v>0</v>
      </c>
    </row>
    <row r="1241" spans="1:41" x14ac:dyDescent="0.25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  <c r="AK1241" s="4">
        <f>IF(Table1[[#This Row],[Attrition]]="Yes", 1,0)</f>
        <v>0</v>
      </c>
      <c r="AL1241">
        <f>CORREL(Table1[Age],AK1241:AK2710)</f>
        <v>3.5063017997631091E-2</v>
      </c>
      <c r="AM1241">
        <f>CORREL(Table1[MonthlyIncome],AK1241:AK2710)</f>
        <v>-6.7366174563153081E-2</v>
      </c>
      <c r="AN1241">
        <f>CORREL(Table1[YearsAtCompany],AK1241:AK2710)</f>
        <v>-2.7287886870444675E-2</v>
      </c>
      <c r="AO1241">
        <f t="shared" si="19"/>
        <v>0</v>
      </c>
    </row>
    <row r="1242" spans="1:41" x14ac:dyDescent="0.25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  <c r="AK1242" s="4">
        <f>IF(Table1[[#This Row],[Attrition]]="Yes", 1,0)</f>
        <v>0</v>
      </c>
      <c r="AL1242">
        <f>CORREL(Table1[Age],AK1242:AK2711)</f>
        <v>-6.4036374428365656E-2</v>
      </c>
      <c r="AM1242">
        <f>CORREL(Table1[MonthlyIncome],AK1242:AK2711)</f>
        <v>-7.3482071676197677E-2</v>
      </c>
      <c r="AN1242">
        <f>CORREL(Table1[YearsAtCompany],AK1242:AK2711)</f>
        <v>-5.3206092377789178E-2</v>
      </c>
      <c r="AO1242">
        <f t="shared" si="19"/>
        <v>0</v>
      </c>
    </row>
    <row r="1243" spans="1:41" x14ac:dyDescent="0.25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  <c r="AK1243" s="4">
        <f>IF(Table1[[#This Row],[Attrition]]="Yes", 1,0)</f>
        <v>0</v>
      </c>
      <c r="AL1243">
        <f>CORREL(Table1[Age],AK1243:AK2712)</f>
        <v>-9.5139007336779643E-2</v>
      </c>
      <c r="AM1243">
        <f>CORREL(Table1[MonthlyIncome],AK1243:AK2712)</f>
        <v>-9.1750787623589597E-2</v>
      </c>
      <c r="AN1243">
        <f>CORREL(Table1[YearsAtCompany],AK1243:AK2712)</f>
        <v>-3.5300823712027966E-2</v>
      </c>
      <c r="AO1243">
        <f t="shared" si="19"/>
        <v>0</v>
      </c>
    </row>
    <row r="1244" spans="1:41" x14ac:dyDescent="0.25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  <c r="AK1244" s="4">
        <f>IF(Table1[[#This Row],[Attrition]]="Yes", 1,0)</f>
        <v>0</v>
      </c>
      <c r="AL1244">
        <f>CORREL(Table1[Age],AK1244:AK2713)</f>
        <v>-2.0181146825447433E-2</v>
      </c>
      <c r="AM1244">
        <f>CORREL(Table1[MonthlyIncome],AK1244:AK2713)</f>
        <v>4.4840027395659524E-2</v>
      </c>
      <c r="AN1244">
        <f>CORREL(Table1[YearsAtCompany],AK1244:AK2713)</f>
        <v>-6.115112387143325E-4</v>
      </c>
      <c r="AO1244">
        <f t="shared" si="19"/>
        <v>0</v>
      </c>
    </row>
    <row r="1245" spans="1:41" x14ac:dyDescent="0.25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  <c r="AK1245" s="4">
        <f>IF(Table1[[#This Row],[Attrition]]="Yes", 1,0)</f>
        <v>0</v>
      </c>
      <c r="AL1245">
        <f>CORREL(Table1[Age],AK1245:AK2714)</f>
        <v>0.19858781845704682</v>
      </c>
      <c r="AM1245">
        <f>CORREL(Table1[MonthlyIncome],AK1245:AK2714)</f>
        <v>1.4059922815126066E-2</v>
      </c>
      <c r="AN1245">
        <f>CORREL(Table1[YearsAtCompany],AK1245:AK2714)</f>
        <v>7.2161483810185945E-2</v>
      </c>
      <c r="AO1245">
        <f t="shared" si="19"/>
        <v>0</v>
      </c>
    </row>
    <row r="1246" spans="1:41" x14ac:dyDescent="0.25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  <c r="AK1246" s="4">
        <f>IF(Table1[[#This Row],[Attrition]]="Yes", 1,0)</f>
        <v>0</v>
      </c>
      <c r="AL1246">
        <f>CORREL(Table1[Age],AK1246:AK2715)</f>
        <v>1.9116114859074215E-2</v>
      </c>
      <c r="AM1246">
        <f>CORREL(Table1[MonthlyIncome],AK1246:AK2715)</f>
        <v>-1.1030684789213725E-2</v>
      </c>
      <c r="AN1246">
        <f>CORREL(Table1[YearsAtCompany],AK1246:AK2715)</f>
        <v>-7.6364013596986219E-2</v>
      </c>
      <c r="AO1246">
        <f t="shared" si="19"/>
        <v>0</v>
      </c>
    </row>
    <row r="1247" spans="1:41" x14ac:dyDescent="0.25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  <c r="AK1247" s="4">
        <f>IF(Table1[[#This Row],[Attrition]]="Yes", 1,0)</f>
        <v>0</v>
      </c>
      <c r="AL1247">
        <f>CORREL(Table1[Age],AK1247:AK2716)</f>
        <v>-7.1104644286937094E-2</v>
      </c>
      <c r="AM1247">
        <f>CORREL(Table1[MonthlyIncome],AK1247:AK2716)</f>
        <v>-0.10650661704861218</v>
      </c>
      <c r="AN1247">
        <f>CORREL(Table1[YearsAtCompany],AK1247:AK2716)</f>
        <v>-6.3983981891634241E-3</v>
      </c>
      <c r="AO1247">
        <f t="shared" si="19"/>
        <v>0</v>
      </c>
    </row>
    <row r="1248" spans="1:41" x14ac:dyDescent="0.25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  <c r="AK1248" s="4">
        <f>IF(Table1[[#This Row],[Attrition]]="Yes", 1,0)</f>
        <v>1</v>
      </c>
      <c r="AL1248">
        <f>CORREL(Table1[Age],AK1248:AK2717)</f>
        <v>-2.698432579457483E-2</v>
      </c>
      <c r="AM1248">
        <f>CORREL(Table1[MonthlyIncome],AK1248:AK2717)</f>
        <v>4.951863655057559E-2</v>
      </c>
      <c r="AN1248">
        <f>CORREL(Table1[YearsAtCompany],AK1248:AK2717)</f>
        <v>4.4096076328713374E-2</v>
      </c>
      <c r="AO1248">
        <f t="shared" si="19"/>
        <v>1</v>
      </c>
    </row>
    <row r="1249" spans="1:41" x14ac:dyDescent="0.25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  <c r="AK1249" s="4">
        <f>IF(Table1[[#This Row],[Attrition]]="Yes", 1,0)</f>
        <v>0</v>
      </c>
      <c r="AL1249">
        <f>CORREL(Table1[Age],AK1249:AK2718)</f>
        <v>-8.8601904151236768E-2</v>
      </c>
      <c r="AM1249">
        <f>CORREL(Table1[MonthlyIncome],AK1249:AK2718)</f>
        <v>-9.803616035870083E-2</v>
      </c>
      <c r="AN1249">
        <f>CORREL(Table1[YearsAtCompany],AK1249:AK2718)</f>
        <v>-9.2892341892825803E-2</v>
      </c>
      <c r="AO1249">
        <f t="shared" si="19"/>
        <v>0</v>
      </c>
    </row>
    <row r="1250" spans="1:41" x14ac:dyDescent="0.25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  <c r="AK1250" s="4">
        <f>IF(Table1[[#This Row],[Attrition]]="Yes", 1,0)</f>
        <v>0</v>
      </c>
      <c r="AL1250">
        <f>CORREL(Table1[Age],AK1250:AK2719)</f>
        <v>0.13368746052825131</v>
      </c>
      <c r="AM1250">
        <f>CORREL(Table1[MonthlyIncome],AK1250:AK2719)</f>
        <v>0.20669347285240625</v>
      </c>
      <c r="AN1250">
        <f>CORREL(Table1[YearsAtCompany],AK1250:AK2719)</f>
        <v>6.1182839964069227E-3</v>
      </c>
      <c r="AO1250">
        <f t="shared" si="19"/>
        <v>0</v>
      </c>
    </row>
    <row r="1251" spans="1:41" x14ac:dyDescent="0.25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  <c r="AK1251" s="4">
        <f>IF(Table1[[#This Row],[Attrition]]="Yes", 1,0)</f>
        <v>1</v>
      </c>
      <c r="AL1251">
        <f>CORREL(Table1[Age],AK1251:AK2720)</f>
        <v>0.10266130401608602</v>
      </c>
      <c r="AM1251">
        <f>CORREL(Table1[MonthlyIncome],AK1251:AK2720)</f>
        <v>5.6455286572170367E-2</v>
      </c>
      <c r="AN1251">
        <f>CORREL(Table1[YearsAtCompany],AK1251:AK2720)</f>
        <v>5.7033759384060648E-2</v>
      </c>
      <c r="AO1251">
        <f t="shared" si="19"/>
        <v>1</v>
      </c>
    </row>
    <row r="1252" spans="1:41" x14ac:dyDescent="0.25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  <c r="AK1252" s="4">
        <f>IF(Table1[[#This Row],[Attrition]]="Yes", 1,0)</f>
        <v>0</v>
      </c>
      <c r="AL1252">
        <f>CORREL(Table1[Age],AK1252:AK2721)</f>
        <v>-1.2131453046233891E-3</v>
      </c>
      <c r="AM1252">
        <f>CORREL(Table1[MonthlyIncome],AK1252:AK2721)</f>
        <v>2.9932844608884297E-2</v>
      </c>
      <c r="AN1252">
        <f>CORREL(Table1[YearsAtCompany],AK1252:AK2721)</f>
        <v>6.5649910041926038E-2</v>
      </c>
      <c r="AO1252">
        <f t="shared" si="19"/>
        <v>0</v>
      </c>
    </row>
    <row r="1253" spans="1:41" x14ac:dyDescent="0.25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  <c r="AK1253" s="4">
        <f>IF(Table1[[#This Row],[Attrition]]="Yes", 1,0)</f>
        <v>0</v>
      </c>
      <c r="AL1253">
        <f>CORREL(Table1[Age],AK1253:AK2722)</f>
        <v>-5.1715402343161888E-2</v>
      </c>
      <c r="AM1253">
        <f>CORREL(Table1[MonthlyIncome],AK1253:AK2722)</f>
        <v>-6.1698729885110638E-2</v>
      </c>
      <c r="AN1253">
        <f>CORREL(Table1[YearsAtCompany],AK1253:AK2722)</f>
        <v>3.4027315195422903E-2</v>
      </c>
      <c r="AO1253">
        <f t="shared" si="19"/>
        <v>0</v>
      </c>
    </row>
    <row r="1254" spans="1:41" x14ac:dyDescent="0.25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  <c r="AK1254" s="4">
        <f>IF(Table1[[#This Row],[Attrition]]="Yes", 1,0)</f>
        <v>0</v>
      </c>
      <c r="AL1254">
        <f>CORREL(Table1[Age],AK1254:AK2723)</f>
        <v>-9.6070076677659294E-2</v>
      </c>
      <c r="AM1254">
        <f>CORREL(Table1[MonthlyIncome],AK1254:AK2723)</f>
        <v>3.8844552657809742E-2</v>
      </c>
      <c r="AN1254">
        <f>CORREL(Table1[YearsAtCompany],AK1254:AK2723)</f>
        <v>4.1846660619633078E-3</v>
      </c>
      <c r="AO1254">
        <f t="shared" si="19"/>
        <v>0</v>
      </c>
    </row>
    <row r="1255" spans="1:41" x14ac:dyDescent="0.25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  <c r="AK1255" s="4">
        <f>IF(Table1[[#This Row],[Attrition]]="Yes", 1,0)</f>
        <v>0</v>
      </c>
      <c r="AL1255">
        <f>CORREL(Table1[Age],AK1255:AK2724)</f>
        <v>3.4339977075483648E-2</v>
      </c>
      <c r="AM1255">
        <f>CORREL(Table1[MonthlyIncome],AK1255:AK2724)</f>
        <v>1.1601951017831368E-2</v>
      </c>
      <c r="AN1255">
        <f>CORREL(Table1[YearsAtCompany],AK1255:AK2724)</f>
        <v>9.4759191660609116E-2</v>
      </c>
      <c r="AO1255">
        <f t="shared" si="19"/>
        <v>0</v>
      </c>
    </row>
    <row r="1256" spans="1:41" x14ac:dyDescent="0.25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  <c r="AK1256" s="4">
        <f>IF(Table1[[#This Row],[Attrition]]="Yes", 1,0)</f>
        <v>0</v>
      </c>
      <c r="AL1256">
        <f>CORREL(Table1[Age],AK1256:AK2725)</f>
        <v>7.2145734171930584E-2</v>
      </c>
      <c r="AM1256">
        <f>CORREL(Table1[MonthlyIncome],AK1256:AK2725)</f>
        <v>1.1411298100058461E-3</v>
      </c>
      <c r="AN1256">
        <f>CORREL(Table1[YearsAtCompany],AK1256:AK2725)</f>
        <v>-1.8153430223082977E-2</v>
      </c>
      <c r="AO1256">
        <f t="shared" si="19"/>
        <v>0</v>
      </c>
    </row>
    <row r="1257" spans="1:41" x14ac:dyDescent="0.25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  <c r="AK1257" s="4">
        <f>IF(Table1[[#This Row],[Attrition]]="Yes", 1,0)</f>
        <v>1</v>
      </c>
      <c r="AL1257">
        <f>CORREL(Table1[Age],AK1257:AK2726)</f>
        <v>5.6710805609066828E-2</v>
      </c>
      <c r="AM1257">
        <f>CORREL(Table1[MonthlyIncome],AK1257:AK2726)</f>
        <v>-9.3104589344362269E-3</v>
      </c>
      <c r="AN1257">
        <f>CORREL(Table1[YearsAtCompany],AK1257:AK2726)</f>
        <v>1.7663566662570171E-2</v>
      </c>
      <c r="AO1257">
        <f t="shared" si="19"/>
        <v>1</v>
      </c>
    </row>
    <row r="1258" spans="1:41" x14ac:dyDescent="0.25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  <c r="AK1258" s="4">
        <f>IF(Table1[[#This Row],[Attrition]]="Yes", 1,0)</f>
        <v>0</v>
      </c>
      <c r="AL1258">
        <f>CORREL(Table1[Age],AK1258:AK2727)</f>
        <v>-1.2152359168817456E-2</v>
      </c>
      <c r="AM1258">
        <f>CORREL(Table1[MonthlyIncome],AK1258:AK2727)</f>
        <v>7.8410178119881643E-2</v>
      </c>
      <c r="AN1258">
        <f>CORREL(Table1[YearsAtCompany],AK1258:AK2727)</f>
        <v>7.1668476146793628E-2</v>
      </c>
      <c r="AO1258">
        <f t="shared" si="19"/>
        <v>0</v>
      </c>
    </row>
    <row r="1259" spans="1:41" x14ac:dyDescent="0.25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  <c r="AK1259" s="4">
        <f>IF(Table1[[#This Row],[Attrition]]="Yes", 1,0)</f>
        <v>1</v>
      </c>
      <c r="AL1259">
        <f>CORREL(Table1[Age],AK1259:AK2728)</f>
        <v>-7.2952177040638305E-2</v>
      </c>
      <c r="AM1259">
        <f>CORREL(Table1[MonthlyIncome],AK1259:AK2728)</f>
        <v>-3.3050520395499015E-2</v>
      </c>
      <c r="AN1259">
        <f>CORREL(Table1[YearsAtCompany],AK1259:AK2728)</f>
        <v>-6.0090217254397983E-2</v>
      </c>
      <c r="AO1259">
        <f t="shared" si="19"/>
        <v>1</v>
      </c>
    </row>
    <row r="1260" spans="1:41" x14ac:dyDescent="0.25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  <c r="AK1260" s="4">
        <f>IF(Table1[[#This Row],[Attrition]]="Yes", 1,0)</f>
        <v>0</v>
      </c>
      <c r="AL1260">
        <f>CORREL(Table1[Age],AK1260:AK2729)</f>
        <v>-0.13901452661354047</v>
      </c>
      <c r="AM1260">
        <f>CORREL(Table1[MonthlyIncome],AK1260:AK2729)</f>
        <v>-1.4662359004921743E-2</v>
      </c>
      <c r="AN1260">
        <f>CORREL(Table1[YearsAtCompany],AK1260:AK2729)</f>
        <v>-3.2291765791676211E-2</v>
      </c>
      <c r="AO1260">
        <f t="shared" si="19"/>
        <v>0</v>
      </c>
    </row>
    <row r="1261" spans="1:41" x14ac:dyDescent="0.25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  <c r="AK1261" s="4">
        <f>IF(Table1[[#This Row],[Attrition]]="Yes", 1,0)</f>
        <v>0</v>
      </c>
      <c r="AL1261">
        <f>CORREL(Table1[Age],AK1261:AK2730)</f>
        <v>1.6736879413445167E-2</v>
      </c>
      <c r="AM1261">
        <f>CORREL(Table1[MonthlyIncome],AK1261:AK2730)</f>
        <v>-3.6364944748497755E-3</v>
      </c>
      <c r="AN1261">
        <f>CORREL(Table1[YearsAtCompany],AK1261:AK2730)</f>
        <v>-5.1600013849148099E-2</v>
      </c>
      <c r="AO1261">
        <f t="shared" si="19"/>
        <v>0</v>
      </c>
    </row>
    <row r="1262" spans="1:41" x14ac:dyDescent="0.25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  <c r="AK1262" s="4">
        <f>IF(Table1[[#This Row],[Attrition]]="Yes", 1,0)</f>
        <v>0</v>
      </c>
      <c r="AL1262">
        <f>CORREL(Table1[Age],AK1262:AK2731)</f>
        <v>7.7609392103408142E-2</v>
      </c>
      <c r="AM1262">
        <f>CORREL(Table1[MonthlyIncome],AK1262:AK2731)</f>
        <v>2.6024306638448624E-2</v>
      </c>
      <c r="AN1262">
        <f>CORREL(Table1[YearsAtCompany],AK1262:AK2731)</f>
        <v>-9.2714412647359079E-2</v>
      </c>
      <c r="AO1262">
        <f t="shared" si="19"/>
        <v>0</v>
      </c>
    </row>
    <row r="1263" spans="1:41" x14ac:dyDescent="0.25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  <c r="AK1263" s="4">
        <f>IF(Table1[[#This Row],[Attrition]]="Yes", 1,0)</f>
        <v>0</v>
      </c>
      <c r="AL1263">
        <f>CORREL(Table1[Age],AK1263:AK2732)</f>
        <v>-2.6262982021779825E-2</v>
      </c>
      <c r="AM1263">
        <f>CORREL(Table1[MonthlyIncome],AK1263:AK2732)</f>
        <v>-3.6280696085063228E-2</v>
      </c>
      <c r="AN1263">
        <f>CORREL(Table1[YearsAtCompany],AK1263:AK2732)</f>
        <v>-0.1305667142441943</v>
      </c>
      <c r="AO1263">
        <f t="shared" si="19"/>
        <v>0</v>
      </c>
    </row>
    <row r="1264" spans="1:41" x14ac:dyDescent="0.25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  <c r="AK1264" s="4">
        <f>IF(Table1[[#This Row],[Attrition]]="Yes", 1,0)</f>
        <v>1</v>
      </c>
      <c r="AL1264">
        <f>CORREL(Table1[Age],AK1264:AK2733)</f>
        <v>-8.7947987715037319E-3</v>
      </c>
      <c r="AM1264">
        <f>CORREL(Table1[MonthlyIncome],AK1264:AK2733)</f>
        <v>2.9137946870440115E-3</v>
      </c>
      <c r="AN1264">
        <f>CORREL(Table1[YearsAtCompany],AK1264:AK2733)</f>
        <v>3.6320293234476227E-2</v>
      </c>
      <c r="AO1264">
        <f t="shared" si="19"/>
        <v>1</v>
      </c>
    </row>
    <row r="1265" spans="1:41" x14ac:dyDescent="0.25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  <c r="AK1265" s="4">
        <f>IF(Table1[[#This Row],[Attrition]]="Yes", 1,0)</f>
        <v>0</v>
      </c>
      <c r="AL1265">
        <f>CORREL(Table1[Age],AK1265:AK2734)</f>
        <v>0.1273179216173361</v>
      </c>
      <c r="AM1265">
        <f>CORREL(Table1[MonthlyIncome],AK1265:AK2734)</f>
        <v>6.0077628145617859E-2</v>
      </c>
      <c r="AN1265">
        <f>CORREL(Table1[YearsAtCompany],AK1265:AK2734)</f>
        <v>3.3059400655299713E-2</v>
      </c>
      <c r="AO1265">
        <f t="shared" si="19"/>
        <v>0</v>
      </c>
    </row>
    <row r="1266" spans="1:41" x14ac:dyDescent="0.25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  <c r="AK1266" s="4">
        <f>IF(Table1[[#This Row],[Attrition]]="Yes", 1,0)</f>
        <v>0</v>
      </c>
      <c r="AL1266">
        <f>CORREL(Table1[Age],AK1266:AK2735)</f>
        <v>3.421885793154314E-2</v>
      </c>
      <c r="AM1266">
        <f>CORREL(Table1[MonthlyIncome],AK1266:AK2735)</f>
        <v>4.1615909141432136E-2</v>
      </c>
      <c r="AN1266">
        <f>CORREL(Table1[YearsAtCompany],AK1266:AK2735)</f>
        <v>6.3454637657833879E-2</v>
      </c>
      <c r="AO1266">
        <f t="shared" si="19"/>
        <v>0</v>
      </c>
    </row>
    <row r="1267" spans="1:41" x14ac:dyDescent="0.25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  <c r="AK1267" s="4">
        <f>IF(Table1[[#This Row],[Attrition]]="Yes", 1,0)</f>
        <v>0</v>
      </c>
      <c r="AL1267">
        <f>CORREL(Table1[Age],AK1267:AK2736)</f>
        <v>3.6915231246965677E-2</v>
      </c>
      <c r="AM1267">
        <f>CORREL(Table1[MonthlyIncome],AK1267:AK2736)</f>
        <v>-6.7180089685398126E-2</v>
      </c>
      <c r="AN1267">
        <f>CORREL(Table1[YearsAtCompany],AK1267:AK2736)</f>
        <v>-4.4072591814066121E-2</v>
      </c>
      <c r="AO1267">
        <f t="shared" si="19"/>
        <v>0</v>
      </c>
    </row>
    <row r="1268" spans="1:41" x14ac:dyDescent="0.25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  <c r="AK1268" s="4">
        <f>IF(Table1[[#This Row],[Attrition]]="Yes", 1,0)</f>
        <v>0</v>
      </c>
      <c r="AL1268">
        <f>CORREL(Table1[Age],AK1268:AK2737)</f>
        <v>-4.6782588390227538E-2</v>
      </c>
      <c r="AM1268">
        <f>CORREL(Table1[MonthlyIncome],AK1268:AK2737)</f>
        <v>-5.0311920303863174E-2</v>
      </c>
      <c r="AN1268">
        <f>CORREL(Table1[YearsAtCompany],AK1268:AK2737)</f>
        <v>2.30172071224574E-2</v>
      </c>
      <c r="AO1268">
        <f t="shared" si="19"/>
        <v>0</v>
      </c>
    </row>
    <row r="1269" spans="1:41" x14ac:dyDescent="0.25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  <c r="AK1269" s="4">
        <f>IF(Table1[[#This Row],[Attrition]]="Yes", 1,0)</f>
        <v>0</v>
      </c>
      <c r="AL1269">
        <f>CORREL(Table1[Age],AK1269:AK2738)</f>
        <v>-2.8923814745505861E-2</v>
      </c>
      <c r="AM1269">
        <f>CORREL(Table1[MonthlyIncome],AK1269:AK2738)</f>
        <v>-2.3987542879915602E-3</v>
      </c>
      <c r="AN1269">
        <f>CORREL(Table1[YearsAtCompany],AK1269:AK2738)</f>
        <v>-2.5097573485208056E-2</v>
      </c>
      <c r="AO1269">
        <f t="shared" si="19"/>
        <v>0</v>
      </c>
    </row>
    <row r="1270" spans="1:41" x14ac:dyDescent="0.25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  <c r="AK1270" s="4">
        <f>IF(Table1[[#This Row],[Attrition]]="Yes", 1,0)</f>
        <v>0</v>
      </c>
      <c r="AL1270">
        <f>CORREL(Table1[Age],AK1270:AK2739)</f>
        <v>-6.7281790253739579E-2</v>
      </c>
      <c r="AM1270">
        <f>CORREL(Table1[MonthlyIncome],AK1270:AK2739)</f>
        <v>-4.3347770422744174E-2</v>
      </c>
      <c r="AN1270">
        <f>CORREL(Table1[YearsAtCompany],AK1270:AK2739)</f>
        <v>-7.5963052059979622E-2</v>
      </c>
      <c r="AO1270">
        <f t="shared" si="19"/>
        <v>0</v>
      </c>
    </row>
    <row r="1271" spans="1:41" x14ac:dyDescent="0.25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  <c r="AK1271" s="4">
        <f>IF(Table1[[#This Row],[Attrition]]="Yes", 1,0)</f>
        <v>0</v>
      </c>
      <c r="AL1271">
        <f>CORREL(Table1[Age],AK1271:AK2740)</f>
        <v>7.7265223856260543E-2</v>
      </c>
      <c r="AM1271">
        <f>CORREL(Table1[MonthlyIncome],AK1271:AK2740)</f>
        <v>6.481225446411271E-3</v>
      </c>
      <c r="AN1271">
        <f>CORREL(Table1[YearsAtCompany],AK1271:AK2740)</f>
        <v>4.5415392471340188E-2</v>
      </c>
      <c r="AO1271">
        <f t="shared" si="19"/>
        <v>0</v>
      </c>
    </row>
    <row r="1272" spans="1:41" x14ac:dyDescent="0.25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  <c r="AK1272" s="4">
        <f>IF(Table1[[#This Row],[Attrition]]="Yes", 1,0)</f>
        <v>0</v>
      </c>
      <c r="AL1272">
        <f>CORREL(Table1[Age],AK1272:AK2741)</f>
        <v>4.0341074226146377E-2</v>
      </c>
      <c r="AM1272">
        <f>CORREL(Table1[MonthlyIncome],AK1272:AK2741)</f>
        <v>-5.8107918081989713E-3</v>
      </c>
      <c r="AN1272">
        <f>CORREL(Table1[YearsAtCompany],AK1272:AK2741)</f>
        <v>0.11317249252937957</v>
      </c>
      <c r="AO1272">
        <f t="shared" si="19"/>
        <v>0</v>
      </c>
    </row>
    <row r="1273" spans="1:41" x14ac:dyDescent="0.25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  <c r="AK1273" s="4">
        <f>IF(Table1[[#This Row],[Attrition]]="Yes", 1,0)</f>
        <v>1</v>
      </c>
      <c r="AL1273">
        <f>CORREL(Table1[Age],AK1273:AK2742)</f>
        <v>-4.9934168028127321E-2</v>
      </c>
      <c r="AM1273">
        <f>CORREL(Table1[MonthlyIncome],AK1273:AK2742)</f>
        <v>4.7315187562282181E-2</v>
      </c>
      <c r="AN1273">
        <f>CORREL(Table1[YearsAtCompany],AK1273:AK2742)</f>
        <v>0.12158242809565867</v>
      </c>
      <c r="AO1273">
        <f t="shared" si="19"/>
        <v>1</v>
      </c>
    </row>
    <row r="1274" spans="1:41" x14ac:dyDescent="0.25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  <c r="AK1274" s="4">
        <f>IF(Table1[[#This Row],[Attrition]]="Yes", 1,0)</f>
        <v>0</v>
      </c>
      <c r="AL1274">
        <f>CORREL(Table1[Age],AK1274:AK2743)</f>
        <v>1.3712378318746462E-2</v>
      </c>
      <c r="AM1274">
        <f>CORREL(Table1[MonthlyIncome],AK1274:AK2743)</f>
        <v>2.4250998933657109E-2</v>
      </c>
      <c r="AN1274">
        <f>CORREL(Table1[YearsAtCompany],AK1274:AK2743)</f>
        <v>1.1060942061228334E-2</v>
      </c>
      <c r="AO1274">
        <f t="shared" si="19"/>
        <v>0</v>
      </c>
    </row>
    <row r="1275" spans="1:41" x14ac:dyDescent="0.25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  <c r="AK1275" s="4">
        <f>IF(Table1[[#This Row],[Attrition]]="Yes", 1,0)</f>
        <v>1</v>
      </c>
      <c r="AL1275">
        <f>CORREL(Table1[Age],AK1275:AK2744)</f>
        <v>3.0990792662139895E-2</v>
      </c>
      <c r="AM1275">
        <f>CORREL(Table1[MonthlyIncome],AK1275:AK2744)</f>
        <v>0.1431741974435935</v>
      </c>
      <c r="AN1275">
        <f>CORREL(Table1[YearsAtCompany],AK1275:AK2744)</f>
        <v>-1.7348201879569224E-2</v>
      </c>
      <c r="AO1275">
        <f t="shared" si="19"/>
        <v>1</v>
      </c>
    </row>
    <row r="1276" spans="1:41" x14ac:dyDescent="0.25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  <c r="AK1276" s="4">
        <f>IF(Table1[[#This Row],[Attrition]]="Yes", 1,0)</f>
        <v>0</v>
      </c>
      <c r="AL1276">
        <f>CORREL(Table1[Age],AK1276:AK2745)</f>
        <v>3.1583254487406565E-2</v>
      </c>
      <c r="AM1276">
        <f>CORREL(Table1[MonthlyIncome],AK1276:AK2745)</f>
        <v>5.3175476908057469E-2</v>
      </c>
      <c r="AN1276">
        <f>CORREL(Table1[YearsAtCompany],AK1276:AK2745)</f>
        <v>-2.4155883354937593E-2</v>
      </c>
      <c r="AO1276">
        <f t="shared" si="19"/>
        <v>0</v>
      </c>
    </row>
    <row r="1277" spans="1:41" x14ac:dyDescent="0.25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  <c r="AK1277" s="4">
        <f>IF(Table1[[#This Row],[Attrition]]="Yes", 1,0)</f>
        <v>0</v>
      </c>
      <c r="AL1277">
        <f>CORREL(Table1[Age],AK1277:AK2746)</f>
        <v>-6.1863950512008214E-2</v>
      </c>
      <c r="AM1277">
        <f>CORREL(Table1[MonthlyIncome],AK1277:AK2746)</f>
        <v>1.2957509338186138E-2</v>
      </c>
      <c r="AN1277">
        <f>CORREL(Table1[YearsAtCompany],AK1277:AK2746)</f>
        <v>-2.2041947829836168E-3</v>
      </c>
      <c r="AO1277">
        <f t="shared" si="19"/>
        <v>0</v>
      </c>
    </row>
    <row r="1278" spans="1:41" x14ac:dyDescent="0.25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  <c r="AK1278" s="4">
        <f>IF(Table1[[#This Row],[Attrition]]="Yes", 1,0)</f>
        <v>0</v>
      </c>
      <c r="AL1278">
        <f>CORREL(Table1[Age],AK1278:AK2747)</f>
        <v>4.0711404814741399E-2</v>
      </c>
      <c r="AM1278">
        <f>CORREL(Table1[MonthlyIncome],AK1278:AK2747)</f>
        <v>4.4170738756662345E-2</v>
      </c>
      <c r="AN1278">
        <f>CORREL(Table1[YearsAtCompany],AK1278:AK2747)</f>
        <v>6.9638291610034694E-2</v>
      </c>
      <c r="AO1278">
        <f t="shared" si="19"/>
        <v>0</v>
      </c>
    </row>
    <row r="1279" spans="1:41" x14ac:dyDescent="0.25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  <c r="AK1279" s="4">
        <f>IF(Table1[[#This Row],[Attrition]]="Yes", 1,0)</f>
        <v>0</v>
      </c>
      <c r="AL1279">
        <f>CORREL(Table1[Age],AK1279:AK2748)</f>
        <v>-1.8631681154086125E-3</v>
      </c>
      <c r="AM1279">
        <f>CORREL(Table1[MonthlyIncome],AK1279:AK2748)</f>
        <v>2.7029966235721108E-2</v>
      </c>
      <c r="AN1279">
        <f>CORREL(Table1[YearsAtCompany],AK1279:AK2748)</f>
        <v>5.3693214280953611E-2</v>
      </c>
      <c r="AO1279">
        <f t="shared" si="19"/>
        <v>0</v>
      </c>
    </row>
    <row r="1280" spans="1:41" x14ac:dyDescent="0.25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  <c r="AK1280" s="4">
        <f>IF(Table1[[#This Row],[Attrition]]="Yes", 1,0)</f>
        <v>0</v>
      </c>
      <c r="AL1280">
        <f>CORREL(Table1[Age],AK1280:AK2749)</f>
        <v>-2.8061854642647967E-2</v>
      </c>
      <c r="AM1280">
        <f>CORREL(Table1[MonthlyIncome],AK1280:AK2749)</f>
        <v>-0.12381821286349166</v>
      </c>
      <c r="AN1280">
        <f>CORREL(Table1[YearsAtCompany],AK1280:AK2749)</f>
        <v>-6.0189427744606325E-2</v>
      </c>
      <c r="AO1280">
        <f t="shared" si="19"/>
        <v>0</v>
      </c>
    </row>
    <row r="1281" spans="1:41" x14ac:dyDescent="0.25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  <c r="AK1281" s="4">
        <f>IF(Table1[[#This Row],[Attrition]]="Yes", 1,0)</f>
        <v>1</v>
      </c>
      <c r="AL1281">
        <f>CORREL(Table1[Age],AK1281:AK2750)</f>
        <v>-6.6776173510680589E-2</v>
      </c>
      <c r="AM1281">
        <f>CORREL(Table1[MonthlyIncome],AK1281:AK2750)</f>
        <v>-1.1464846439506534E-2</v>
      </c>
      <c r="AN1281">
        <f>CORREL(Table1[YearsAtCompany],AK1281:AK2750)</f>
        <v>-4.2656989015848877E-2</v>
      </c>
      <c r="AO1281">
        <f t="shared" si="19"/>
        <v>1</v>
      </c>
    </row>
    <row r="1282" spans="1:41" x14ac:dyDescent="0.25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  <c r="AK1282" s="4">
        <f>IF(Table1[[#This Row],[Attrition]]="Yes", 1,0)</f>
        <v>0</v>
      </c>
      <c r="AL1282">
        <f>CORREL(Table1[Age],AK1282:AK2751)</f>
        <v>3.469752938011119E-2</v>
      </c>
      <c r="AM1282">
        <f>CORREL(Table1[MonthlyIncome],AK1282:AK2751)</f>
        <v>-1.4097592802994278E-2</v>
      </c>
      <c r="AN1282">
        <f>CORREL(Table1[YearsAtCompany],AK1282:AK2751)</f>
        <v>2.9615169120157476E-3</v>
      </c>
      <c r="AO1282">
        <f t="shared" si="19"/>
        <v>0</v>
      </c>
    </row>
    <row r="1283" spans="1:41" x14ac:dyDescent="0.25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  <c r="AK1283" s="4">
        <f>IF(Table1[[#This Row],[Attrition]]="Yes", 1,0)</f>
        <v>1</v>
      </c>
      <c r="AL1283">
        <f>CORREL(Table1[Age],AK1283:AK2752)</f>
        <v>-7.4428918206435921E-2</v>
      </c>
      <c r="AM1283">
        <f>CORREL(Table1[MonthlyIncome],AK1283:AK2752)</f>
        <v>-6.4563587517901408E-2</v>
      </c>
      <c r="AN1283">
        <f>CORREL(Table1[YearsAtCompany],AK1283:AK2752)</f>
        <v>-2.9599743997019642E-2</v>
      </c>
      <c r="AO1283">
        <f t="shared" ref="AO1283:AO1346" si="20">ABS(AK1283)</f>
        <v>1</v>
      </c>
    </row>
    <row r="1284" spans="1:41" x14ac:dyDescent="0.25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  <c r="AK1284" s="4">
        <f>IF(Table1[[#This Row],[Attrition]]="Yes", 1,0)</f>
        <v>0</v>
      </c>
      <c r="AL1284">
        <f>CORREL(Table1[Age],AK1284:AK2753)</f>
        <v>-0.11406765443774844</v>
      </c>
      <c r="AM1284">
        <f>CORREL(Table1[MonthlyIncome],AK1284:AK2753)</f>
        <v>-0.11750280501564776</v>
      </c>
      <c r="AN1284">
        <f>CORREL(Table1[YearsAtCompany],AK1284:AK2753)</f>
        <v>-0.11915453017711441</v>
      </c>
      <c r="AO1284">
        <f t="shared" si="20"/>
        <v>0</v>
      </c>
    </row>
    <row r="1285" spans="1:41" x14ac:dyDescent="0.25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  <c r="AK1285" s="4">
        <f>IF(Table1[[#This Row],[Attrition]]="Yes", 1,0)</f>
        <v>0</v>
      </c>
      <c r="AL1285">
        <f>CORREL(Table1[Age],AK1285:AK2754)</f>
        <v>-9.050898388872361E-2</v>
      </c>
      <c r="AM1285">
        <f>CORREL(Table1[MonthlyIncome],AK1285:AK2754)</f>
        <v>4.6606666719277254E-2</v>
      </c>
      <c r="AN1285">
        <f>CORREL(Table1[YearsAtCompany],AK1285:AK2754)</f>
        <v>-6.0423393423646783E-2</v>
      </c>
      <c r="AO1285">
        <f t="shared" si="20"/>
        <v>0</v>
      </c>
    </row>
    <row r="1286" spans="1:41" x14ac:dyDescent="0.25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  <c r="AK1286" s="4">
        <f>IF(Table1[[#This Row],[Attrition]]="Yes", 1,0)</f>
        <v>0</v>
      </c>
      <c r="AL1286">
        <f>CORREL(Table1[Age],AK1286:AK2755)</f>
        <v>9.2629364397948014E-2</v>
      </c>
      <c r="AM1286">
        <f>CORREL(Table1[MonthlyIncome],AK1286:AK2755)</f>
        <v>0.10815931137085162</v>
      </c>
      <c r="AN1286">
        <f>CORREL(Table1[YearsAtCompany],AK1286:AK2755)</f>
        <v>-6.1695577356298548E-2</v>
      </c>
      <c r="AO1286">
        <f t="shared" si="20"/>
        <v>0</v>
      </c>
    </row>
    <row r="1287" spans="1:41" x14ac:dyDescent="0.25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  <c r="AK1287" s="4">
        <f>IF(Table1[[#This Row],[Attrition]]="Yes", 1,0)</f>
        <v>0</v>
      </c>
      <c r="AL1287">
        <f>CORREL(Table1[Age],AK1287:AK2756)</f>
        <v>5.4939011387735187E-2</v>
      </c>
      <c r="AM1287">
        <f>CORREL(Table1[MonthlyIncome],AK1287:AK2756)</f>
        <v>-3.3159642061613155E-2</v>
      </c>
      <c r="AN1287">
        <f>CORREL(Table1[YearsAtCompany],AK1287:AK2756)</f>
        <v>1.1871351059242734E-2</v>
      </c>
      <c r="AO1287">
        <f t="shared" si="20"/>
        <v>0</v>
      </c>
    </row>
    <row r="1288" spans="1:41" x14ac:dyDescent="0.25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  <c r="AK1288" s="4">
        <f>IF(Table1[[#This Row],[Attrition]]="Yes", 1,0)</f>
        <v>0</v>
      </c>
      <c r="AL1288">
        <f>CORREL(Table1[Age],AK1288:AK2757)</f>
        <v>9.2737109638966975E-2</v>
      </c>
      <c r="AM1288">
        <f>CORREL(Table1[MonthlyIncome],AK1288:AK2757)</f>
        <v>-5.5299179179791401E-2</v>
      </c>
      <c r="AN1288">
        <f>CORREL(Table1[YearsAtCompany],AK1288:AK2757)</f>
        <v>-5.9881158192475706E-2</v>
      </c>
      <c r="AO1288">
        <f t="shared" si="20"/>
        <v>0</v>
      </c>
    </row>
    <row r="1289" spans="1:41" x14ac:dyDescent="0.25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  <c r="AK1289" s="4">
        <f>IF(Table1[[#This Row],[Attrition]]="Yes", 1,0)</f>
        <v>0</v>
      </c>
      <c r="AL1289">
        <f>CORREL(Table1[Age],AK1289:AK2758)</f>
        <v>-9.4480724569853507E-3</v>
      </c>
      <c r="AM1289">
        <f>CORREL(Table1[MonthlyIncome],AK1289:AK2758)</f>
        <v>8.9651819318996073E-2</v>
      </c>
      <c r="AN1289">
        <f>CORREL(Table1[YearsAtCompany],AK1289:AK2758)</f>
        <v>7.244045728135042E-3</v>
      </c>
      <c r="AO1289">
        <f t="shared" si="20"/>
        <v>0</v>
      </c>
    </row>
    <row r="1290" spans="1:41" x14ac:dyDescent="0.25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  <c r="AK1290" s="4">
        <f>IF(Table1[[#This Row],[Attrition]]="Yes", 1,0)</f>
        <v>0</v>
      </c>
      <c r="AL1290">
        <f>CORREL(Table1[Age],AK1290:AK2759)</f>
        <v>1.4177780844929655E-2</v>
      </c>
      <c r="AM1290">
        <f>CORREL(Table1[MonthlyIncome],AK1290:AK2759)</f>
        <v>1.3371300595241303E-2</v>
      </c>
      <c r="AN1290">
        <f>CORREL(Table1[YearsAtCompany],AK1290:AK2759)</f>
        <v>-3.0427819109494825E-2</v>
      </c>
      <c r="AO1290">
        <f t="shared" si="20"/>
        <v>0</v>
      </c>
    </row>
    <row r="1291" spans="1:41" x14ac:dyDescent="0.25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  <c r="AK1291" s="4">
        <f>IF(Table1[[#This Row],[Attrition]]="Yes", 1,0)</f>
        <v>0</v>
      </c>
      <c r="AL1291">
        <f>CORREL(Table1[Age],AK1291:AK2760)</f>
        <v>-3.8522034692178742E-2</v>
      </c>
      <c r="AM1291">
        <f>CORREL(Table1[MonthlyIncome],AK1291:AK2760)</f>
        <v>-1.7319604625870202E-2</v>
      </c>
      <c r="AN1291">
        <f>CORREL(Table1[YearsAtCompany],AK1291:AK2760)</f>
        <v>1.97081318350786E-2</v>
      </c>
      <c r="AO1291">
        <f t="shared" si="20"/>
        <v>0</v>
      </c>
    </row>
    <row r="1292" spans="1:41" x14ac:dyDescent="0.25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  <c r="AK1292" s="4">
        <f>IF(Table1[[#This Row],[Attrition]]="Yes", 1,0)</f>
        <v>1</v>
      </c>
      <c r="AL1292">
        <f>CORREL(Table1[Age],AK1292:AK2761)</f>
        <v>0.10336239673672772</v>
      </c>
      <c r="AM1292">
        <f>CORREL(Table1[MonthlyIncome],AK1292:AK2761)</f>
        <v>3.4624042405143572E-2</v>
      </c>
      <c r="AN1292">
        <f>CORREL(Table1[YearsAtCompany],AK1292:AK2761)</f>
        <v>-8.2484388558758774E-3</v>
      </c>
      <c r="AO1292">
        <f t="shared" si="20"/>
        <v>1</v>
      </c>
    </row>
    <row r="1293" spans="1:41" x14ac:dyDescent="0.25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  <c r="AK1293" s="4">
        <f>IF(Table1[[#This Row],[Attrition]]="Yes", 1,0)</f>
        <v>1</v>
      </c>
      <c r="AL1293">
        <f>CORREL(Table1[Age],AK1293:AK2762)</f>
        <v>8.3965907004401374E-2</v>
      </c>
      <c r="AM1293">
        <f>CORREL(Table1[MonthlyIncome],AK1293:AK2762)</f>
        <v>2.7342963383990559E-2</v>
      </c>
      <c r="AN1293">
        <f>CORREL(Table1[YearsAtCompany],AK1293:AK2762)</f>
        <v>-1.5317233059359139E-2</v>
      </c>
      <c r="AO1293">
        <f t="shared" si="20"/>
        <v>1</v>
      </c>
    </row>
    <row r="1294" spans="1:41" x14ac:dyDescent="0.25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  <c r="AK1294" s="4">
        <f>IF(Table1[[#This Row],[Attrition]]="Yes", 1,0)</f>
        <v>0</v>
      </c>
      <c r="AL1294">
        <f>CORREL(Table1[Age],AK1294:AK2763)</f>
        <v>2.8549904381939543E-2</v>
      </c>
      <c r="AM1294">
        <f>CORREL(Table1[MonthlyIncome],AK1294:AK2763)</f>
        <v>-8.6043587411148204E-2</v>
      </c>
      <c r="AN1294">
        <f>CORREL(Table1[YearsAtCompany],AK1294:AK2763)</f>
        <v>8.0562676457052035E-2</v>
      </c>
      <c r="AO1294">
        <f t="shared" si="20"/>
        <v>0</v>
      </c>
    </row>
    <row r="1295" spans="1:41" x14ac:dyDescent="0.25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  <c r="AK1295" s="4">
        <f>IF(Table1[[#This Row],[Attrition]]="Yes", 1,0)</f>
        <v>0</v>
      </c>
      <c r="AL1295">
        <f>CORREL(Table1[Age],AK1295:AK2764)</f>
        <v>-0.16828668172014311</v>
      </c>
      <c r="AM1295">
        <f>CORREL(Table1[MonthlyIncome],AK1295:AK2764)</f>
        <v>-0.10511678587298222</v>
      </c>
      <c r="AN1295">
        <f>CORREL(Table1[YearsAtCompany],AK1295:AK2764)</f>
        <v>-5.1461005864233002E-2</v>
      </c>
      <c r="AO1295">
        <f t="shared" si="20"/>
        <v>0</v>
      </c>
    </row>
    <row r="1296" spans="1:41" x14ac:dyDescent="0.25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  <c r="AK1296" s="4">
        <f>IF(Table1[[#This Row],[Attrition]]="Yes", 1,0)</f>
        <v>0</v>
      </c>
      <c r="AL1296">
        <f>CORREL(Table1[Age],AK1296:AK2765)</f>
        <v>-9.2382515592755426E-2</v>
      </c>
      <c r="AM1296">
        <f>CORREL(Table1[MonthlyIncome],AK1296:AK2765)</f>
        <v>-2.2426823155396475E-2</v>
      </c>
      <c r="AN1296">
        <f>CORREL(Table1[YearsAtCompany],AK1296:AK2765)</f>
        <v>8.8045524393172953E-2</v>
      </c>
      <c r="AO1296">
        <f t="shared" si="20"/>
        <v>0</v>
      </c>
    </row>
    <row r="1297" spans="1:41" x14ac:dyDescent="0.25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  <c r="AK1297" s="4">
        <f>IF(Table1[[#This Row],[Attrition]]="Yes", 1,0)</f>
        <v>0</v>
      </c>
      <c r="AL1297">
        <f>CORREL(Table1[Age],AK1297:AK2766)</f>
        <v>7.7385274922546279E-3</v>
      </c>
      <c r="AM1297">
        <f>CORREL(Table1[MonthlyIncome],AK1297:AK2766)</f>
        <v>-6.0278063701493953E-2</v>
      </c>
      <c r="AN1297">
        <f>CORREL(Table1[YearsAtCompany],AK1297:AK2766)</f>
        <v>-8.3397744294484863E-2</v>
      </c>
      <c r="AO1297">
        <f t="shared" si="20"/>
        <v>0</v>
      </c>
    </row>
    <row r="1298" spans="1:41" x14ac:dyDescent="0.25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  <c r="AK1298" s="4">
        <f>IF(Table1[[#This Row],[Attrition]]="Yes", 1,0)</f>
        <v>0</v>
      </c>
      <c r="AL1298">
        <f>CORREL(Table1[Age],AK1298:AK2767)</f>
        <v>2.6502571737533585E-3</v>
      </c>
      <c r="AM1298">
        <f>CORREL(Table1[MonthlyIncome],AK1298:AK2767)</f>
        <v>-0.12671550578335086</v>
      </c>
      <c r="AN1298">
        <f>CORREL(Table1[YearsAtCompany],AK1298:AK2767)</f>
        <v>-0.13905886584382213</v>
      </c>
      <c r="AO1298">
        <f t="shared" si="20"/>
        <v>0</v>
      </c>
    </row>
    <row r="1299" spans="1:41" x14ac:dyDescent="0.25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  <c r="AK1299" s="4">
        <f>IF(Table1[[#This Row],[Attrition]]="Yes", 1,0)</f>
        <v>1</v>
      </c>
      <c r="AL1299">
        <f>CORREL(Table1[Age],AK1299:AK2768)</f>
        <v>6.8784957508703212E-2</v>
      </c>
      <c r="AM1299">
        <f>CORREL(Table1[MonthlyIncome],AK1299:AK2768)</f>
        <v>4.5839194536218521E-2</v>
      </c>
      <c r="AN1299">
        <f>CORREL(Table1[YearsAtCompany],AK1299:AK2768)</f>
        <v>-4.3197810579647826E-2</v>
      </c>
      <c r="AO1299">
        <f t="shared" si="20"/>
        <v>1</v>
      </c>
    </row>
    <row r="1300" spans="1:41" x14ac:dyDescent="0.25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  <c r="AK1300" s="4">
        <f>IF(Table1[[#This Row],[Attrition]]="Yes", 1,0)</f>
        <v>1</v>
      </c>
      <c r="AL1300">
        <f>CORREL(Table1[Age],AK1300:AK2769)</f>
        <v>-3.9865742836453805E-2</v>
      </c>
      <c r="AM1300">
        <f>CORREL(Table1[MonthlyIncome],AK1300:AK2769)</f>
        <v>2.815971216341074E-2</v>
      </c>
      <c r="AN1300">
        <f>CORREL(Table1[YearsAtCompany],AK1300:AK2769)</f>
        <v>5.4963885801201415E-2</v>
      </c>
      <c r="AO1300">
        <f t="shared" si="20"/>
        <v>1</v>
      </c>
    </row>
    <row r="1301" spans="1:41" x14ac:dyDescent="0.25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  <c r="AK1301" s="4">
        <f>IF(Table1[[#This Row],[Attrition]]="Yes", 1,0)</f>
        <v>0</v>
      </c>
      <c r="AL1301">
        <f>CORREL(Table1[Age],AK1301:AK2770)</f>
        <v>-0.10897505145137532</v>
      </c>
      <c r="AM1301">
        <f>CORREL(Table1[MonthlyIncome],AK1301:AK2770)</f>
        <v>-0.13669330038556032</v>
      </c>
      <c r="AN1301">
        <f>CORREL(Table1[YearsAtCompany],AK1301:AK2770)</f>
        <v>-2.847954486930477E-2</v>
      </c>
      <c r="AO1301">
        <f t="shared" si="20"/>
        <v>0</v>
      </c>
    </row>
    <row r="1302" spans="1:41" x14ac:dyDescent="0.25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  <c r="AK1302" s="4">
        <f>IF(Table1[[#This Row],[Attrition]]="Yes", 1,0)</f>
        <v>0</v>
      </c>
      <c r="AL1302">
        <f>CORREL(Table1[Age],AK1302:AK2771)</f>
        <v>-4.3879070402198163E-2</v>
      </c>
      <c r="AM1302">
        <f>CORREL(Table1[MonthlyIncome],AK1302:AK2771)</f>
        <v>-4.3596840124073555E-2</v>
      </c>
      <c r="AN1302">
        <f>CORREL(Table1[YearsAtCompany],AK1302:AK2771)</f>
        <v>-9.2154156093372006E-2</v>
      </c>
      <c r="AO1302">
        <f t="shared" si="20"/>
        <v>0</v>
      </c>
    </row>
    <row r="1303" spans="1:41" x14ac:dyDescent="0.25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  <c r="AK1303" s="4">
        <f>IF(Table1[[#This Row],[Attrition]]="Yes", 1,0)</f>
        <v>0</v>
      </c>
      <c r="AL1303">
        <f>CORREL(Table1[Age],AK1303:AK2772)</f>
        <v>4.4063860247760388E-3</v>
      </c>
      <c r="AM1303">
        <f>CORREL(Table1[MonthlyIncome],AK1303:AK2772)</f>
        <v>1.8762641991733289E-2</v>
      </c>
      <c r="AN1303">
        <f>CORREL(Table1[YearsAtCompany],AK1303:AK2772)</f>
        <v>-1.338151195758608E-2</v>
      </c>
      <c r="AO1303">
        <f t="shared" si="20"/>
        <v>0</v>
      </c>
    </row>
    <row r="1304" spans="1:41" x14ac:dyDescent="0.25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  <c r="AK1304" s="4">
        <f>IF(Table1[[#This Row],[Attrition]]="Yes", 1,0)</f>
        <v>0</v>
      </c>
      <c r="AL1304">
        <f>CORREL(Table1[Age],AK1304:AK2773)</f>
        <v>6.3307334927922246E-2</v>
      </c>
      <c r="AM1304">
        <f>CORREL(Table1[MonthlyIncome],AK1304:AK2773)</f>
        <v>-5.3581011064886351E-2</v>
      </c>
      <c r="AN1304">
        <f>CORREL(Table1[YearsAtCompany],AK1304:AK2773)</f>
        <v>-3.2224988945505802E-2</v>
      </c>
      <c r="AO1304">
        <f t="shared" si="20"/>
        <v>0</v>
      </c>
    </row>
    <row r="1305" spans="1:41" x14ac:dyDescent="0.25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  <c r="AK1305" s="4">
        <f>IF(Table1[[#This Row],[Attrition]]="Yes", 1,0)</f>
        <v>0</v>
      </c>
      <c r="AL1305">
        <f>CORREL(Table1[Age],AK1305:AK2774)</f>
        <v>1.2122612035198007E-2</v>
      </c>
      <c r="AM1305">
        <f>CORREL(Table1[MonthlyIncome],AK1305:AK2774)</f>
        <v>-2.9169296021957652E-2</v>
      </c>
      <c r="AN1305">
        <f>CORREL(Table1[YearsAtCompany],AK1305:AK2774)</f>
        <v>-3.3949010958316699E-2</v>
      </c>
      <c r="AO1305">
        <f t="shared" si="20"/>
        <v>0</v>
      </c>
    </row>
    <row r="1306" spans="1:41" x14ac:dyDescent="0.25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  <c r="AK1306" s="4">
        <f>IF(Table1[[#This Row],[Attrition]]="Yes", 1,0)</f>
        <v>0</v>
      </c>
      <c r="AL1306">
        <f>CORREL(Table1[Age],AK1306:AK2775)</f>
        <v>9.3237692303437675E-3</v>
      </c>
      <c r="AM1306">
        <f>CORREL(Table1[MonthlyIncome],AK1306:AK2775)</f>
        <v>-8.8907831943213101E-3</v>
      </c>
      <c r="AN1306">
        <f>CORREL(Table1[YearsAtCompany],AK1306:AK2775)</f>
        <v>-3.0504196336795665E-2</v>
      </c>
      <c r="AO1306">
        <f t="shared" si="20"/>
        <v>0</v>
      </c>
    </row>
    <row r="1307" spans="1:41" x14ac:dyDescent="0.25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  <c r="AK1307" s="4">
        <f>IF(Table1[[#This Row],[Attrition]]="Yes", 1,0)</f>
        <v>0</v>
      </c>
      <c r="AL1307">
        <f>CORREL(Table1[Age],AK1307:AK2776)</f>
        <v>0.12156891021802933</v>
      </c>
      <c r="AM1307">
        <f>CORREL(Table1[MonthlyIncome],AK1307:AK2776)</f>
        <v>4.9820343051229572E-2</v>
      </c>
      <c r="AN1307">
        <f>CORREL(Table1[YearsAtCompany],AK1307:AK2776)</f>
        <v>7.0535490931055184E-2</v>
      </c>
      <c r="AO1307">
        <f t="shared" si="20"/>
        <v>0</v>
      </c>
    </row>
    <row r="1308" spans="1:41" x14ac:dyDescent="0.25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  <c r="AK1308" s="4">
        <f>IF(Table1[[#This Row],[Attrition]]="Yes", 1,0)</f>
        <v>0</v>
      </c>
      <c r="AL1308">
        <f>CORREL(Table1[Age],AK1308:AK2777)</f>
        <v>1.3727412067168139E-2</v>
      </c>
      <c r="AM1308">
        <f>CORREL(Table1[MonthlyIncome],AK1308:AK2777)</f>
        <v>-5.4595748050106641E-2</v>
      </c>
      <c r="AN1308">
        <f>CORREL(Table1[YearsAtCompany],AK1308:AK2777)</f>
        <v>-5.8006358755333352E-3</v>
      </c>
      <c r="AO1308">
        <f t="shared" si="20"/>
        <v>0</v>
      </c>
    </row>
    <row r="1309" spans="1:41" x14ac:dyDescent="0.25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  <c r="AK1309" s="4">
        <f>IF(Table1[[#This Row],[Attrition]]="Yes", 1,0)</f>
        <v>0</v>
      </c>
      <c r="AL1309">
        <f>CORREL(Table1[Age],AK1309:AK2778)</f>
        <v>5.2577522095844077E-2</v>
      </c>
      <c r="AM1309">
        <f>CORREL(Table1[MonthlyIncome],AK1309:AK2778)</f>
        <v>8.1545480646824237E-3</v>
      </c>
      <c r="AN1309">
        <f>CORREL(Table1[YearsAtCompany],AK1309:AK2778)</f>
        <v>4.3168327344792805E-2</v>
      </c>
      <c r="AO1309">
        <f t="shared" si="20"/>
        <v>0</v>
      </c>
    </row>
    <row r="1310" spans="1:41" x14ac:dyDescent="0.25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  <c r="AK1310" s="4">
        <f>IF(Table1[[#This Row],[Attrition]]="Yes", 1,0)</f>
        <v>0</v>
      </c>
      <c r="AL1310">
        <f>CORREL(Table1[Age],AK1310:AK2779)</f>
        <v>9.5825972437281345E-2</v>
      </c>
      <c r="AM1310">
        <f>CORREL(Table1[MonthlyIncome],AK1310:AK2779)</f>
        <v>3.9672992879117595E-2</v>
      </c>
      <c r="AN1310">
        <f>CORREL(Table1[YearsAtCompany],AK1310:AK2779)</f>
        <v>4.2494849570366471E-2</v>
      </c>
      <c r="AO1310">
        <f t="shared" si="20"/>
        <v>0</v>
      </c>
    </row>
    <row r="1311" spans="1:41" x14ac:dyDescent="0.25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  <c r="AK1311" s="4">
        <f>IF(Table1[[#This Row],[Attrition]]="Yes", 1,0)</f>
        <v>0</v>
      </c>
      <c r="AL1311">
        <f>CORREL(Table1[Age],AK1311:AK2780)</f>
        <v>-2.7603138899727101E-2</v>
      </c>
      <c r="AM1311">
        <f>CORREL(Table1[MonthlyIncome],AK1311:AK2780)</f>
        <v>-4.5581378317737245E-2</v>
      </c>
      <c r="AN1311">
        <f>CORREL(Table1[YearsAtCompany],AK1311:AK2780)</f>
        <v>-5.0536884014367005E-2</v>
      </c>
      <c r="AO1311">
        <f t="shared" si="20"/>
        <v>0</v>
      </c>
    </row>
    <row r="1312" spans="1:41" x14ac:dyDescent="0.25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  <c r="AK1312" s="4">
        <f>IF(Table1[[#This Row],[Attrition]]="Yes", 1,0)</f>
        <v>0</v>
      </c>
      <c r="AL1312">
        <f>CORREL(Table1[Age],AK1312:AK2781)</f>
        <v>-0.10998386111948173</v>
      </c>
      <c r="AM1312">
        <f>CORREL(Table1[MonthlyIncome],AK1312:AK2781)</f>
        <v>3.4159886832627565E-2</v>
      </c>
      <c r="AN1312">
        <f>CORREL(Table1[YearsAtCompany],AK1312:AK2781)</f>
        <v>-2.1964254914877166E-2</v>
      </c>
      <c r="AO1312">
        <f t="shared" si="20"/>
        <v>0</v>
      </c>
    </row>
    <row r="1313" spans="1:41" x14ac:dyDescent="0.25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  <c r="AK1313" s="4">
        <f>IF(Table1[[#This Row],[Attrition]]="Yes", 1,0)</f>
        <v>0</v>
      </c>
      <c r="AL1313">
        <f>CORREL(Table1[Age],AK1313:AK2782)</f>
        <v>-1.9122976550544613E-3</v>
      </c>
      <c r="AM1313">
        <f>CORREL(Table1[MonthlyIncome],AK1313:AK2782)</f>
        <v>-7.7515159937307562E-3</v>
      </c>
      <c r="AN1313">
        <f>CORREL(Table1[YearsAtCompany],AK1313:AK2782)</f>
        <v>2.9654537589898954E-2</v>
      </c>
      <c r="AO1313">
        <f t="shared" si="20"/>
        <v>0</v>
      </c>
    </row>
    <row r="1314" spans="1:41" x14ac:dyDescent="0.25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  <c r="AK1314" s="4">
        <f>IF(Table1[[#This Row],[Attrition]]="Yes", 1,0)</f>
        <v>1</v>
      </c>
      <c r="AL1314">
        <f>CORREL(Table1[Age],AK1314:AK2783)</f>
        <v>-2.4199518644936829E-2</v>
      </c>
      <c r="AM1314">
        <f>CORREL(Table1[MonthlyIncome],AK1314:AK2783)</f>
        <v>-5.5081834519830453E-2</v>
      </c>
      <c r="AN1314">
        <f>CORREL(Table1[YearsAtCompany],AK1314:AK2783)</f>
        <v>1.206544098742144E-2</v>
      </c>
      <c r="AO1314">
        <f t="shared" si="20"/>
        <v>1</v>
      </c>
    </row>
    <row r="1315" spans="1:41" x14ac:dyDescent="0.25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  <c r="AK1315" s="4">
        <f>IF(Table1[[#This Row],[Attrition]]="Yes", 1,0)</f>
        <v>1</v>
      </c>
      <c r="AL1315">
        <f>CORREL(Table1[Age],AK1315:AK2784)</f>
        <v>7.7958882210647465E-2</v>
      </c>
      <c r="AM1315">
        <f>CORREL(Table1[MonthlyIncome],AK1315:AK2784)</f>
        <v>6.805822428833723E-2</v>
      </c>
      <c r="AN1315">
        <f>CORREL(Table1[YearsAtCompany],AK1315:AK2784)</f>
        <v>-6.8437077657735575E-3</v>
      </c>
      <c r="AO1315">
        <f t="shared" si="20"/>
        <v>1</v>
      </c>
    </row>
    <row r="1316" spans="1:41" x14ac:dyDescent="0.25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  <c r="AK1316" s="4">
        <f>IF(Table1[[#This Row],[Attrition]]="Yes", 1,0)</f>
        <v>0</v>
      </c>
      <c r="AL1316">
        <f>CORREL(Table1[Age],AK1316:AK2785)</f>
        <v>2.6898638896880038E-2</v>
      </c>
      <c r="AM1316">
        <f>CORREL(Table1[MonthlyIncome],AK1316:AK2785)</f>
        <v>0.11026690750652991</v>
      </c>
      <c r="AN1316">
        <f>CORREL(Table1[YearsAtCompany],AK1316:AK2785)</f>
        <v>-8.9733752480950103E-3</v>
      </c>
      <c r="AO1316">
        <f t="shared" si="20"/>
        <v>0</v>
      </c>
    </row>
    <row r="1317" spans="1:41" x14ac:dyDescent="0.25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  <c r="AK1317" s="4">
        <f>IF(Table1[[#This Row],[Attrition]]="Yes", 1,0)</f>
        <v>0</v>
      </c>
      <c r="AL1317">
        <f>CORREL(Table1[Age],AK1317:AK2786)</f>
        <v>-0.10610317917551937</v>
      </c>
      <c r="AM1317">
        <f>CORREL(Table1[MonthlyIncome],AK1317:AK2786)</f>
        <v>-3.1267011211693521E-2</v>
      </c>
      <c r="AN1317">
        <f>CORREL(Table1[YearsAtCompany],AK1317:AK2786)</f>
        <v>6.2265915363295503E-2</v>
      </c>
      <c r="AO1317">
        <f t="shared" si="20"/>
        <v>0</v>
      </c>
    </row>
    <row r="1318" spans="1:41" x14ac:dyDescent="0.25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  <c r="AK1318" s="4">
        <f>IF(Table1[[#This Row],[Attrition]]="Yes", 1,0)</f>
        <v>0</v>
      </c>
      <c r="AL1318">
        <f>CORREL(Table1[Age],AK1318:AK2787)</f>
        <v>7.2696025986716487E-3</v>
      </c>
      <c r="AM1318">
        <f>CORREL(Table1[MonthlyIncome],AK1318:AK2787)</f>
        <v>-8.3160795525027253E-2</v>
      </c>
      <c r="AN1318">
        <f>CORREL(Table1[YearsAtCompany],AK1318:AK2787)</f>
        <v>-1.6044726511048775E-2</v>
      </c>
      <c r="AO1318">
        <f t="shared" si="20"/>
        <v>0</v>
      </c>
    </row>
    <row r="1319" spans="1:41" x14ac:dyDescent="0.25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  <c r="AK1319" s="4">
        <f>IF(Table1[[#This Row],[Attrition]]="Yes", 1,0)</f>
        <v>0</v>
      </c>
      <c r="AL1319">
        <f>CORREL(Table1[Age],AK1319:AK2788)</f>
        <v>-4.4165624215851393E-2</v>
      </c>
      <c r="AM1319">
        <f>CORREL(Table1[MonthlyIncome],AK1319:AK2788)</f>
        <v>7.703457264055036E-3</v>
      </c>
      <c r="AN1319">
        <f>CORREL(Table1[YearsAtCompany],AK1319:AK2788)</f>
        <v>2.217228540840699E-3</v>
      </c>
      <c r="AO1319">
        <f t="shared" si="20"/>
        <v>0</v>
      </c>
    </row>
    <row r="1320" spans="1:41" x14ac:dyDescent="0.25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  <c r="AK1320" s="4">
        <f>IF(Table1[[#This Row],[Attrition]]="Yes", 1,0)</f>
        <v>0</v>
      </c>
      <c r="AL1320">
        <f>CORREL(Table1[Age],AK1320:AK2789)</f>
        <v>-6.1221900445321935E-2</v>
      </c>
      <c r="AM1320">
        <f>CORREL(Table1[MonthlyIncome],AK1320:AK2789)</f>
        <v>-7.3310914988404613E-2</v>
      </c>
      <c r="AN1320">
        <f>CORREL(Table1[YearsAtCompany],AK1320:AK2789)</f>
        <v>-6.6403234074311869E-3</v>
      </c>
      <c r="AO1320">
        <f t="shared" si="20"/>
        <v>0</v>
      </c>
    </row>
    <row r="1321" spans="1:41" x14ac:dyDescent="0.25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  <c r="AK1321" s="4">
        <f>IF(Table1[[#This Row],[Attrition]]="Yes", 1,0)</f>
        <v>0</v>
      </c>
      <c r="AL1321">
        <f>CORREL(Table1[Age],AK1321:AK2790)</f>
        <v>-5.3482979628482016E-2</v>
      </c>
      <c r="AM1321">
        <f>CORREL(Table1[MonthlyIncome],AK1321:AK2790)</f>
        <v>-3.0860232735245409E-3</v>
      </c>
      <c r="AN1321">
        <f>CORREL(Table1[YearsAtCompany],AK1321:AK2790)</f>
        <v>-5.5373795349693286E-3</v>
      </c>
      <c r="AO1321">
        <f t="shared" si="20"/>
        <v>0</v>
      </c>
    </row>
    <row r="1322" spans="1:41" x14ac:dyDescent="0.25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  <c r="AK1322" s="4">
        <f>IF(Table1[[#This Row],[Attrition]]="Yes", 1,0)</f>
        <v>0</v>
      </c>
      <c r="AL1322">
        <f>CORREL(Table1[Age],AK1322:AK2791)</f>
        <v>9.2732054935563982E-2</v>
      </c>
      <c r="AM1322">
        <f>CORREL(Table1[MonthlyIncome],AK1322:AK2791)</f>
        <v>-3.7030142912039113E-2</v>
      </c>
      <c r="AN1322">
        <f>CORREL(Table1[YearsAtCompany],AK1322:AK2791)</f>
        <v>1.1294253699139932E-2</v>
      </c>
      <c r="AO1322">
        <f t="shared" si="20"/>
        <v>0</v>
      </c>
    </row>
    <row r="1323" spans="1:41" x14ac:dyDescent="0.25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  <c r="AK1323" s="4">
        <f>IF(Table1[[#This Row],[Attrition]]="Yes", 1,0)</f>
        <v>0</v>
      </c>
      <c r="AL1323">
        <f>CORREL(Table1[Age],AK1323:AK2792)</f>
        <v>-6.6652363441278228E-2</v>
      </c>
      <c r="AM1323">
        <f>CORREL(Table1[MonthlyIncome],AK1323:AK2792)</f>
        <v>-2.6970599295826958E-2</v>
      </c>
      <c r="AN1323">
        <f>CORREL(Table1[YearsAtCompany],AK1323:AK2792)</f>
        <v>3.6090254702228652E-2</v>
      </c>
      <c r="AO1323">
        <f t="shared" si="20"/>
        <v>0</v>
      </c>
    </row>
    <row r="1324" spans="1:41" x14ac:dyDescent="0.25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  <c r="AK1324" s="4">
        <f>IF(Table1[[#This Row],[Attrition]]="Yes", 1,0)</f>
        <v>0</v>
      </c>
      <c r="AL1324">
        <f>CORREL(Table1[Age],AK1324:AK2793)</f>
        <v>-0.11833520532547934</v>
      </c>
      <c r="AM1324">
        <f>CORREL(Table1[MonthlyIncome],AK1324:AK2793)</f>
        <v>-0.11787833423886265</v>
      </c>
      <c r="AN1324">
        <f>CORREL(Table1[YearsAtCompany],AK1324:AK2793)</f>
        <v>-7.5810884887457922E-2</v>
      </c>
      <c r="AO1324">
        <f t="shared" si="20"/>
        <v>0</v>
      </c>
    </row>
    <row r="1325" spans="1:41" x14ac:dyDescent="0.25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  <c r="AK1325" s="4">
        <f>IF(Table1[[#This Row],[Attrition]]="Yes", 1,0)</f>
        <v>0</v>
      </c>
      <c r="AL1325">
        <f>CORREL(Table1[Age],AK1325:AK2794)</f>
        <v>-6.0472366142317893E-2</v>
      </c>
      <c r="AM1325">
        <f>CORREL(Table1[MonthlyIncome],AK1325:AK2794)</f>
        <v>3.6793506903874292E-3</v>
      </c>
      <c r="AN1325">
        <f>CORREL(Table1[YearsAtCompany],AK1325:AK2794)</f>
        <v>-6.6875511892415E-3</v>
      </c>
      <c r="AO1325">
        <f t="shared" si="20"/>
        <v>0</v>
      </c>
    </row>
    <row r="1326" spans="1:41" x14ac:dyDescent="0.25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  <c r="AK1326" s="4">
        <f>IF(Table1[[#This Row],[Attrition]]="Yes", 1,0)</f>
        <v>0</v>
      </c>
      <c r="AL1326">
        <f>CORREL(Table1[Age],AK1326:AK2795)</f>
        <v>-0.15344653965430302</v>
      </c>
      <c r="AM1326">
        <f>CORREL(Table1[MonthlyIncome],AK1326:AK2795)</f>
        <v>5.2295938914743391E-3</v>
      </c>
      <c r="AN1326">
        <f>CORREL(Table1[YearsAtCompany],AK1326:AK2795)</f>
        <v>-5.5599667729822694E-2</v>
      </c>
      <c r="AO1326">
        <f t="shared" si="20"/>
        <v>0</v>
      </c>
    </row>
    <row r="1327" spans="1:41" x14ac:dyDescent="0.25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  <c r="AK1327" s="4">
        <f>IF(Table1[[#This Row],[Attrition]]="Yes", 1,0)</f>
        <v>0</v>
      </c>
      <c r="AL1327">
        <f>CORREL(Table1[Age],AK1327:AK2796)</f>
        <v>3.6995399221579371E-2</v>
      </c>
      <c r="AM1327">
        <f>CORREL(Table1[MonthlyIncome],AK1327:AK2796)</f>
        <v>5.9309326723372809E-2</v>
      </c>
      <c r="AN1327">
        <f>CORREL(Table1[YearsAtCompany],AK1327:AK2796)</f>
        <v>-3.0138673416908745E-2</v>
      </c>
      <c r="AO1327">
        <f t="shared" si="20"/>
        <v>0</v>
      </c>
    </row>
    <row r="1328" spans="1:41" x14ac:dyDescent="0.25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  <c r="AK1328" s="4">
        <f>IF(Table1[[#This Row],[Attrition]]="Yes", 1,0)</f>
        <v>1</v>
      </c>
      <c r="AL1328">
        <f>CORREL(Table1[Age],AK1328:AK2797)</f>
        <v>0.11198681698056834</v>
      </c>
      <c r="AM1328">
        <f>CORREL(Table1[MonthlyIncome],AK1328:AK2797)</f>
        <v>3.4766768738621417E-2</v>
      </c>
      <c r="AN1328">
        <f>CORREL(Table1[YearsAtCompany],AK1328:AK2797)</f>
        <v>4.2617341944432133E-2</v>
      </c>
      <c r="AO1328">
        <f t="shared" si="20"/>
        <v>1</v>
      </c>
    </row>
    <row r="1329" spans="1:41" x14ac:dyDescent="0.25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  <c r="AK1329" s="4">
        <f>IF(Table1[[#This Row],[Attrition]]="Yes", 1,0)</f>
        <v>0</v>
      </c>
      <c r="AL1329">
        <f>CORREL(Table1[Age],AK1329:AK2798)</f>
        <v>-1.0685449516739165E-2</v>
      </c>
      <c r="AM1329">
        <f>CORREL(Table1[MonthlyIncome],AK1329:AK2798)</f>
        <v>-0.14253991378662881</v>
      </c>
      <c r="AN1329">
        <f>CORREL(Table1[YearsAtCompany],AK1329:AK2798)</f>
        <v>-2.8184903690874077E-2</v>
      </c>
      <c r="AO1329">
        <f t="shared" si="20"/>
        <v>0</v>
      </c>
    </row>
    <row r="1330" spans="1:41" x14ac:dyDescent="0.25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  <c r="AK1330" s="4">
        <f>IF(Table1[[#This Row],[Attrition]]="Yes", 1,0)</f>
        <v>0</v>
      </c>
      <c r="AL1330">
        <f>CORREL(Table1[Age],AK1330:AK2799)</f>
        <v>-3.2268446167471099E-2</v>
      </c>
      <c r="AM1330">
        <f>CORREL(Table1[MonthlyIncome],AK1330:AK2799)</f>
        <v>1.1911274561414114E-2</v>
      </c>
      <c r="AN1330">
        <f>CORREL(Table1[YearsAtCompany],AK1330:AK2799)</f>
        <v>-5.0546330156330463E-3</v>
      </c>
      <c r="AO1330">
        <f t="shared" si="20"/>
        <v>0</v>
      </c>
    </row>
    <row r="1331" spans="1:41" x14ac:dyDescent="0.25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  <c r="AK1331" s="4">
        <f>IF(Table1[[#This Row],[Attrition]]="Yes", 1,0)</f>
        <v>0</v>
      </c>
      <c r="AL1331">
        <f>CORREL(Table1[Age],AK1331:AK2800)</f>
        <v>-1.8121245281956953E-3</v>
      </c>
      <c r="AM1331">
        <f>CORREL(Table1[MonthlyIncome],AK1331:AK2800)</f>
        <v>-3.2600523265498033E-2</v>
      </c>
      <c r="AN1331">
        <f>CORREL(Table1[YearsAtCompany],AK1331:AK2800)</f>
        <v>-7.3570589691373589E-2</v>
      </c>
      <c r="AO1331">
        <f t="shared" si="20"/>
        <v>0</v>
      </c>
    </row>
    <row r="1332" spans="1:41" x14ac:dyDescent="0.25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  <c r="AK1332" s="4">
        <f>IF(Table1[[#This Row],[Attrition]]="Yes", 1,0)</f>
        <v>0</v>
      </c>
      <c r="AL1332">
        <f>CORREL(Table1[Age],AK1332:AK2801)</f>
        <v>4.9212609019600298E-2</v>
      </c>
      <c r="AM1332">
        <f>CORREL(Table1[MonthlyIncome],AK1332:AK2801)</f>
        <v>2.9964001588635165E-2</v>
      </c>
      <c r="AN1332">
        <f>CORREL(Table1[YearsAtCompany],AK1332:AK2801)</f>
        <v>-9.6133585634864363E-2</v>
      </c>
      <c r="AO1332">
        <f t="shared" si="20"/>
        <v>0</v>
      </c>
    </row>
    <row r="1333" spans="1:41" x14ac:dyDescent="0.25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  <c r="AK1333" s="4">
        <f>IF(Table1[[#This Row],[Attrition]]="Yes", 1,0)</f>
        <v>0</v>
      </c>
      <c r="AL1333">
        <f>CORREL(Table1[Age],AK1333:AK2802)</f>
        <v>-8.6479483116943215E-2</v>
      </c>
      <c r="AM1333">
        <f>CORREL(Table1[MonthlyIncome],AK1333:AK2802)</f>
        <v>-4.3258336340044203E-2</v>
      </c>
      <c r="AN1333">
        <f>CORREL(Table1[YearsAtCompany],AK1333:AK2802)</f>
        <v>-3.5746460898419097E-2</v>
      </c>
      <c r="AO1333">
        <f t="shared" si="20"/>
        <v>0</v>
      </c>
    </row>
    <row r="1334" spans="1:41" x14ac:dyDescent="0.25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  <c r="AK1334" s="4">
        <f>IF(Table1[[#This Row],[Attrition]]="Yes", 1,0)</f>
        <v>1</v>
      </c>
      <c r="AL1334">
        <f>CORREL(Table1[Age],AK1334:AK2803)</f>
        <v>0.16319537107538776</v>
      </c>
      <c r="AM1334">
        <f>CORREL(Table1[MonthlyIncome],AK1334:AK2803)</f>
        <v>4.7663100945671381E-2</v>
      </c>
      <c r="AN1334">
        <f>CORREL(Table1[YearsAtCompany],AK1334:AK2803)</f>
        <v>5.2349222964506704E-2</v>
      </c>
      <c r="AO1334">
        <f t="shared" si="20"/>
        <v>1</v>
      </c>
    </row>
    <row r="1335" spans="1:41" x14ac:dyDescent="0.25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  <c r="AK1335" s="4">
        <f>IF(Table1[[#This Row],[Attrition]]="Yes", 1,0)</f>
        <v>1</v>
      </c>
      <c r="AL1335">
        <f>CORREL(Table1[Age],AK1335:AK2804)</f>
        <v>4.6490569781418939E-2</v>
      </c>
      <c r="AM1335">
        <f>CORREL(Table1[MonthlyIncome],AK1335:AK2804)</f>
        <v>6.7942883328128666E-3</v>
      </c>
      <c r="AN1335">
        <f>CORREL(Table1[YearsAtCompany],AK1335:AK2804)</f>
        <v>5.0885599328385142E-2</v>
      </c>
      <c r="AO1335">
        <f t="shared" si="20"/>
        <v>1</v>
      </c>
    </row>
    <row r="1336" spans="1:41" x14ac:dyDescent="0.25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  <c r="AK1336" s="4">
        <f>IF(Table1[[#This Row],[Attrition]]="Yes", 1,0)</f>
        <v>0</v>
      </c>
      <c r="AL1336">
        <f>CORREL(Table1[Age],AK1336:AK2805)</f>
        <v>-6.8973961105135595E-2</v>
      </c>
      <c r="AM1336">
        <f>CORREL(Table1[MonthlyIncome],AK1336:AK2805)</f>
        <v>-2.2770023168902316E-2</v>
      </c>
      <c r="AN1336">
        <f>CORREL(Table1[YearsAtCompany],AK1336:AK2805)</f>
        <v>-4.8442189885149218E-3</v>
      </c>
      <c r="AO1336">
        <f t="shared" si="20"/>
        <v>0</v>
      </c>
    </row>
    <row r="1337" spans="1:41" x14ac:dyDescent="0.25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  <c r="AK1337" s="4">
        <f>IF(Table1[[#This Row],[Attrition]]="Yes", 1,0)</f>
        <v>0</v>
      </c>
      <c r="AL1337">
        <f>CORREL(Table1[Age],AK1337:AK2806)</f>
        <v>-0.10683537133120102</v>
      </c>
      <c r="AM1337">
        <f>CORREL(Table1[MonthlyIncome],AK1337:AK2806)</f>
        <v>-4.2192346803941787E-2</v>
      </c>
      <c r="AN1337">
        <f>CORREL(Table1[YearsAtCompany],AK1337:AK2806)</f>
        <v>0.15196344277750393</v>
      </c>
      <c r="AO1337">
        <f t="shared" si="20"/>
        <v>0</v>
      </c>
    </row>
    <row r="1338" spans="1:41" x14ac:dyDescent="0.25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  <c r="AK1338" s="4">
        <f>IF(Table1[[#This Row],[Attrition]]="Yes", 1,0)</f>
        <v>0</v>
      </c>
      <c r="AL1338">
        <f>CORREL(Table1[Age],AK1338:AK2807)</f>
        <v>-0.13649855403373537</v>
      </c>
      <c r="AM1338">
        <f>CORREL(Table1[MonthlyIncome],AK1338:AK2807)</f>
        <v>5.9260664217286721E-2</v>
      </c>
      <c r="AN1338">
        <f>CORREL(Table1[YearsAtCompany],AK1338:AK2807)</f>
        <v>-5.5587104088961226E-2</v>
      </c>
      <c r="AO1338">
        <f t="shared" si="20"/>
        <v>0</v>
      </c>
    </row>
    <row r="1339" spans="1:41" x14ac:dyDescent="0.25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  <c r="AK1339" s="4">
        <f>IF(Table1[[#This Row],[Attrition]]="Yes", 1,0)</f>
        <v>0</v>
      </c>
      <c r="AL1339">
        <f>CORREL(Table1[Age],AK1339:AK2808)</f>
        <v>-8.1398210428382203E-2</v>
      </c>
      <c r="AM1339">
        <f>CORREL(Table1[MonthlyIncome],AK1339:AK2808)</f>
        <v>-3.0461008403143232E-2</v>
      </c>
      <c r="AN1339">
        <f>CORREL(Table1[YearsAtCompany],AK1339:AK2808)</f>
        <v>-7.1379376955333987E-2</v>
      </c>
      <c r="AO1339">
        <f t="shared" si="20"/>
        <v>0</v>
      </c>
    </row>
    <row r="1340" spans="1:41" x14ac:dyDescent="0.25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  <c r="AK1340" s="4">
        <f>IF(Table1[[#This Row],[Attrition]]="Yes", 1,0)</f>
        <v>1</v>
      </c>
      <c r="AL1340">
        <f>CORREL(Table1[Age],AK1340:AK2809)</f>
        <v>4.6524812120297535E-2</v>
      </c>
      <c r="AM1340">
        <f>CORREL(Table1[MonthlyIncome],AK1340:AK2809)</f>
        <v>2.9956492317008008E-2</v>
      </c>
      <c r="AN1340">
        <f>CORREL(Table1[YearsAtCompany],AK1340:AK2809)</f>
        <v>-6.3642050612560661E-2</v>
      </c>
      <c r="AO1340">
        <f t="shared" si="20"/>
        <v>1</v>
      </c>
    </row>
    <row r="1341" spans="1:41" x14ac:dyDescent="0.25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  <c r="AK1341" s="4">
        <f>IF(Table1[[#This Row],[Attrition]]="Yes", 1,0)</f>
        <v>1</v>
      </c>
      <c r="AL1341">
        <f>CORREL(Table1[Age],AK1341:AK2810)</f>
        <v>8.6437637188737631E-3</v>
      </c>
      <c r="AM1341">
        <f>CORREL(Table1[MonthlyIncome],AK1341:AK2810)</f>
        <v>-7.832285214102605E-2</v>
      </c>
      <c r="AN1341">
        <f>CORREL(Table1[YearsAtCompany],AK1341:AK2810)</f>
        <v>-9.1243124325480943E-2</v>
      </c>
      <c r="AO1341">
        <f t="shared" si="20"/>
        <v>1</v>
      </c>
    </row>
    <row r="1342" spans="1:41" x14ac:dyDescent="0.25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  <c r="AK1342" s="4">
        <f>IF(Table1[[#This Row],[Attrition]]="Yes", 1,0)</f>
        <v>0</v>
      </c>
      <c r="AL1342">
        <f>CORREL(Table1[Age],AK1342:AK2811)</f>
        <v>8.4454541309844144E-2</v>
      </c>
      <c r="AM1342">
        <f>CORREL(Table1[MonthlyIncome],AK1342:AK2811)</f>
        <v>0.19079949272228236</v>
      </c>
      <c r="AN1342">
        <f>CORREL(Table1[YearsAtCompany],AK1342:AK2811)</f>
        <v>2.8046123360907907E-2</v>
      </c>
      <c r="AO1342">
        <f t="shared" si="20"/>
        <v>0</v>
      </c>
    </row>
    <row r="1343" spans="1:41" x14ac:dyDescent="0.25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  <c r="AK1343" s="4">
        <f>IF(Table1[[#This Row],[Attrition]]="Yes", 1,0)</f>
        <v>0</v>
      </c>
      <c r="AL1343">
        <f>CORREL(Table1[Age],AK1343:AK2812)</f>
        <v>-0.16583352925764108</v>
      </c>
      <c r="AM1343">
        <f>CORREL(Table1[MonthlyIncome],AK1343:AK2812)</f>
        <v>-0.12228583518482661</v>
      </c>
      <c r="AN1343">
        <f>CORREL(Table1[YearsAtCompany],AK1343:AK2812)</f>
        <v>-1.4866653032319281E-2</v>
      </c>
      <c r="AO1343">
        <f t="shared" si="20"/>
        <v>0</v>
      </c>
    </row>
    <row r="1344" spans="1:41" x14ac:dyDescent="0.25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  <c r="AK1344" s="4">
        <f>IF(Table1[[#This Row],[Attrition]]="Yes", 1,0)</f>
        <v>0</v>
      </c>
      <c r="AL1344">
        <f>CORREL(Table1[Age],AK1344:AK2813)</f>
        <v>-0.11016219439983775</v>
      </c>
      <c r="AM1344">
        <f>CORREL(Table1[MonthlyIncome],AK1344:AK2813)</f>
        <v>-7.9785981979389464E-2</v>
      </c>
      <c r="AN1344">
        <f>CORREL(Table1[YearsAtCompany],AK1344:AK2813)</f>
        <v>-4.8865728402534878E-2</v>
      </c>
      <c r="AO1344">
        <f t="shared" si="20"/>
        <v>0</v>
      </c>
    </row>
    <row r="1345" spans="1:41" x14ac:dyDescent="0.25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  <c r="AK1345" s="4">
        <f>IF(Table1[[#This Row],[Attrition]]="Yes", 1,0)</f>
        <v>0</v>
      </c>
      <c r="AL1345">
        <f>CORREL(Table1[Age],AK1345:AK2814)</f>
        <v>-2.5908189087511239E-2</v>
      </c>
      <c r="AM1345">
        <f>CORREL(Table1[MonthlyIncome],AK1345:AK2814)</f>
        <v>-0.10148027136652597</v>
      </c>
      <c r="AN1345">
        <f>CORREL(Table1[YearsAtCompany],AK1345:AK2814)</f>
        <v>-0.11972157903724687</v>
      </c>
      <c r="AO1345">
        <f t="shared" si="20"/>
        <v>0</v>
      </c>
    </row>
    <row r="1346" spans="1:41" x14ac:dyDescent="0.25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  <c r="AK1346" s="4">
        <f>IF(Table1[[#This Row],[Attrition]]="Yes", 1,0)</f>
        <v>0</v>
      </c>
      <c r="AL1346">
        <f>CORREL(Table1[Age],AK1346:AK2815)</f>
        <v>5.1283675019578867E-2</v>
      </c>
      <c r="AM1346">
        <f>CORREL(Table1[MonthlyIncome],AK1346:AK2815)</f>
        <v>-1.2115530555815483E-2</v>
      </c>
      <c r="AN1346">
        <f>CORREL(Table1[YearsAtCompany],AK1346:AK2815)</f>
        <v>7.8957947621317873E-2</v>
      </c>
      <c r="AO1346">
        <f t="shared" si="20"/>
        <v>0</v>
      </c>
    </row>
    <row r="1347" spans="1:41" x14ac:dyDescent="0.25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  <c r="AK1347" s="4">
        <f>IF(Table1[[#This Row],[Attrition]]="Yes", 1,0)</f>
        <v>0</v>
      </c>
      <c r="AL1347">
        <f>CORREL(Table1[Age],AK1347:AK2816)</f>
        <v>-0.10656430963509933</v>
      </c>
      <c r="AM1347">
        <f>CORREL(Table1[MonthlyIncome],AK1347:AK2816)</f>
        <v>9.6706176725290776E-4</v>
      </c>
      <c r="AN1347">
        <f>CORREL(Table1[YearsAtCompany],AK1347:AK2816)</f>
        <v>-3.9703182115940532E-2</v>
      </c>
      <c r="AO1347">
        <f t="shared" ref="AO1347:AO1410" si="21">ABS(AK1347)</f>
        <v>0</v>
      </c>
    </row>
    <row r="1348" spans="1:41" x14ac:dyDescent="0.25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  <c r="AK1348" s="4">
        <f>IF(Table1[[#This Row],[Attrition]]="Yes", 1,0)</f>
        <v>0</v>
      </c>
      <c r="AL1348">
        <f>CORREL(Table1[Age],AK1348:AK2817)</f>
        <v>9.4922621655006278E-4</v>
      </c>
      <c r="AM1348">
        <f>CORREL(Table1[MonthlyIncome],AK1348:AK2817)</f>
        <v>5.7754185033641298E-2</v>
      </c>
      <c r="AN1348">
        <f>CORREL(Table1[YearsAtCompany],AK1348:AK2817)</f>
        <v>-1.217482346026713E-2</v>
      </c>
      <c r="AO1348">
        <f t="shared" si="21"/>
        <v>0</v>
      </c>
    </row>
    <row r="1349" spans="1:41" x14ac:dyDescent="0.25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  <c r="AK1349" s="4">
        <f>IF(Table1[[#This Row],[Attrition]]="Yes", 1,0)</f>
        <v>0</v>
      </c>
      <c r="AL1349">
        <f>CORREL(Table1[Age],AK1349:AK2818)</f>
        <v>0.16706991307024957</v>
      </c>
      <c r="AM1349">
        <f>CORREL(Table1[MonthlyIncome],AK1349:AK2818)</f>
        <v>0.11699377726119781</v>
      </c>
      <c r="AN1349">
        <f>CORREL(Table1[YearsAtCompany],AK1349:AK2818)</f>
        <v>6.9562809233983336E-2</v>
      </c>
      <c r="AO1349">
        <f t="shared" si="21"/>
        <v>0</v>
      </c>
    </row>
    <row r="1350" spans="1:41" x14ac:dyDescent="0.25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  <c r="AK1350" s="4">
        <f>IF(Table1[[#This Row],[Attrition]]="Yes", 1,0)</f>
        <v>0</v>
      </c>
      <c r="AL1350">
        <f>CORREL(Table1[Age],AK1350:AK2819)</f>
        <v>-5.2009651409277852E-2</v>
      </c>
      <c r="AM1350">
        <f>CORREL(Table1[MonthlyIncome],AK1350:AK2819)</f>
        <v>-0.11019858535813123</v>
      </c>
      <c r="AN1350">
        <f>CORREL(Table1[YearsAtCompany],AK1350:AK2819)</f>
        <v>-6.3334905168449723E-2</v>
      </c>
      <c r="AO1350">
        <f t="shared" si="21"/>
        <v>0</v>
      </c>
    </row>
    <row r="1351" spans="1:41" x14ac:dyDescent="0.25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  <c r="AK1351" s="4">
        <f>IF(Table1[[#This Row],[Attrition]]="Yes", 1,0)</f>
        <v>0</v>
      </c>
      <c r="AL1351">
        <f>CORREL(Table1[Age],AK1351:AK2820)</f>
        <v>-2.3166155664552362E-2</v>
      </c>
      <c r="AM1351">
        <f>CORREL(Table1[MonthlyIncome],AK1351:AK2820)</f>
        <v>-8.555624086814817E-3</v>
      </c>
      <c r="AN1351">
        <f>CORREL(Table1[YearsAtCompany],AK1351:AK2820)</f>
        <v>-4.3268284549806135E-2</v>
      </c>
      <c r="AO1351">
        <f t="shared" si="21"/>
        <v>0</v>
      </c>
    </row>
    <row r="1352" spans="1:41" x14ac:dyDescent="0.25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  <c r="AK1352" s="4">
        <f>IF(Table1[[#This Row],[Attrition]]="Yes", 1,0)</f>
        <v>0</v>
      </c>
      <c r="AL1352">
        <f>CORREL(Table1[Age],AK1352:AK2821)</f>
        <v>-0.10823211771046434</v>
      </c>
      <c r="AM1352">
        <f>CORREL(Table1[MonthlyIncome],AK1352:AK2821)</f>
        <v>0.10983379429198301</v>
      </c>
      <c r="AN1352">
        <f>CORREL(Table1[YearsAtCompany],AK1352:AK2821)</f>
        <v>7.4487644062560823E-2</v>
      </c>
      <c r="AO1352">
        <f t="shared" si="21"/>
        <v>0</v>
      </c>
    </row>
    <row r="1353" spans="1:41" x14ac:dyDescent="0.25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  <c r="AK1353" s="4">
        <f>IF(Table1[[#This Row],[Attrition]]="Yes", 1,0)</f>
        <v>0</v>
      </c>
      <c r="AL1353">
        <f>CORREL(Table1[Age],AK1353:AK2822)</f>
        <v>0.11991290870431137</v>
      </c>
      <c r="AM1353">
        <f>CORREL(Table1[MonthlyIncome],AK1353:AK2822)</f>
        <v>3.6318073907679133E-2</v>
      </c>
      <c r="AN1353">
        <f>CORREL(Table1[YearsAtCompany],AK1353:AK2822)</f>
        <v>0.19403241786288108</v>
      </c>
      <c r="AO1353">
        <f t="shared" si="21"/>
        <v>0</v>
      </c>
    </row>
    <row r="1354" spans="1:41" x14ac:dyDescent="0.25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  <c r="AK1354" s="4">
        <f>IF(Table1[[#This Row],[Attrition]]="Yes", 1,0)</f>
        <v>0</v>
      </c>
      <c r="AL1354">
        <f>CORREL(Table1[Age],AK1354:AK2823)</f>
        <v>-0.19549216304562811</v>
      </c>
      <c r="AM1354">
        <f>CORREL(Table1[MonthlyIncome],AK1354:AK2823)</f>
        <v>-0.13926033206808203</v>
      </c>
      <c r="AN1354">
        <f>CORREL(Table1[YearsAtCompany],AK1354:AK2823)</f>
        <v>-5.8254072594173555E-2</v>
      </c>
      <c r="AO1354">
        <f t="shared" si="21"/>
        <v>0</v>
      </c>
    </row>
    <row r="1355" spans="1:41" x14ac:dyDescent="0.25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  <c r="AK1355" s="4">
        <f>IF(Table1[[#This Row],[Attrition]]="Yes", 1,0)</f>
        <v>1</v>
      </c>
      <c r="AL1355">
        <f>CORREL(Table1[Age],AK1355:AK2824)</f>
        <v>2.2480558508795028E-2</v>
      </c>
      <c r="AM1355">
        <f>CORREL(Table1[MonthlyIncome],AK1355:AK2824)</f>
        <v>-7.6713095715430113E-2</v>
      </c>
      <c r="AN1355">
        <f>CORREL(Table1[YearsAtCompany],AK1355:AK2824)</f>
        <v>-1.1242737128584862E-2</v>
      </c>
      <c r="AO1355">
        <f t="shared" si="21"/>
        <v>1</v>
      </c>
    </row>
    <row r="1356" spans="1:41" x14ac:dyDescent="0.25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  <c r="AK1356" s="4">
        <f>IF(Table1[[#This Row],[Attrition]]="Yes", 1,0)</f>
        <v>1</v>
      </c>
      <c r="AL1356">
        <f>CORREL(Table1[Age],AK1356:AK2825)</f>
        <v>-1.7229483360459156E-2</v>
      </c>
      <c r="AM1356">
        <f>CORREL(Table1[MonthlyIncome],AK1356:AK2825)</f>
        <v>6.9033871257538446E-2</v>
      </c>
      <c r="AN1356">
        <f>CORREL(Table1[YearsAtCompany],AK1356:AK2825)</f>
        <v>0.18800443104046882</v>
      </c>
      <c r="AO1356">
        <f t="shared" si="21"/>
        <v>1</v>
      </c>
    </row>
    <row r="1357" spans="1:41" x14ac:dyDescent="0.25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  <c r="AK1357" s="4">
        <f>IF(Table1[[#This Row],[Attrition]]="Yes", 1,0)</f>
        <v>0</v>
      </c>
      <c r="AL1357">
        <f>CORREL(Table1[Age],AK1357:AK2826)</f>
        <v>-2.3164184659874364E-2</v>
      </c>
      <c r="AM1357">
        <f>CORREL(Table1[MonthlyIncome],AK1357:AK2826)</f>
        <v>-9.9112503780331151E-2</v>
      </c>
      <c r="AN1357">
        <f>CORREL(Table1[YearsAtCompany],AK1357:AK2826)</f>
        <v>-7.6351591886949038E-2</v>
      </c>
      <c r="AO1357">
        <f t="shared" si="21"/>
        <v>0</v>
      </c>
    </row>
    <row r="1358" spans="1:41" x14ac:dyDescent="0.25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  <c r="AK1358" s="4">
        <f>IF(Table1[[#This Row],[Attrition]]="Yes", 1,0)</f>
        <v>0</v>
      </c>
      <c r="AL1358">
        <f>CORREL(Table1[Age],AK1358:AK2827)</f>
        <v>-0.10428371023933293</v>
      </c>
      <c r="AM1358">
        <f>CORREL(Table1[MonthlyIncome],AK1358:AK2827)</f>
        <v>-6.6308396195708941E-2</v>
      </c>
      <c r="AN1358">
        <f>CORREL(Table1[YearsAtCompany],AK1358:AK2827)</f>
        <v>-0.19184946902288053</v>
      </c>
      <c r="AO1358">
        <f t="shared" si="21"/>
        <v>0</v>
      </c>
    </row>
    <row r="1359" spans="1:41" x14ac:dyDescent="0.25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  <c r="AK1359" s="4">
        <f>IF(Table1[[#This Row],[Attrition]]="Yes", 1,0)</f>
        <v>0</v>
      </c>
      <c r="AL1359">
        <f>CORREL(Table1[Age],AK1359:AK2828)</f>
        <v>0.14495659586650353</v>
      </c>
      <c r="AM1359">
        <f>CORREL(Table1[MonthlyIncome],AK1359:AK2828)</f>
        <v>4.5832643102307891E-2</v>
      </c>
      <c r="AN1359">
        <f>CORREL(Table1[YearsAtCompany],AK1359:AK2828)</f>
        <v>-8.1709329539132423E-3</v>
      </c>
      <c r="AO1359">
        <f t="shared" si="21"/>
        <v>0</v>
      </c>
    </row>
    <row r="1360" spans="1:41" x14ac:dyDescent="0.25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  <c r="AK1360" s="4">
        <f>IF(Table1[[#This Row],[Attrition]]="Yes", 1,0)</f>
        <v>0</v>
      </c>
      <c r="AL1360">
        <f>CORREL(Table1[Age],AK1360:AK2829)</f>
        <v>-0.23003916336317154</v>
      </c>
      <c r="AM1360">
        <f>CORREL(Table1[MonthlyIncome],AK1360:AK2829)</f>
        <v>-0.1960839466712597</v>
      </c>
      <c r="AN1360">
        <f>CORREL(Table1[YearsAtCompany],AK1360:AK2829)</f>
        <v>-4.5078573619293238E-2</v>
      </c>
      <c r="AO1360">
        <f t="shared" si="21"/>
        <v>0</v>
      </c>
    </row>
    <row r="1361" spans="1:41" x14ac:dyDescent="0.25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  <c r="AK1361" s="4">
        <f>IF(Table1[[#This Row],[Attrition]]="Yes", 1,0)</f>
        <v>0</v>
      </c>
      <c r="AL1361">
        <f>CORREL(Table1[Age],AK1361:AK2830)</f>
        <v>0.11505666886682336</v>
      </c>
      <c r="AM1361">
        <f>CORREL(Table1[MonthlyIncome],AK1361:AK2830)</f>
        <v>-0.11732056782595499</v>
      </c>
      <c r="AN1361">
        <f>CORREL(Table1[YearsAtCompany],AK1361:AK2830)</f>
        <v>-9.8184026292332222E-2</v>
      </c>
      <c r="AO1361">
        <f t="shared" si="21"/>
        <v>0</v>
      </c>
    </row>
    <row r="1362" spans="1:41" x14ac:dyDescent="0.25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  <c r="AK1362" s="4">
        <f>IF(Table1[[#This Row],[Attrition]]="Yes", 1,0)</f>
        <v>0</v>
      </c>
      <c r="AL1362">
        <f>CORREL(Table1[Age],AK1362:AK2831)</f>
        <v>1.0324046676003961E-2</v>
      </c>
      <c r="AM1362">
        <f>CORREL(Table1[MonthlyIncome],AK1362:AK2831)</f>
        <v>-4.1650622285365355E-2</v>
      </c>
      <c r="AN1362">
        <f>CORREL(Table1[YearsAtCompany],AK1362:AK2831)</f>
        <v>-9.5563661917066209E-2</v>
      </c>
      <c r="AO1362">
        <f t="shared" si="21"/>
        <v>0</v>
      </c>
    </row>
    <row r="1363" spans="1:41" x14ac:dyDescent="0.25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  <c r="AK1363" s="4">
        <f>IF(Table1[[#This Row],[Attrition]]="Yes", 1,0)</f>
        <v>0</v>
      </c>
      <c r="AL1363">
        <f>CORREL(Table1[Age],AK1363:AK2832)</f>
        <v>5.4992966870614987E-2</v>
      </c>
      <c r="AM1363">
        <f>CORREL(Table1[MonthlyIncome],AK1363:AK2832)</f>
        <v>6.4189778629340916E-2</v>
      </c>
      <c r="AN1363">
        <f>CORREL(Table1[YearsAtCompany],AK1363:AK2832)</f>
        <v>8.7854673242836309E-4</v>
      </c>
      <c r="AO1363">
        <f t="shared" si="21"/>
        <v>0</v>
      </c>
    </row>
    <row r="1364" spans="1:41" x14ac:dyDescent="0.25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  <c r="AK1364" s="4">
        <f>IF(Table1[[#This Row],[Attrition]]="Yes", 1,0)</f>
        <v>0</v>
      </c>
      <c r="AL1364">
        <f>CORREL(Table1[Age],AK1364:AK2833)</f>
        <v>-5.8499112596085263E-2</v>
      </c>
      <c r="AM1364">
        <f>CORREL(Table1[MonthlyIncome],AK1364:AK2833)</f>
        <v>-8.12825698035545E-2</v>
      </c>
      <c r="AN1364">
        <f>CORREL(Table1[YearsAtCompany],AK1364:AK2833)</f>
        <v>3.0494608419966627E-2</v>
      </c>
      <c r="AO1364">
        <f t="shared" si="21"/>
        <v>0</v>
      </c>
    </row>
    <row r="1365" spans="1:41" x14ac:dyDescent="0.25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  <c r="AK1365" s="4">
        <f>IF(Table1[[#This Row],[Attrition]]="Yes", 1,0)</f>
        <v>0</v>
      </c>
      <c r="AL1365">
        <f>CORREL(Table1[Age],AK1365:AK2834)</f>
        <v>0.11363572312688366</v>
      </c>
      <c r="AM1365">
        <f>CORREL(Table1[MonthlyIncome],AK1365:AK2834)</f>
        <v>-0.10204302056271586</v>
      </c>
      <c r="AN1365">
        <f>CORREL(Table1[YearsAtCompany],AK1365:AK2834)</f>
        <v>8.0464210809400444E-2</v>
      </c>
      <c r="AO1365">
        <f t="shared" si="21"/>
        <v>0</v>
      </c>
    </row>
    <row r="1366" spans="1:41" x14ac:dyDescent="0.25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  <c r="AK1366" s="4">
        <f>IF(Table1[[#This Row],[Attrition]]="Yes", 1,0)</f>
        <v>0</v>
      </c>
      <c r="AL1366">
        <f>CORREL(Table1[Age],AK1366:AK2835)</f>
        <v>-0.13603673705367139</v>
      </c>
      <c r="AM1366">
        <f>CORREL(Table1[MonthlyIncome],AK1366:AK2835)</f>
        <v>-4.7888676953313503E-2</v>
      </c>
      <c r="AN1366">
        <f>CORREL(Table1[YearsAtCompany],AK1366:AK2835)</f>
        <v>4.9090941086577605E-2</v>
      </c>
      <c r="AO1366">
        <f t="shared" si="21"/>
        <v>0</v>
      </c>
    </row>
    <row r="1367" spans="1:41" x14ac:dyDescent="0.25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  <c r="AK1367" s="4">
        <f>IF(Table1[[#This Row],[Attrition]]="Yes", 1,0)</f>
        <v>1</v>
      </c>
      <c r="AL1367">
        <f>CORREL(Table1[Age],AK1367:AK2836)</f>
        <v>4.2038777872954174E-2</v>
      </c>
      <c r="AM1367">
        <f>CORREL(Table1[MonthlyIncome],AK1367:AK2836)</f>
        <v>1.8498327258059531E-2</v>
      </c>
      <c r="AN1367">
        <f>CORREL(Table1[YearsAtCompany],AK1367:AK2836)</f>
        <v>-0.11345907982726322</v>
      </c>
      <c r="AO1367">
        <f t="shared" si="21"/>
        <v>1</v>
      </c>
    </row>
    <row r="1368" spans="1:41" x14ac:dyDescent="0.25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  <c r="AK1368" s="4">
        <f>IF(Table1[[#This Row],[Attrition]]="Yes", 1,0)</f>
        <v>0</v>
      </c>
      <c r="AL1368">
        <f>CORREL(Table1[Age],AK1368:AK2837)</f>
        <v>-4.4315266207937742E-2</v>
      </c>
      <c r="AM1368">
        <f>CORREL(Table1[MonthlyIncome],AK1368:AK2837)</f>
        <v>4.7121405618797095E-2</v>
      </c>
      <c r="AN1368">
        <f>CORREL(Table1[YearsAtCompany],AK1368:AK2837)</f>
        <v>-0.12703759297633113</v>
      </c>
      <c r="AO1368">
        <f t="shared" si="21"/>
        <v>0</v>
      </c>
    </row>
    <row r="1369" spans="1:41" x14ac:dyDescent="0.25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  <c r="AK1369" s="4">
        <f>IF(Table1[[#This Row],[Attrition]]="Yes", 1,0)</f>
        <v>0</v>
      </c>
      <c r="AL1369">
        <f>CORREL(Table1[Age],AK1369:AK2838)</f>
        <v>2.2183477321670248E-3</v>
      </c>
      <c r="AM1369">
        <f>CORREL(Table1[MonthlyIncome],AK1369:AK2838)</f>
        <v>9.0027805668489974E-2</v>
      </c>
      <c r="AN1369">
        <f>CORREL(Table1[YearsAtCompany],AK1369:AK2838)</f>
        <v>-1.7149281385230652E-2</v>
      </c>
      <c r="AO1369">
        <f t="shared" si="21"/>
        <v>0</v>
      </c>
    </row>
    <row r="1370" spans="1:41" x14ac:dyDescent="0.25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  <c r="AK1370" s="4">
        <f>IF(Table1[[#This Row],[Attrition]]="Yes", 1,0)</f>
        <v>0</v>
      </c>
      <c r="AL1370">
        <f>CORREL(Table1[Age],AK1370:AK2839)</f>
        <v>9.3033743388673179E-2</v>
      </c>
      <c r="AM1370">
        <f>CORREL(Table1[MonthlyIncome],AK1370:AK2839)</f>
        <v>2.4825179866746358E-2</v>
      </c>
      <c r="AN1370">
        <f>CORREL(Table1[YearsAtCompany],AK1370:AK2839)</f>
        <v>0.11099530140521</v>
      </c>
      <c r="AO1370">
        <f t="shared" si="21"/>
        <v>0</v>
      </c>
    </row>
    <row r="1371" spans="1:41" x14ac:dyDescent="0.25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  <c r="AK1371" s="4">
        <f>IF(Table1[[#This Row],[Attrition]]="Yes", 1,0)</f>
        <v>1</v>
      </c>
      <c r="AL1371">
        <f>CORREL(Table1[Age],AK1371:AK2840)</f>
        <v>7.2362231227872192E-4</v>
      </c>
      <c r="AM1371">
        <f>CORREL(Table1[MonthlyIncome],AK1371:AK2840)</f>
        <v>-0.11654441230348865</v>
      </c>
      <c r="AN1371">
        <f>CORREL(Table1[YearsAtCompany],AK1371:AK2840)</f>
        <v>3.0268138353796683E-2</v>
      </c>
      <c r="AO1371">
        <f t="shared" si="21"/>
        <v>1</v>
      </c>
    </row>
    <row r="1372" spans="1:41" x14ac:dyDescent="0.25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  <c r="AK1372" s="4">
        <f>IF(Table1[[#This Row],[Attrition]]="Yes", 1,0)</f>
        <v>0</v>
      </c>
      <c r="AL1372">
        <f>CORREL(Table1[Age],AK1372:AK2841)</f>
        <v>3.8499978882582372E-2</v>
      </c>
      <c r="AM1372">
        <f>CORREL(Table1[MonthlyIncome],AK1372:AK2841)</f>
        <v>-1.1278557854259011E-2</v>
      </c>
      <c r="AN1372">
        <f>CORREL(Table1[YearsAtCompany],AK1372:AK2841)</f>
        <v>-5.7693180765171499E-2</v>
      </c>
      <c r="AO1372">
        <f t="shared" si="21"/>
        <v>0</v>
      </c>
    </row>
    <row r="1373" spans="1:41" x14ac:dyDescent="0.25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  <c r="AK1373" s="4">
        <f>IF(Table1[[#This Row],[Attrition]]="Yes", 1,0)</f>
        <v>0</v>
      </c>
      <c r="AL1373">
        <f>CORREL(Table1[Age],AK1373:AK2842)</f>
        <v>-9.9736964182868242E-3</v>
      </c>
      <c r="AM1373">
        <f>CORREL(Table1[MonthlyIncome],AK1373:AK2842)</f>
        <v>0.10259057517372927</v>
      </c>
      <c r="AN1373">
        <f>CORREL(Table1[YearsAtCompany],AK1373:AK2842)</f>
        <v>3.2257856585319926E-2</v>
      </c>
      <c r="AO1373">
        <f t="shared" si="21"/>
        <v>0</v>
      </c>
    </row>
    <row r="1374" spans="1:41" x14ac:dyDescent="0.25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  <c r="AK1374" s="4">
        <f>IF(Table1[[#This Row],[Attrition]]="Yes", 1,0)</f>
        <v>0</v>
      </c>
      <c r="AL1374">
        <f>CORREL(Table1[Age],AK1374:AK2843)</f>
        <v>5.1178032256447717E-3</v>
      </c>
      <c r="AM1374">
        <f>CORREL(Table1[MonthlyIncome],AK1374:AK2843)</f>
        <v>-4.2013289702619555E-2</v>
      </c>
      <c r="AN1374">
        <f>CORREL(Table1[YearsAtCompany],AK1374:AK2843)</f>
        <v>7.9003204953476194E-3</v>
      </c>
      <c r="AO1374">
        <f t="shared" si="21"/>
        <v>0</v>
      </c>
    </row>
    <row r="1375" spans="1:41" x14ac:dyDescent="0.25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  <c r="AK1375" s="4">
        <f>IF(Table1[[#This Row],[Attrition]]="Yes", 1,0)</f>
        <v>0</v>
      </c>
      <c r="AL1375">
        <f>CORREL(Table1[Age],AK1375:AK2844)</f>
        <v>-1.3469356799034223E-2</v>
      </c>
      <c r="AM1375">
        <f>CORREL(Table1[MonthlyIncome],AK1375:AK2844)</f>
        <v>-7.0817989039266796E-2</v>
      </c>
      <c r="AN1375">
        <f>CORREL(Table1[YearsAtCompany],AK1375:AK2844)</f>
        <v>-0.15502586129059137</v>
      </c>
      <c r="AO1375">
        <f t="shared" si="21"/>
        <v>0</v>
      </c>
    </row>
    <row r="1376" spans="1:41" x14ac:dyDescent="0.25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  <c r="AK1376" s="4">
        <f>IF(Table1[[#This Row],[Attrition]]="Yes", 1,0)</f>
        <v>0</v>
      </c>
      <c r="AL1376">
        <f>CORREL(Table1[Age],AK1376:AK2845)</f>
        <v>0.10304871545349363</v>
      </c>
      <c r="AM1376">
        <f>CORREL(Table1[MonthlyIncome],AK1376:AK2845)</f>
        <v>2.252239294861476E-3</v>
      </c>
      <c r="AN1376">
        <f>CORREL(Table1[YearsAtCompany],AK1376:AK2845)</f>
        <v>3.3706926428016475E-2</v>
      </c>
      <c r="AO1376">
        <f t="shared" si="21"/>
        <v>0</v>
      </c>
    </row>
    <row r="1377" spans="1:41" x14ac:dyDescent="0.25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  <c r="AK1377" s="4">
        <f>IF(Table1[[#This Row],[Attrition]]="Yes", 1,0)</f>
        <v>1</v>
      </c>
      <c r="AL1377">
        <f>CORREL(Table1[Age],AK1377:AK2846)</f>
        <v>-2.8006467150320832E-2</v>
      </c>
      <c r="AM1377">
        <f>CORREL(Table1[MonthlyIncome],AK1377:AK2846)</f>
        <v>3.0664803713647829E-2</v>
      </c>
      <c r="AN1377">
        <f>CORREL(Table1[YearsAtCompany],AK1377:AK2846)</f>
        <v>-0.10150695485110439</v>
      </c>
      <c r="AO1377">
        <f t="shared" si="21"/>
        <v>1</v>
      </c>
    </row>
    <row r="1378" spans="1:41" x14ac:dyDescent="0.25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  <c r="AK1378" s="4">
        <f>IF(Table1[[#This Row],[Attrition]]="Yes", 1,0)</f>
        <v>0</v>
      </c>
      <c r="AL1378">
        <f>CORREL(Table1[Age],AK1378:AK2847)</f>
        <v>-1.996692645512119E-3</v>
      </c>
      <c r="AM1378">
        <f>CORREL(Table1[MonthlyIncome],AK1378:AK2847)</f>
        <v>-1.3147507967086526E-2</v>
      </c>
      <c r="AN1378">
        <f>CORREL(Table1[YearsAtCompany],AK1378:AK2847)</f>
        <v>9.5777497267607509E-2</v>
      </c>
      <c r="AO1378">
        <f t="shared" si="21"/>
        <v>0</v>
      </c>
    </row>
    <row r="1379" spans="1:41" x14ac:dyDescent="0.25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  <c r="AK1379" s="4">
        <f>IF(Table1[[#This Row],[Attrition]]="Yes", 1,0)</f>
        <v>0</v>
      </c>
      <c r="AL1379">
        <f>CORREL(Table1[Age],AK1379:AK2848)</f>
        <v>0.1245751218518662</v>
      </c>
      <c r="AM1379">
        <f>CORREL(Table1[MonthlyIncome],AK1379:AK2848)</f>
        <v>5.6595309726958393E-2</v>
      </c>
      <c r="AN1379">
        <f>CORREL(Table1[YearsAtCompany],AK1379:AK2848)</f>
        <v>1.224326302334563E-2</v>
      </c>
      <c r="AO1379">
        <f t="shared" si="21"/>
        <v>0</v>
      </c>
    </row>
    <row r="1380" spans="1:41" x14ac:dyDescent="0.25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  <c r="AK1380" s="4">
        <f>IF(Table1[[#This Row],[Attrition]]="Yes", 1,0)</f>
        <v>0</v>
      </c>
      <c r="AL1380">
        <f>CORREL(Table1[Age],AK1380:AK2849)</f>
        <v>-9.6756121284447549E-3</v>
      </c>
      <c r="AM1380">
        <f>CORREL(Table1[MonthlyIncome],AK1380:AK2849)</f>
        <v>3.7339554793664687E-2</v>
      </c>
      <c r="AN1380">
        <f>CORREL(Table1[YearsAtCompany],AK1380:AK2849)</f>
        <v>0.16846470766576505</v>
      </c>
      <c r="AO1380">
        <f t="shared" si="21"/>
        <v>0</v>
      </c>
    </row>
    <row r="1381" spans="1:41" x14ac:dyDescent="0.25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  <c r="AK1381" s="4">
        <f>IF(Table1[[#This Row],[Attrition]]="Yes", 1,0)</f>
        <v>1</v>
      </c>
      <c r="AL1381">
        <f>CORREL(Table1[Age],AK1381:AK2850)</f>
        <v>0.11705524928215337</v>
      </c>
      <c r="AM1381">
        <f>CORREL(Table1[MonthlyIncome],AK1381:AK2850)</f>
        <v>6.84022772969239E-2</v>
      </c>
      <c r="AN1381">
        <f>CORREL(Table1[YearsAtCompany],AK1381:AK2850)</f>
        <v>4.1614258934215803E-2</v>
      </c>
      <c r="AO1381">
        <f t="shared" si="21"/>
        <v>1</v>
      </c>
    </row>
    <row r="1382" spans="1:41" x14ac:dyDescent="0.25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  <c r="AK1382" s="4">
        <f>IF(Table1[[#This Row],[Attrition]]="Yes", 1,0)</f>
        <v>0</v>
      </c>
      <c r="AL1382">
        <f>CORREL(Table1[Age],AK1382:AK2851)</f>
        <v>-7.7724838731493634E-2</v>
      </c>
      <c r="AM1382">
        <f>CORREL(Table1[MonthlyIncome],AK1382:AK2851)</f>
        <v>8.35807819776863E-2</v>
      </c>
      <c r="AN1382">
        <f>CORREL(Table1[YearsAtCompany],AK1382:AK2851)</f>
        <v>0.18702988695227848</v>
      </c>
      <c r="AO1382">
        <f t="shared" si="21"/>
        <v>0</v>
      </c>
    </row>
    <row r="1383" spans="1:41" x14ac:dyDescent="0.25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  <c r="AK1383" s="4">
        <f>IF(Table1[[#This Row],[Attrition]]="Yes", 1,0)</f>
        <v>0</v>
      </c>
      <c r="AL1383">
        <f>CORREL(Table1[Age],AK1383:AK2852)</f>
        <v>-5.246334100337631E-2</v>
      </c>
      <c r="AM1383">
        <f>CORREL(Table1[MonthlyIncome],AK1383:AK2852)</f>
        <v>-6.4148969865777297E-2</v>
      </c>
      <c r="AN1383">
        <f>CORREL(Table1[YearsAtCompany],AK1383:AK2852)</f>
        <v>0.12131077012050204</v>
      </c>
      <c r="AO1383">
        <f t="shared" si="21"/>
        <v>0</v>
      </c>
    </row>
    <row r="1384" spans="1:41" x14ac:dyDescent="0.25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  <c r="AK1384" s="4">
        <f>IF(Table1[[#This Row],[Attrition]]="Yes", 1,0)</f>
        <v>0</v>
      </c>
      <c r="AL1384">
        <f>CORREL(Table1[Age],AK1384:AK2853)</f>
        <v>0.1138483469164607</v>
      </c>
      <c r="AM1384">
        <f>CORREL(Table1[MonthlyIncome],AK1384:AK2853)</f>
        <v>0.11187209955977528</v>
      </c>
      <c r="AN1384">
        <f>CORREL(Table1[YearsAtCompany],AK1384:AK2853)</f>
        <v>0.11787810498826909</v>
      </c>
      <c r="AO1384">
        <f t="shared" si="21"/>
        <v>0</v>
      </c>
    </row>
    <row r="1385" spans="1:41" x14ac:dyDescent="0.25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  <c r="AK1385" s="4">
        <f>IF(Table1[[#This Row],[Attrition]]="Yes", 1,0)</f>
        <v>0</v>
      </c>
      <c r="AL1385">
        <f>CORREL(Table1[Age],AK1385:AK2854)</f>
        <v>-8.6735567194762886E-2</v>
      </c>
      <c r="AM1385">
        <f>CORREL(Table1[MonthlyIncome],AK1385:AK2854)</f>
        <v>4.3470914288177981E-3</v>
      </c>
      <c r="AN1385">
        <f>CORREL(Table1[YearsAtCompany],AK1385:AK2854)</f>
        <v>-3.2978833596126446E-2</v>
      </c>
      <c r="AO1385">
        <f t="shared" si="21"/>
        <v>0</v>
      </c>
    </row>
    <row r="1386" spans="1:41" x14ac:dyDescent="0.25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  <c r="AK1386" s="4">
        <f>IF(Table1[[#This Row],[Attrition]]="Yes", 1,0)</f>
        <v>0</v>
      </c>
      <c r="AL1386">
        <f>CORREL(Table1[Age],AK1386:AK2855)</f>
        <v>-3.8887469411371847E-2</v>
      </c>
      <c r="AM1386">
        <f>CORREL(Table1[MonthlyIncome],AK1386:AK2855)</f>
        <v>-5.1092582291381826E-2</v>
      </c>
      <c r="AN1386">
        <f>CORREL(Table1[YearsAtCompany],AK1386:AK2855)</f>
        <v>-0.10577878234971601</v>
      </c>
      <c r="AO1386">
        <f t="shared" si="21"/>
        <v>0</v>
      </c>
    </row>
    <row r="1387" spans="1:41" x14ac:dyDescent="0.25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  <c r="AK1387" s="4">
        <f>IF(Table1[[#This Row],[Attrition]]="Yes", 1,0)</f>
        <v>0</v>
      </c>
      <c r="AL1387">
        <f>CORREL(Table1[Age],AK1387:AK2856)</f>
        <v>-5.5257090771531653E-2</v>
      </c>
      <c r="AM1387">
        <f>CORREL(Table1[MonthlyIncome],AK1387:AK2856)</f>
        <v>-3.0085718432575306E-2</v>
      </c>
      <c r="AN1387">
        <f>CORREL(Table1[YearsAtCompany],AK1387:AK2856)</f>
        <v>-1.0160769081095285E-2</v>
      </c>
      <c r="AO1387">
        <f t="shared" si="21"/>
        <v>0</v>
      </c>
    </row>
    <row r="1388" spans="1:41" x14ac:dyDescent="0.25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  <c r="AK1388" s="4">
        <f>IF(Table1[[#This Row],[Attrition]]="Yes", 1,0)</f>
        <v>0</v>
      </c>
      <c r="AL1388">
        <f>CORREL(Table1[Age],AK1388:AK2857)</f>
        <v>-9.4494765891243934E-2</v>
      </c>
      <c r="AM1388">
        <f>CORREL(Table1[MonthlyIncome],AK1388:AK2857)</f>
        <v>-4.1774906768495094E-2</v>
      </c>
      <c r="AN1388">
        <f>CORREL(Table1[YearsAtCompany],AK1388:AK2857)</f>
        <v>-4.2473881504081924E-3</v>
      </c>
      <c r="AO1388">
        <f t="shared" si="21"/>
        <v>0</v>
      </c>
    </row>
    <row r="1389" spans="1:41" x14ac:dyDescent="0.25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  <c r="AK1389" s="4">
        <f>IF(Table1[[#This Row],[Attrition]]="Yes", 1,0)</f>
        <v>0</v>
      </c>
      <c r="AL1389">
        <f>CORREL(Table1[Age],AK1389:AK2858)</f>
        <v>-3.9971843634762014E-3</v>
      </c>
      <c r="AM1389">
        <f>CORREL(Table1[MonthlyIncome],AK1389:AK2858)</f>
        <v>8.5337466516087063E-2</v>
      </c>
      <c r="AN1389">
        <f>CORREL(Table1[YearsAtCompany],AK1389:AK2858)</f>
        <v>-1.3750343762891151E-2</v>
      </c>
      <c r="AO1389">
        <f t="shared" si="21"/>
        <v>0</v>
      </c>
    </row>
    <row r="1390" spans="1:41" x14ac:dyDescent="0.25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  <c r="AK1390" s="4">
        <f>IF(Table1[[#This Row],[Attrition]]="Yes", 1,0)</f>
        <v>0</v>
      </c>
      <c r="AL1390">
        <f>CORREL(Table1[Age],AK1390:AK2859)</f>
        <v>-5.399694569244267E-2</v>
      </c>
      <c r="AM1390">
        <f>CORREL(Table1[MonthlyIncome],AK1390:AK2859)</f>
        <v>2.3708674871323759E-2</v>
      </c>
      <c r="AN1390">
        <f>CORREL(Table1[YearsAtCompany],AK1390:AK2859)</f>
        <v>-1.7476313318145777E-2</v>
      </c>
      <c r="AO1390">
        <f t="shared" si="21"/>
        <v>0</v>
      </c>
    </row>
    <row r="1391" spans="1:41" x14ac:dyDescent="0.25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  <c r="AK1391" s="4">
        <f>IF(Table1[[#This Row],[Attrition]]="Yes", 1,0)</f>
        <v>0</v>
      </c>
      <c r="AL1391">
        <f>CORREL(Table1[Age],AK1391:AK2860)</f>
        <v>0.18432424838469036</v>
      </c>
      <c r="AM1391">
        <f>CORREL(Table1[MonthlyIncome],AK1391:AK2860)</f>
        <v>-6.6926131880750018E-3</v>
      </c>
      <c r="AN1391">
        <f>CORREL(Table1[YearsAtCompany],AK1391:AK2860)</f>
        <v>1.701693901932972E-2</v>
      </c>
      <c r="AO1391">
        <f t="shared" si="21"/>
        <v>0</v>
      </c>
    </row>
    <row r="1392" spans="1:41" x14ac:dyDescent="0.25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  <c r="AK1392" s="4">
        <f>IF(Table1[[#This Row],[Attrition]]="Yes", 1,0)</f>
        <v>1</v>
      </c>
      <c r="AL1392">
        <f>CORREL(Table1[Age],AK1392:AK2861)</f>
        <v>0.16229017863855019</v>
      </c>
      <c r="AM1392">
        <f>CORREL(Table1[MonthlyIncome],AK1392:AK2861)</f>
        <v>1.4118398010910067E-2</v>
      </c>
      <c r="AN1392">
        <f>CORREL(Table1[YearsAtCompany],AK1392:AK2861)</f>
        <v>6.8422408840076901E-2</v>
      </c>
      <c r="AO1392">
        <f t="shared" si="21"/>
        <v>1</v>
      </c>
    </row>
    <row r="1393" spans="1:41" x14ac:dyDescent="0.25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  <c r="AK1393" s="4">
        <f>IF(Table1[[#This Row],[Attrition]]="Yes", 1,0)</f>
        <v>0</v>
      </c>
      <c r="AL1393">
        <f>CORREL(Table1[Age],AK1393:AK2862)</f>
        <v>-1.7937240482324346E-3</v>
      </c>
      <c r="AM1393">
        <f>CORREL(Table1[MonthlyIncome],AK1393:AK2862)</f>
        <v>-0.10338159097489663</v>
      </c>
      <c r="AN1393">
        <f>CORREL(Table1[YearsAtCompany],AK1393:AK2862)</f>
        <v>-0.11146522808621372</v>
      </c>
      <c r="AO1393">
        <f t="shared" si="21"/>
        <v>0</v>
      </c>
    </row>
    <row r="1394" spans="1:41" x14ac:dyDescent="0.25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  <c r="AK1394" s="4">
        <f>IF(Table1[[#This Row],[Attrition]]="Yes", 1,0)</f>
        <v>0</v>
      </c>
      <c r="AL1394">
        <f>CORREL(Table1[Age],AK1394:AK2863)</f>
        <v>-1.2119180763442912E-2</v>
      </c>
      <c r="AM1394">
        <f>CORREL(Table1[MonthlyIncome],AK1394:AK2863)</f>
        <v>-9.2725057663383612E-2</v>
      </c>
      <c r="AN1394">
        <f>CORREL(Table1[YearsAtCompany],AK1394:AK2863)</f>
        <v>-8.2801103934538933E-2</v>
      </c>
      <c r="AO1394">
        <f t="shared" si="21"/>
        <v>0</v>
      </c>
    </row>
    <row r="1395" spans="1:41" x14ac:dyDescent="0.25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  <c r="AK1395" s="4">
        <f>IF(Table1[[#This Row],[Attrition]]="Yes", 1,0)</f>
        <v>0</v>
      </c>
      <c r="AL1395">
        <f>CORREL(Table1[Age],AK1395:AK2864)</f>
        <v>-5.047831911294437E-2</v>
      </c>
      <c r="AM1395">
        <f>CORREL(Table1[MonthlyIncome],AK1395:AK2864)</f>
        <v>-1.4553918206740356E-2</v>
      </c>
      <c r="AN1395">
        <f>CORREL(Table1[YearsAtCompany],AK1395:AK2864)</f>
        <v>-2.0434374354490224E-2</v>
      </c>
      <c r="AO1395">
        <f t="shared" si="21"/>
        <v>0</v>
      </c>
    </row>
    <row r="1396" spans="1:41" x14ac:dyDescent="0.25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  <c r="AK1396" s="4">
        <f>IF(Table1[[#This Row],[Attrition]]="Yes", 1,0)</f>
        <v>0</v>
      </c>
      <c r="AL1396">
        <f>CORREL(Table1[Age],AK1396:AK2865)</f>
        <v>0.16045451272838315</v>
      </c>
      <c r="AM1396">
        <f>CORREL(Table1[MonthlyIncome],AK1396:AK2865)</f>
        <v>-2.0178844248165274E-2</v>
      </c>
      <c r="AN1396">
        <f>CORREL(Table1[YearsAtCompany],AK1396:AK2865)</f>
        <v>-3.7583968594728949E-2</v>
      </c>
      <c r="AO1396">
        <f t="shared" si="21"/>
        <v>0</v>
      </c>
    </row>
    <row r="1397" spans="1:41" x14ac:dyDescent="0.25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  <c r="AK1397" s="4">
        <f>IF(Table1[[#This Row],[Attrition]]="Yes", 1,0)</f>
        <v>1</v>
      </c>
      <c r="AL1397">
        <f>CORREL(Table1[Age],AK1397:AK2866)</f>
        <v>2.0181818041361883E-2</v>
      </c>
      <c r="AM1397">
        <f>CORREL(Table1[MonthlyIncome],AK1397:AK2866)</f>
        <v>-4.583642824597936E-2</v>
      </c>
      <c r="AN1397">
        <f>CORREL(Table1[YearsAtCompany],AK1397:AK2866)</f>
        <v>-7.2653742911979027E-2</v>
      </c>
      <c r="AO1397">
        <f t="shared" si="21"/>
        <v>1</v>
      </c>
    </row>
    <row r="1398" spans="1:41" x14ac:dyDescent="0.25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  <c r="AK1398" s="4">
        <f>IF(Table1[[#This Row],[Attrition]]="Yes", 1,0)</f>
        <v>1</v>
      </c>
      <c r="AL1398">
        <f>CORREL(Table1[Age],AK1398:AK2867)</f>
        <v>9.8874158579445398E-2</v>
      </c>
      <c r="AM1398">
        <f>CORREL(Table1[MonthlyIncome],AK1398:AK2867)</f>
        <v>8.6974613151065569E-2</v>
      </c>
      <c r="AN1398">
        <f>CORREL(Table1[YearsAtCompany],AK1398:AK2867)</f>
        <v>3.3374832926838863E-3</v>
      </c>
      <c r="AO1398">
        <f t="shared" si="21"/>
        <v>1</v>
      </c>
    </row>
    <row r="1399" spans="1:41" x14ac:dyDescent="0.25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  <c r="AK1399" s="4">
        <f>IF(Table1[[#This Row],[Attrition]]="Yes", 1,0)</f>
        <v>0</v>
      </c>
      <c r="AL1399">
        <f>CORREL(Table1[Age],AK1399:AK2868)</f>
        <v>-5.8119514467675437E-2</v>
      </c>
      <c r="AM1399">
        <f>CORREL(Table1[MonthlyIncome],AK1399:AK2868)</f>
        <v>0.23687733974525055</v>
      </c>
      <c r="AN1399">
        <f>CORREL(Table1[YearsAtCompany],AK1399:AK2868)</f>
        <v>0.21622762424626182</v>
      </c>
      <c r="AO1399">
        <f t="shared" si="21"/>
        <v>0</v>
      </c>
    </row>
    <row r="1400" spans="1:41" x14ac:dyDescent="0.25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  <c r="AK1400" s="4">
        <f>IF(Table1[[#This Row],[Attrition]]="Yes", 1,0)</f>
        <v>0</v>
      </c>
      <c r="AL1400">
        <f>CORREL(Table1[Age],AK1400:AK2869)</f>
        <v>1.5583406335931355E-3</v>
      </c>
      <c r="AM1400">
        <f>CORREL(Table1[MonthlyIncome],AK1400:AK2869)</f>
        <v>-8.1049102772882006E-2</v>
      </c>
      <c r="AN1400">
        <f>CORREL(Table1[YearsAtCompany],AK1400:AK2869)</f>
        <v>0.1147981428418272</v>
      </c>
      <c r="AO1400">
        <f t="shared" si="21"/>
        <v>0</v>
      </c>
    </row>
    <row r="1401" spans="1:41" x14ac:dyDescent="0.25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  <c r="AK1401" s="4">
        <f>IF(Table1[[#This Row],[Attrition]]="Yes", 1,0)</f>
        <v>0</v>
      </c>
      <c r="AL1401">
        <f>CORREL(Table1[Age],AK1401:AK2870)</f>
        <v>1.0687646501331326E-2</v>
      </c>
      <c r="AM1401">
        <f>CORREL(Table1[MonthlyIncome],AK1401:AK2870)</f>
        <v>0.40107006818863117</v>
      </c>
      <c r="AN1401">
        <f>CORREL(Table1[YearsAtCompany],AK1401:AK2870)</f>
        <v>0.31289549561273056</v>
      </c>
      <c r="AO1401">
        <f t="shared" si="21"/>
        <v>0</v>
      </c>
    </row>
    <row r="1402" spans="1:41" x14ac:dyDescent="0.25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  <c r="AK1402" s="4">
        <f>IF(Table1[[#This Row],[Attrition]]="Yes", 1,0)</f>
        <v>0</v>
      </c>
      <c r="AL1402">
        <f>CORREL(Table1[Age],AK1402:AK2871)</f>
        <v>-5.7347393955018519E-2</v>
      </c>
      <c r="AM1402">
        <f>CORREL(Table1[MonthlyIncome],AK1402:AK2871)</f>
        <v>-0.14199550743873027</v>
      </c>
      <c r="AN1402">
        <f>CORREL(Table1[YearsAtCompany],AK1402:AK2871)</f>
        <v>-4.1405158173172883E-2</v>
      </c>
      <c r="AO1402">
        <f t="shared" si="21"/>
        <v>0</v>
      </c>
    </row>
    <row r="1403" spans="1:41" x14ac:dyDescent="0.25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  <c r="AK1403" s="4">
        <f>IF(Table1[[#This Row],[Attrition]]="Yes", 1,0)</f>
        <v>0</v>
      </c>
      <c r="AL1403">
        <f>CORREL(Table1[Age],AK1403:AK2872)</f>
        <v>-0.22225808099087918</v>
      </c>
      <c r="AM1403">
        <f>CORREL(Table1[MonthlyIncome],AK1403:AK2872)</f>
        <v>-8.2407770114894252E-2</v>
      </c>
      <c r="AN1403">
        <f>CORREL(Table1[YearsAtCompany],AK1403:AK2872)</f>
        <v>-9.0897207918713058E-2</v>
      </c>
      <c r="AO1403">
        <f t="shared" si="21"/>
        <v>0</v>
      </c>
    </row>
    <row r="1404" spans="1:41" x14ac:dyDescent="0.25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  <c r="AK1404" s="4">
        <f>IF(Table1[[#This Row],[Attrition]]="Yes", 1,0)</f>
        <v>0</v>
      </c>
      <c r="AL1404">
        <f>CORREL(Table1[Age],AK1404:AK2873)</f>
        <v>8.6543788853152628E-2</v>
      </c>
      <c r="AM1404">
        <f>CORREL(Table1[MonthlyIncome],AK1404:AK2873)</f>
        <v>-0.13986491393423564</v>
      </c>
      <c r="AN1404">
        <f>CORREL(Table1[YearsAtCompany],AK1404:AK2873)</f>
        <v>-0.18504193530306284</v>
      </c>
      <c r="AO1404">
        <f t="shared" si="21"/>
        <v>0</v>
      </c>
    </row>
    <row r="1405" spans="1:41" x14ac:dyDescent="0.25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  <c r="AK1405" s="4">
        <f>IF(Table1[[#This Row],[Attrition]]="Yes", 1,0)</f>
        <v>0</v>
      </c>
      <c r="AL1405">
        <f>CORREL(Table1[Age],AK1405:AK2874)</f>
        <v>-8.7936836518494668E-2</v>
      </c>
      <c r="AM1405">
        <f>CORREL(Table1[MonthlyIncome],AK1405:AK2874)</f>
        <v>-0.13416571751381884</v>
      </c>
      <c r="AN1405">
        <f>CORREL(Table1[YearsAtCompany],AK1405:AK2874)</f>
        <v>-0.13495666449163549</v>
      </c>
      <c r="AO1405">
        <f t="shared" si="21"/>
        <v>0</v>
      </c>
    </row>
    <row r="1406" spans="1:41" x14ac:dyDescent="0.25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  <c r="AK1406" s="4">
        <f>IF(Table1[[#This Row],[Attrition]]="Yes", 1,0)</f>
        <v>0</v>
      </c>
      <c r="AL1406">
        <f>CORREL(Table1[Age],AK1406:AK2875)</f>
        <v>-4.1692020484640185E-2</v>
      </c>
      <c r="AM1406">
        <f>CORREL(Table1[MonthlyIncome],AK1406:AK2875)</f>
        <v>-0.14721756489513949</v>
      </c>
      <c r="AN1406">
        <f>CORREL(Table1[YearsAtCompany],AK1406:AK2875)</f>
        <v>-0.17242189879424591</v>
      </c>
      <c r="AO1406">
        <f t="shared" si="21"/>
        <v>0</v>
      </c>
    </row>
    <row r="1407" spans="1:41" x14ac:dyDescent="0.25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  <c r="AK1407" s="4">
        <f>IF(Table1[[#This Row],[Attrition]]="Yes", 1,0)</f>
        <v>0</v>
      </c>
      <c r="AL1407">
        <f>CORREL(Table1[Age],AK1407:AK2876)</f>
        <v>-1.2740878158872758E-2</v>
      </c>
      <c r="AM1407">
        <f>CORREL(Table1[MonthlyIncome],AK1407:AK2876)</f>
        <v>-9.0676272983193654E-2</v>
      </c>
      <c r="AN1407">
        <f>CORREL(Table1[YearsAtCompany],AK1407:AK2876)</f>
        <v>-0.14619418123736772</v>
      </c>
      <c r="AO1407">
        <f t="shared" si="21"/>
        <v>0</v>
      </c>
    </row>
    <row r="1408" spans="1:41" x14ac:dyDescent="0.25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  <c r="AK1408" s="4">
        <f>IF(Table1[[#This Row],[Attrition]]="Yes", 1,0)</f>
        <v>0</v>
      </c>
      <c r="AL1408">
        <f>CORREL(Table1[Age],AK1408:AK2877)</f>
        <v>1.478278915938213E-2</v>
      </c>
      <c r="AM1408">
        <f>CORREL(Table1[MonthlyIncome],AK1408:AK2877)</f>
        <v>-2.6035033762562415E-2</v>
      </c>
      <c r="AN1408">
        <f>CORREL(Table1[YearsAtCompany],AK1408:AK2877)</f>
        <v>4.6712326885806114E-2</v>
      </c>
      <c r="AO1408">
        <f t="shared" si="21"/>
        <v>0</v>
      </c>
    </row>
    <row r="1409" spans="1:41" x14ac:dyDescent="0.25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  <c r="AK1409" s="4">
        <f>IF(Table1[[#This Row],[Attrition]]="Yes", 1,0)</f>
        <v>0</v>
      </c>
      <c r="AL1409">
        <f>CORREL(Table1[Age],AK1409:AK2878)</f>
        <v>7.31645447280862E-2</v>
      </c>
      <c r="AM1409">
        <f>CORREL(Table1[MonthlyIncome],AK1409:AK2878)</f>
        <v>8.4814956389985138E-2</v>
      </c>
      <c r="AN1409">
        <f>CORREL(Table1[YearsAtCompany],AK1409:AK2878)</f>
        <v>3.0557950348878232E-2</v>
      </c>
      <c r="AO1409">
        <f t="shared" si="21"/>
        <v>0</v>
      </c>
    </row>
    <row r="1410" spans="1:41" x14ac:dyDescent="0.25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  <c r="AK1410" s="4">
        <f>IF(Table1[[#This Row],[Attrition]]="Yes", 1,0)</f>
        <v>0</v>
      </c>
      <c r="AL1410">
        <f>CORREL(Table1[Age],AK1410:AK2879)</f>
        <v>-4.4576917252030432E-2</v>
      </c>
      <c r="AM1410">
        <f>CORREL(Table1[MonthlyIncome],AK1410:AK2879)</f>
        <v>-7.97471860260449E-2</v>
      </c>
      <c r="AN1410">
        <f>CORREL(Table1[YearsAtCompany],AK1410:AK2879)</f>
        <v>-9.0687228302593764E-2</v>
      </c>
      <c r="AO1410">
        <f t="shared" si="21"/>
        <v>0</v>
      </c>
    </row>
    <row r="1411" spans="1:41" x14ac:dyDescent="0.25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  <c r="AK1411" s="4">
        <f>IF(Table1[[#This Row],[Attrition]]="Yes", 1,0)</f>
        <v>0</v>
      </c>
      <c r="AL1411">
        <f>CORREL(Table1[Age],AK1411:AK2880)</f>
        <v>0.16104651103817808</v>
      </c>
      <c r="AM1411">
        <f>CORREL(Table1[MonthlyIncome],AK1411:AK2880)</f>
        <v>0.14468839428359626</v>
      </c>
      <c r="AN1411">
        <f>CORREL(Table1[YearsAtCompany],AK1411:AK2880)</f>
        <v>-9.8633627470122998E-2</v>
      </c>
      <c r="AO1411">
        <f t="shared" ref="AO1411:AO1471" si="22">ABS(AK1411)</f>
        <v>0</v>
      </c>
    </row>
    <row r="1412" spans="1:41" x14ac:dyDescent="0.25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  <c r="AK1412" s="4">
        <f>IF(Table1[[#This Row],[Attrition]]="Yes", 1,0)</f>
        <v>0</v>
      </c>
      <c r="AL1412">
        <f>CORREL(Table1[Age],AK1412:AK2881)</f>
        <v>-0.19710454734547952</v>
      </c>
      <c r="AM1412">
        <f>CORREL(Table1[MonthlyIncome],AK1412:AK2881)</f>
        <v>-9.5130473398204449E-2</v>
      </c>
      <c r="AN1412">
        <f>CORREL(Table1[YearsAtCompany],AK1412:AK2881)</f>
        <v>8.1378845877115843E-2</v>
      </c>
      <c r="AO1412">
        <f t="shared" si="22"/>
        <v>0</v>
      </c>
    </row>
    <row r="1413" spans="1:41" x14ac:dyDescent="0.25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  <c r="AK1413" s="4">
        <f>IF(Table1[[#This Row],[Attrition]]="Yes", 1,0)</f>
        <v>0</v>
      </c>
      <c r="AL1413">
        <f>CORREL(Table1[Age],AK1413:AK2882)</f>
        <v>0.16785360767284932</v>
      </c>
      <c r="AM1413">
        <f>CORREL(Table1[MonthlyIncome],AK1413:AK2882)</f>
        <v>-5.8311713885311992E-2</v>
      </c>
      <c r="AN1413">
        <f>CORREL(Table1[YearsAtCompany],AK1413:AK2882)</f>
        <v>-0.15082290739475521</v>
      </c>
      <c r="AO1413">
        <f t="shared" si="22"/>
        <v>0</v>
      </c>
    </row>
    <row r="1414" spans="1:41" x14ac:dyDescent="0.25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  <c r="AK1414" s="4">
        <f>IF(Table1[[#This Row],[Attrition]]="Yes", 1,0)</f>
        <v>0</v>
      </c>
      <c r="AL1414">
        <f>CORREL(Table1[Age],AK1414:AK2883)</f>
        <v>-0.10111240378177541</v>
      </c>
      <c r="AM1414">
        <f>CORREL(Table1[MonthlyIncome],AK1414:AK2883)</f>
        <v>-0.20017566316032406</v>
      </c>
      <c r="AN1414">
        <f>CORREL(Table1[YearsAtCompany],AK1414:AK2883)</f>
        <v>-7.2100858993094596E-2</v>
      </c>
      <c r="AO1414">
        <f t="shared" si="22"/>
        <v>0</v>
      </c>
    </row>
    <row r="1415" spans="1:41" x14ac:dyDescent="0.25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  <c r="AK1415" s="4">
        <f>IF(Table1[[#This Row],[Attrition]]="Yes", 1,0)</f>
        <v>0</v>
      </c>
      <c r="AL1415">
        <f>CORREL(Table1[Age],AK1415:AK2884)</f>
        <v>0.33287147263332711</v>
      </c>
      <c r="AM1415">
        <f>CORREL(Table1[MonthlyIncome],AK1415:AK2884)</f>
        <v>0.3929581791651654</v>
      </c>
      <c r="AN1415">
        <f>CORREL(Table1[YearsAtCompany],AK1415:AK2884)</f>
        <v>4.6681709179592898E-2</v>
      </c>
      <c r="AO1415">
        <f t="shared" si="22"/>
        <v>0</v>
      </c>
    </row>
    <row r="1416" spans="1:41" x14ac:dyDescent="0.25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  <c r="AK1416" s="4">
        <f>IF(Table1[[#This Row],[Attrition]]="Yes", 1,0)</f>
        <v>0</v>
      </c>
      <c r="AL1416">
        <f>CORREL(Table1[Age],AK1416:AK2885)</f>
        <v>4.2782618961916784E-2</v>
      </c>
      <c r="AM1416">
        <f>CORREL(Table1[MonthlyIncome],AK1416:AK2885)</f>
        <v>-6.8927465348083541E-2</v>
      </c>
      <c r="AN1416">
        <f>CORREL(Table1[YearsAtCompany],AK1416:AK2885)</f>
        <v>-6.2109128446707663E-3</v>
      </c>
      <c r="AO1416">
        <f t="shared" si="22"/>
        <v>0</v>
      </c>
    </row>
    <row r="1417" spans="1:41" x14ac:dyDescent="0.25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  <c r="AK1417" s="4">
        <f>IF(Table1[[#This Row],[Attrition]]="Yes", 1,0)</f>
        <v>0</v>
      </c>
      <c r="AL1417">
        <f>CORREL(Table1[Age],AK1417:AK2886)</f>
        <v>-4.8645138951724535E-3</v>
      </c>
      <c r="AM1417">
        <f>CORREL(Table1[MonthlyIncome],AK1417:AK2886)</f>
        <v>0.10465350405256212</v>
      </c>
      <c r="AN1417">
        <f>CORREL(Table1[YearsAtCompany],AK1417:AK2886)</f>
        <v>-7.7435348463818693E-2</v>
      </c>
      <c r="AO1417">
        <f t="shared" si="22"/>
        <v>0</v>
      </c>
    </row>
    <row r="1418" spans="1:41" x14ac:dyDescent="0.25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  <c r="AK1418" s="4">
        <f>IF(Table1[[#This Row],[Attrition]]="Yes", 1,0)</f>
        <v>0</v>
      </c>
      <c r="AL1418">
        <f>CORREL(Table1[Age],AK1418:AK2887)</f>
        <v>0.16636312125232222</v>
      </c>
      <c r="AM1418">
        <f>CORREL(Table1[MonthlyIncome],AK1418:AK2887)</f>
        <v>0.31740190321572032</v>
      </c>
      <c r="AN1418">
        <f>CORREL(Table1[YearsAtCompany],AK1418:AK2887)</f>
        <v>0.46199191521222505</v>
      </c>
      <c r="AO1418">
        <f t="shared" si="22"/>
        <v>0</v>
      </c>
    </row>
    <row r="1419" spans="1:41" x14ac:dyDescent="0.25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  <c r="AK1419" s="4">
        <f>IF(Table1[[#This Row],[Attrition]]="Yes", 1,0)</f>
        <v>0</v>
      </c>
      <c r="AL1419">
        <f>CORREL(Table1[Age],AK1419:AK2888)</f>
        <v>0.18915689090174065</v>
      </c>
      <c r="AM1419">
        <f>CORREL(Table1[MonthlyIncome],AK1419:AK2888)</f>
        <v>0.14588208338151226</v>
      </c>
      <c r="AN1419">
        <f>CORREL(Table1[YearsAtCompany],AK1419:AK2888)</f>
        <v>0.18266341397125035</v>
      </c>
      <c r="AO1419">
        <f t="shared" si="22"/>
        <v>0</v>
      </c>
    </row>
    <row r="1420" spans="1:41" x14ac:dyDescent="0.25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  <c r="AK1420" s="4">
        <f>IF(Table1[[#This Row],[Attrition]]="Yes", 1,0)</f>
        <v>0</v>
      </c>
      <c r="AL1420">
        <f>CORREL(Table1[Age],AK1420:AK2889)</f>
        <v>-0.29666343093929126</v>
      </c>
      <c r="AM1420">
        <f>CORREL(Table1[MonthlyIncome],AK1420:AK2889)</f>
        <v>-5.9652142923401312E-2</v>
      </c>
      <c r="AN1420">
        <f>CORREL(Table1[YearsAtCompany],AK1420:AK2889)</f>
        <v>-4.9153770733609747E-3</v>
      </c>
      <c r="AO1420">
        <f t="shared" si="22"/>
        <v>0</v>
      </c>
    </row>
    <row r="1421" spans="1:41" x14ac:dyDescent="0.25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  <c r="AK1421" s="4">
        <f>IF(Table1[[#This Row],[Attrition]]="Yes", 1,0)</f>
        <v>0</v>
      </c>
      <c r="AL1421">
        <f>CORREL(Table1[Age],AK1421:AK2890)</f>
        <v>-2.0640501685577881E-2</v>
      </c>
      <c r="AM1421">
        <f>CORREL(Table1[MonthlyIncome],AK1421:AK2890)</f>
        <v>3.6600978888089081E-2</v>
      </c>
      <c r="AN1421">
        <f>CORREL(Table1[YearsAtCompany],AK1421:AK2890)</f>
        <v>-0.12624670958511516</v>
      </c>
      <c r="AO1421">
        <f t="shared" si="22"/>
        <v>0</v>
      </c>
    </row>
    <row r="1422" spans="1:41" x14ac:dyDescent="0.25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  <c r="AK1422" s="4">
        <f>IF(Table1[[#This Row],[Attrition]]="Yes", 1,0)</f>
        <v>0</v>
      </c>
      <c r="AL1422">
        <f>CORREL(Table1[Age],AK1422:AK2891)</f>
        <v>-3.2381541862549438E-3</v>
      </c>
      <c r="AM1422">
        <f>CORREL(Table1[MonthlyIncome],AK1422:AK2891)</f>
        <v>0.12912917245351932</v>
      </c>
      <c r="AN1422">
        <f>CORREL(Table1[YearsAtCompany],AK1422:AK2891)</f>
        <v>0.25583130772380575</v>
      </c>
      <c r="AO1422">
        <f t="shared" si="22"/>
        <v>0</v>
      </c>
    </row>
    <row r="1423" spans="1:41" x14ac:dyDescent="0.25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  <c r="AK1423" s="4">
        <f>IF(Table1[[#This Row],[Attrition]]="Yes", 1,0)</f>
        <v>0</v>
      </c>
      <c r="AL1423">
        <f>CORREL(Table1[Age],AK1423:AK2892)</f>
        <v>-0.16590732462698576</v>
      </c>
      <c r="AM1423">
        <f>CORREL(Table1[MonthlyIncome],AK1423:AK2892)</f>
        <v>-0.15444134107172272</v>
      </c>
      <c r="AN1423">
        <f>CORREL(Table1[YearsAtCompany],AK1423:AK2892)</f>
        <v>-0.23582386420788368</v>
      </c>
      <c r="AO1423">
        <f t="shared" si="22"/>
        <v>0</v>
      </c>
    </row>
    <row r="1424" spans="1:41" x14ac:dyDescent="0.25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  <c r="AK1424" s="4">
        <f>IF(Table1[[#This Row],[Attrition]]="Yes", 1,0)</f>
        <v>0</v>
      </c>
      <c r="AL1424">
        <f>CORREL(Table1[Age],AK1424:AK2893)</f>
        <v>-0.17646666778384165</v>
      </c>
      <c r="AM1424">
        <f>CORREL(Table1[MonthlyIncome],AK1424:AK2893)</f>
        <v>1.1583146207030139E-2</v>
      </c>
      <c r="AN1424">
        <f>CORREL(Table1[YearsAtCompany],AK1424:AK2893)</f>
        <v>-3.0113458006912657E-2</v>
      </c>
      <c r="AO1424">
        <f t="shared" si="22"/>
        <v>0</v>
      </c>
    </row>
    <row r="1425" spans="1:41" x14ac:dyDescent="0.25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  <c r="AK1425" s="4">
        <f>IF(Table1[[#This Row],[Attrition]]="Yes", 1,0)</f>
        <v>0</v>
      </c>
      <c r="AL1425">
        <f>CORREL(Table1[Age],AK1425:AK2894)</f>
        <v>6.4153849687190748E-2</v>
      </c>
      <c r="AM1425">
        <f>CORREL(Table1[MonthlyIncome],AK1425:AK2894)</f>
        <v>0.19402778004225582</v>
      </c>
      <c r="AN1425">
        <f>CORREL(Table1[YearsAtCompany],AK1425:AK2894)</f>
        <v>-0.12140663482931308</v>
      </c>
      <c r="AO1425">
        <f t="shared" si="22"/>
        <v>0</v>
      </c>
    </row>
    <row r="1426" spans="1:41" x14ac:dyDescent="0.25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  <c r="AK1426" s="4">
        <f>IF(Table1[[#This Row],[Attrition]]="Yes", 1,0)</f>
        <v>0</v>
      </c>
      <c r="AL1426">
        <f>CORREL(Table1[Age],AK1426:AK2895)</f>
        <v>5.4682432730707886E-2</v>
      </c>
      <c r="AM1426">
        <f>CORREL(Table1[MonthlyIncome],AK1426:AK2895)</f>
        <v>0.10432250626292633</v>
      </c>
      <c r="AN1426">
        <f>CORREL(Table1[YearsAtCompany],AK1426:AK2895)</f>
        <v>0.31777151505033135</v>
      </c>
      <c r="AO1426">
        <f t="shared" si="22"/>
        <v>0</v>
      </c>
    </row>
    <row r="1427" spans="1:41" x14ac:dyDescent="0.25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  <c r="AK1427" s="4">
        <f>IF(Table1[[#This Row],[Attrition]]="Yes", 1,0)</f>
        <v>0</v>
      </c>
      <c r="AL1427">
        <f>CORREL(Table1[Age],AK1427:AK2896)</f>
        <v>7.6777112167408956E-2</v>
      </c>
      <c r="AM1427">
        <f>CORREL(Table1[MonthlyIncome],AK1427:AK2896)</f>
        <v>-0.10160234812417084</v>
      </c>
      <c r="AN1427">
        <f>CORREL(Table1[YearsAtCompany],AK1427:AK2896)</f>
        <v>-0.14622971354505357</v>
      </c>
      <c r="AO1427">
        <f t="shared" si="22"/>
        <v>0</v>
      </c>
    </row>
    <row r="1428" spans="1:41" x14ac:dyDescent="0.25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  <c r="AK1428" s="4">
        <f>IF(Table1[[#This Row],[Attrition]]="Yes", 1,0)</f>
        <v>0</v>
      </c>
      <c r="AL1428">
        <f>CORREL(Table1[Age],AK1428:AK2897)</f>
        <v>0.11401426243183457</v>
      </c>
      <c r="AM1428">
        <f>CORREL(Table1[MonthlyIncome],AK1428:AK2897)</f>
        <v>4.929604903905057E-2</v>
      </c>
      <c r="AN1428">
        <f>CORREL(Table1[YearsAtCompany],AK1428:AK2897)</f>
        <v>0.30703243859608359</v>
      </c>
      <c r="AO1428">
        <f t="shared" si="22"/>
        <v>0</v>
      </c>
    </row>
    <row r="1429" spans="1:41" x14ac:dyDescent="0.25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  <c r="AK1429" s="4">
        <f>IF(Table1[[#This Row],[Attrition]]="Yes", 1,0)</f>
        <v>0</v>
      </c>
      <c r="AL1429">
        <f>CORREL(Table1[Age],AK1429:AK2898)</f>
        <v>-0.18134340540618021</v>
      </c>
      <c r="AM1429">
        <f>CORREL(Table1[MonthlyIncome],AK1429:AK2898)</f>
        <v>0.23092538759201353</v>
      </c>
      <c r="AN1429">
        <f>CORREL(Table1[YearsAtCompany],AK1429:AK2898)</f>
        <v>0.11011588615384149</v>
      </c>
      <c r="AO1429">
        <f t="shared" si="22"/>
        <v>0</v>
      </c>
    </row>
    <row r="1430" spans="1:41" x14ac:dyDescent="0.25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  <c r="AK1430" s="4">
        <f>IF(Table1[[#This Row],[Attrition]]="Yes", 1,0)</f>
        <v>0</v>
      </c>
      <c r="AL1430">
        <f>CORREL(Table1[Age],AK1430:AK2899)</f>
        <v>-9.9461387319741135E-2</v>
      </c>
      <c r="AM1430">
        <f>CORREL(Table1[MonthlyIncome],AK1430:AK2899)</f>
        <v>-0.20982914383565843</v>
      </c>
      <c r="AN1430">
        <f>CORREL(Table1[YearsAtCompany],AK1430:AK2899)</f>
        <v>-0.11621191155108265</v>
      </c>
      <c r="AO1430">
        <f t="shared" si="22"/>
        <v>0</v>
      </c>
    </row>
    <row r="1431" spans="1:41" x14ac:dyDescent="0.25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  <c r="AK1431" s="4">
        <f>IF(Table1[[#This Row],[Attrition]]="Yes", 1,0)</f>
        <v>0</v>
      </c>
      <c r="AL1431">
        <f>CORREL(Table1[Age],AK1431:AK2900)</f>
        <v>-0.26822632717489953</v>
      </c>
      <c r="AM1431">
        <f>CORREL(Table1[MonthlyIncome],AK1431:AK2900)</f>
        <v>-7.1067766156050635E-2</v>
      </c>
      <c r="AN1431">
        <f>CORREL(Table1[YearsAtCompany],AK1431:AK2900)</f>
        <v>-3.390925600665386E-4</v>
      </c>
      <c r="AO1431">
        <f t="shared" si="22"/>
        <v>0</v>
      </c>
    </row>
    <row r="1432" spans="1:41" x14ac:dyDescent="0.25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  <c r="AK1432" s="4">
        <f>IF(Table1[[#This Row],[Attrition]]="Yes", 1,0)</f>
        <v>0</v>
      </c>
      <c r="AL1432">
        <f>CORREL(Table1[Age],AK1432:AK2901)</f>
        <v>-5.0484626038410751E-2</v>
      </c>
      <c r="AM1432">
        <f>CORREL(Table1[MonthlyIncome],AK1432:AK2901)</f>
        <v>0.1217858934182412</v>
      </c>
      <c r="AN1432">
        <f>CORREL(Table1[YearsAtCompany],AK1432:AK2901)</f>
        <v>6.1551741081129603E-2</v>
      </c>
      <c r="AO1432">
        <f t="shared" si="22"/>
        <v>0</v>
      </c>
    </row>
    <row r="1433" spans="1:41" x14ac:dyDescent="0.25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  <c r="AK1433" s="4">
        <f>IF(Table1[[#This Row],[Attrition]]="Yes", 1,0)</f>
        <v>0</v>
      </c>
      <c r="AL1433">
        <f>CORREL(Table1[Age],AK1433:AK2902)</f>
        <v>-0.1687682502481184</v>
      </c>
      <c r="AM1433">
        <f>CORREL(Table1[MonthlyIncome],AK1433:AK2902)</f>
        <v>-0.17950051257062946</v>
      </c>
      <c r="AN1433">
        <f>CORREL(Table1[YearsAtCompany],AK1433:AK2902)</f>
        <v>-0.16558656980757427</v>
      </c>
      <c r="AO1433">
        <f t="shared" si="22"/>
        <v>0</v>
      </c>
    </row>
    <row r="1434" spans="1:41" x14ac:dyDescent="0.25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  <c r="AK1434" s="4">
        <f>IF(Table1[[#This Row],[Attrition]]="Yes", 1,0)</f>
        <v>0</v>
      </c>
      <c r="AL1434">
        <f>CORREL(Table1[Age],AK1434:AK2903)</f>
        <v>0.12197096494044347</v>
      </c>
      <c r="AM1434">
        <f>CORREL(Table1[MonthlyIncome],AK1434:AK2903)</f>
        <v>8.4972710701091331E-2</v>
      </c>
      <c r="AN1434">
        <f>CORREL(Table1[YearsAtCompany],AK1434:AK2903)</f>
        <v>-0.1913297918265372</v>
      </c>
      <c r="AO1434">
        <f t="shared" si="22"/>
        <v>0</v>
      </c>
    </row>
    <row r="1435" spans="1:41" x14ac:dyDescent="0.25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  <c r="AK1435" s="4">
        <f>IF(Table1[[#This Row],[Attrition]]="Yes", 1,0)</f>
        <v>0</v>
      </c>
      <c r="AL1435">
        <f>CORREL(Table1[Age],AK1435:AK2904)</f>
        <v>-2.0806777129634784E-2</v>
      </c>
      <c r="AM1435">
        <f>CORREL(Table1[MonthlyIncome],AK1435:AK2904)</f>
        <v>3.3308870324702841E-3</v>
      </c>
      <c r="AN1435">
        <f>CORREL(Table1[YearsAtCompany],AK1435:AK2904)</f>
        <v>0.24596847830040564</v>
      </c>
      <c r="AO1435">
        <f t="shared" si="22"/>
        <v>0</v>
      </c>
    </row>
    <row r="1436" spans="1:41" x14ac:dyDescent="0.25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  <c r="AK1436" s="4">
        <f>IF(Table1[[#This Row],[Attrition]]="Yes", 1,0)</f>
        <v>0</v>
      </c>
      <c r="AL1436">
        <f>CORREL(Table1[Age],AK1436:AK2905)</f>
        <v>0.14270899794200154</v>
      </c>
      <c r="AM1436">
        <f>CORREL(Table1[MonthlyIncome],AK1436:AK2905)</f>
        <v>0.19052248712915293</v>
      </c>
      <c r="AN1436">
        <f>CORREL(Table1[YearsAtCompany],AK1436:AK2905)</f>
        <v>0.27028392678076191</v>
      </c>
      <c r="AO1436">
        <f t="shared" si="22"/>
        <v>0</v>
      </c>
    </row>
    <row r="1437" spans="1:41" x14ac:dyDescent="0.25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  <c r="AK1437" s="4">
        <f>IF(Table1[[#This Row],[Attrition]]="Yes", 1,0)</f>
        <v>0</v>
      </c>
      <c r="AL1437">
        <f>CORREL(Table1[Age],AK1437:AK2906)</f>
        <v>-0.23606015344294054</v>
      </c>
      <c r="AM1437">
        <f>CORREL(Table1[MonthlyIncome],AK1437:AK2906)</f>
        <v>-0.16976858689436827</v>
      </c>
      <c r="AN1437">
        <f>CORREL(Table1[YearsAtCompany],AK1437:AK2906)</f>
        <v>-6.659386941124934E-2</v>
      </c>
      <c r="AO1437">
        <f t="shared" si="22"/>
        <v>0</v>
      </c>
    </row>
    <row r="1438" spans="1:41" x14ac:dyDescent="0.25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  <c r="AK1438" s="4">
        <f>IF(Table1[[#This Row],[Attrition]]="Yes", 1,0)</f>
        <v>0</v>
      </c>
      <c r="AL1438">
        <f>CORREL(Table1[Age],AK1438:AK2907)</f>
        <v>0.37133758756951601</v>
      </c>
      <c r="AM1438">
        <f>CORREL(Table1[MonthlyIncome],AK1438:AK2907)</f>
        <v>0.16063966513834216</v>
      </c>
      <c r="AN1438">
        <f>CORREL(Table1[YearsAtCompany],AK1438:AK2907)</f>
        <v>-3.249743343600342E-2</v>
      </c>
      <c r="AO1438">
        <f t="shared" si="22"/>
        <v>0</v>
      </c>
    </row>
    <row r="1439" spans="1:41" x14ac:dyDescent="0.25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  <c r="AK1439" s="4">
        <f>IF(Table1[[#This Row],[Attrition]]="Yes", 1,0)</f>
        <v>0</v>
      </c>
      <c r="AL1439">
        <f>CORREL(Table1[Age],AK1439:AK2908)</f>
        <v>-5.4688609505825263E-2</v>
      </c>
      <c r="AM1439">
        <f>CORREL(Table1[MonthlyIncome],AK1439:AK2908)</f>
        <v>-7.9943859407267129E-2</v>
      </c>
      <c r="AN1439">
        <f>CORREL(Table1[YearsAtCompany],AK1439:AK2908)</f>
        <v>-1.5437904452144579E-2</v>
      </c>
      <c r="AO1439">
        <f t="shared" si="22"/>
        <v>0</v>
      </c>
    </row>
    <row r="1440" spans="1:41" x14ac:dyDescent="0.25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  <c r="AK1440" s="4">
        <f>IF(Table1[[#This Row],[Attrition]]="Yes", 1,0)</f>
        <v>1</v>
      </c>
      <c r="AL1440">
        <f>CORREL(Table1[Age],AK1440:AK2909)</f>
        <v>-4.4842555646337254E-2</v>
      </c>
      <c r="AM1440">
        <f>CORREL(Table1[MonthlyIncome],AK1440:AK2909)</f>
        <v>-0.24547048123866788</v>
      </c>
      <c r="AN1440">
        <f>CORREL(Table1[YearsAtCompany],AK1440:AK2909)</f>
        <v>-0.29467550706448659</v>
      </c>
      <c r="AO1440">
        <f t="shared" si="22"/>
        <v>1</v>
      </c>
    </row>
    <row r="1441" spans="1:41" x14ac:dyDescent="0.25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  <c r="AK1441" s="4">
        <f>IF(Table1[[#This Row],[Attrition]]="Yes", 1,0)</f>
        <v>0</v>
      </c>
      <c r="AL1441">
        <f>CORREL(Table1[Age],AK1441:AK2910)</f>
        <v>-0.11330401463760267</v>
      </c>
      <c r="AM1441">
        <f>CORREL(Table1[MonthlyIncome],AK1441:AK2910)</f>
        <v>-4.6415408367248771E-2</v>
      </c>
      <c r="AN1441">
        <f>CORREL(Table1[YearsAtCompany],AK1441:AK2910)</f>
        <v>4.4662246639039192E-2</v>
      </c>
      <c r="AO1441">
        <f t="shared" si="22"/>
        <v>0</v>
      </c>
    </row>
    <row r="1442" spans="1:41" x14ac:dyDescent="0.25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  <c r="AK1442" s="4">
        <f>IF(Table1[[#This Row],[Attrition]]="Yes", 1,0)</f>
        <v>0</v>
      </c>
      <c r="AL1442">
        <f>CORREL(Table1[Age],AK1442:AK2911)</f>
        <v>-0.13964280719402233</v>
      </c>
      <c r="AM1442">
        <f>CORREL(Table1[MonthlyIncome],AK1442:AK2911)</f>
        <v>-0.23423906218143828</v>
      </c>
      <c r="AN1442">
        <f>CORREL(Table1[YearsAtCompany],AK1442:AK2911)</f>
        <v>-0.2559756815208955</v>
      </c>
      <c r="AO1442">
        <f t="shared" si="22"/>
        <v>0</v>
      </c>
    </row>
    <row r="1443" spans="1:41" x14ac:dyDescent="0.25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  <c r="AK1443" s="4">
        <f>IF(Table1[[#This Row],[Attrition]]="Yes", 1,0)</f>
        <v>0</v>
      </c>
      <c r="AL1443">
        <f>CORREL(Table1[Age],AK1443:AK2912)</f>
        <v>-8.3215701289939673E-2</v>
      </c>
      <c r="AM1443">
        <f>CORREL(Table1[MonthlyIncome],AK1443:AK2912)</f>
        <v>-0.12593591444516627</v>
      </c>
      <c r="AN1443">
        <f>CORREL(Table1[YearsAtCompany],AK1443:AK2912)</f>
        <v>5.6471638336387527E-2</v>
      </c>
      <c r="AO1443">
        <f t="shared" si="22"/>
        <v>0</v>
      </c>
    </row>
    <row r="1444" spans="1:41" x14ac:dyDescent="0.25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  <c r="AK1444" s="4">
        <f>IF(Table1[[#This Row],[Attrition]]="Yes", 1,0)</f>
        <v>1</v>
      </c>
      <c r="AL1444">
        <f>CORREL(Table1[Age],AK1444:AK2913)</f>
        <v>0.11006262545610827</v>
      </c>
      <c r="AM1444">
        <f>CORREL(Table1[MonthlyIncome],AK1444:AK2913)</f>
        <v>-0.15609290862534059</v>
      </c>
      <c r="AN1444">
        <f>CORREL(Table1[YearsAtCompany],AK1444:AK2913)</f>
        <v>-0.22962305352272191</v>
      </c>
      <c r="AO1444">
        <f t="shared" si="22"/>
        <v>1</v>
      </c>
    </row>
    <row r="1445" spans="1:41" x14ac:dyDescent="0.25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  <c r="AK1445" s="4">
        <f>IF(Table1[[#This Row],[Attrition]]="Yes", 1,0)</f>
        <v>0</v>
      </c>
      <c r="AL1445">
        <f>CORREL(Table1[Age],AK1445:AK2914)</f>
        <v>0.4254485156657371</v>
      </c>
      <c r="AM1445">
        <f>CORREL(Table1[MonthlyIncome],AK1445:AK2914)</f>
        <v>0.28600473612924637</v>
      </c>
      <c r="AN1445">
        <f>CORREL(Table1[YearsAtCompany],AK1445:AK2914)</f>
        <v>0.52251411618779142</v>
      </c>
      <c r="AO1445">
        <f t="shared" si="22"/>
        <v>0</v>
      </c>
    </row>
    <row r="1446" spans="1:41" x14ac:dyDescent="0.25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  <c r="AK1446" s="4">
        <f>IF(Table1[[#This Row],[Attrition]]="Yes", 1,0)</f>
        <v>1</v>
      </c>
      <c r="AL1446">
        <f>CORREL(Table1[Age],AK1446:AK2915)</f>
        <v>-5.9682512156281349E-2</v>
      </c>
      <c r="AM1446">
        <f>CORREL(Table1[MonthlyIncome],AK1446:AK2915)</f>
        <v>7.9088938829781019E-2</v>
      </c>
      <c r="AN1446">
        <f>CORREL(Table1[YearsAtCompany],AK1446:AK2915)</f>
        <v>-5.6336282006021338E-2</v>
      </c>
      <c r="AO1446">
        <f t="shared" si="22"/>
        <v>1</v>
      </c>
    </row>
    <row r="1447" spans="1:41" x14ac:dyDescent="0.25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  <c r="AK1447" s="4">
        <f>IF(Table1[[#This Row],[Attrition]]="Yes", 1,0)</f>
        <v>0</v>
      </c>
      <c r="AL1447">
        <f>CORREL(Table1[Age],AK1447:AK2916)</f>
        <v>-0.11814132924397772</v>
      </c>
      <c r="AM1447">
        <f>CORREL(Table1[MonthlyIncome],AK1447:AK2916)</f>
        <v>-0.14387832068806281</v>
      </c>
      <c r="AN1447">
        <f>CORREL(Table1[YearsAtCompany],AK1447:AK2916)</f>
        <v>-0.13477116304783573</v>
      </c>
      <c r="AO1447">
        <f t="shared" si="22"/>
        <v>0</v>
      </c>
    </row>
    <row r="1448" spans="1:41" x14ac:dyDescent="0.25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  <c r="AK1448" s="4">
        <f>IF(Table1[[#This Row],[Attrition]]="Yes", 1,0)</f>
        <v>0</v>
      </c>
      <c r="AL1448">
        <f>CORREL(Table1[Age],AK1448:AK2917)</f>
        <v>0.32311866018943336</v>
      </c>
      <c r="AM1448">
        <f>CORREL(Table1[MonthlyIncome],AK1448:AK2917)</f>
        <v>0.14093635849569258</v>
      </c>
      <c r="AN1448">
        <f>CORREL(Table1[YearsAtCompany],AK1448:AK2917)</f>
        <v>-2.4106255415828694E-2</v>
      </c>
      <c r="AO1448">
        <f t="shared" si="22"/>
        <v>0</v>
      </c>
    </row>
    <row r="1449" spans="1:41" x14ac:dyDescent="0.25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  <c r="AK1449" s="4">
        <f>IF(Table1[[#This Row],[Attrition]]="Yes", 1,0)</f>
        <v>0</v>
      </c>
      <c r="AL1449">
        <f>CORREL(Table1[Age],AK1449:AK2918)</f>
        <v>-0.18282544464257469</v>
      </c>
      <c r="AM1449">
        <f>CORREL(Table1[MonthlyIncome],AK1449:AK2918)</f>
        <v>-0.20871737959922823</v>
      </c>
      <c r="AN1449">
        <f>CORREL(Table1[YearsAtCompany],AK1449:AK2918)</f>
        <v>-4.0209450554072469E-2</v>
      </c>
      <c r="AO1449">
        <f t="shared" si="22"/>
        <v>0</v>
      </c>
    </row>
    <row r="1450" spans="1:41" x14ac:dyDescent="0.25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  <c r="AK1450" s="4">
        <f>IF(Table1[[#This Row],[Attrition]]="Yes", 1,0)</f>
        <v>0</v>
      </c>
      <c r="AL1450">
        <f>CORREL(Table1[Age],AK1450:AK2919)</f>
        <v>-0.16705381391691135</v>
      </c>
      <c r="AM1450">
        <f>CORREL(Table1[MonthlyIncome],AK1450:AK2919)</f>
        <v>-0.14881891628609711</v>
      </c>
      <c r="AN1450">
        <f>CORREL(Table1[YearsAtCompany],AK1450:AK2919)</f>
        <v>-0.24079152428751507</v>
      </c>
      <c r="AO1450">
        <f t="shared" si="22"/>
        <v>0</v>
      </c>
    </row>
    <row r="1451" spans="1:41" x14ac:dyDescent="0.25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  <c r="AK1451" s="4">
        <f>IF(Table1[[#This Row],[Attrition]]="Yes", 1,0)</f>
        <v>0</v>
      </c>
      <c r="AL1451">
        <f>CORREL(Table1[Age],AK1451:AK2920)</f>
        <v>-0.11181745964672074</v>
      </c>
      <c r="AM1451">
        <f>CORREL(Table1[MonthlyIncome],AK1451:AK2920)</f>
        <v>-0.17072855940772941</v>
      </c>
      <c r="AN1451">
        <f>CORREL(Table1[YearsAtCompany],AK1451:AK2920)</f>
        <v>3.383802197972216E-2</v>
      </c>
      <c r="AO1451">
        <f t="shared" si="22"/>
        <v>0</v>
      </c>
    </row>
    <row r="1452" spans="1:41" x14ac:dyDescent="0.25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  <c r="AK1452" s="4">
        <f>IF(Table1[[#This Row],[Attrition]]="Yes", 1,0)</f>
        <v>0</v>
      </c>
      <c r="AL1452">
        <f>CORREL(Table1[Age],AK1452:AK2921)</f>
        <v>-9.9872263677955764E-2</v>
      </c>
      <c r="AM1452">
        <f>CORREL(Table1[MonthlyIncome],AK1452:AK2921)</f>
        <v>-0.15083926687676311</v>
      </c>
      <c r="AN1452">
        <f>CORREL(Table1[YearsAtCompany],AK1452:AK2921)</f>
        <v>-9.6363019972437236E-2</v>
      </c>
      <c r="AO1452">
        <f t="shared" si="22"/>
        <v>0</v>
      </c>
    </row>
    <row r="1453" spans="1:41" x14ac:dyDescent="0.25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  <c r="AK1453" s="4">
        <f>IF(Table1[[#This Row],[Attrition]]="Yes", 1,0)</f>
        <v>0</v>
      </c>
      <c r="AL1453">
        <f>CORREL(Table1[Age],AK1453:AK2922)</f>
        <v>0.24515031063038384</v>
      </c>
      <c r="AM1453">
        <f>CORREL(Table1[MonthlyIncome],AK1453:AK2922)</f>
        <v>-9.0334932013207719E-2</v>
      </c>
      <c r="AN1453">
        <f>CORREL(Table1[YearsAtCompany],AK1453:AK2922)</f>
        <v>8.1095157515332139E-2</v>
      </c>
      <c r="AO1453">
        <f t="shared" si="22"/>
        <v>0</v>
      </c>
    </row>
    <row r="1454" spans="1:41" x14ac:dyDescent="0.25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  <c r="AK1454" s="4">
        <f>IF(Table1[[#This Row],[Attrition]]="Yes", 1,0)</f>
        <v>1</v>
      </c>
      <c r="AL1454">
        <f>CORREL(Table1[Age],AK1454:AK2923)</f>
        <v>0.16826345373671492</v>
      </c>
      <c r="AM1454">
        <f>CORREL(Table1[MonthlyIncome],AK1454:AK2923)</f>
        <v>0.24008708552448602</v>
      </c>
      <c r="AN1454">
        <f>CORREL(Table1[YearsAtCompany],AK1454:AK2923)</f>
        <v>0.14414999403128934</v>
      </c>
      <c r="AO1454">
        <f t="shared" si="22"/>
        <v>1</v>
      </c>
    </row>
    <row r="1455" spans="1:41" x14ac:dyDescent="0.25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  <c r="AK1455" s="4">
        <f>IF(Table1[[#This Row],[Attrition]]="Yes", 1,0)</f>
        <v>0</v>
      </c>
      <c r="AL1455">
        <f>CORREL(Table1[Age],AK1455:AK2924)</f>
        <v>8.5285856173385313E-2</v>
      </c>
      <c r="AM1455">
        <f>CORREL(Table1[MonthlyIncome],AK1455:AK2924)</f>
        <v>0.57908314423777008</v>
      </c>
      <c r="AN1455">
        <f>CORREL(Table1[YearsAtCompany],AK1455:AK2924)</f>
        <v>0.28030057467326419</v>
      </c>
      <c r="AO1455">
        <f t="shared" si="22"/>
        <v>0</v>
      </c>
    </row>
    <row r="1456" spans="1:41" x14ac:dyDescent="0.25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  <c r="AK1456" s="4">
        <f>IF(Table1[[#This Row],[Attrition]]="Yes", 1,0)</f>
        <v>0</v>
      </c>
      <c r="AL1456">
        <f>CORREL(Table1[Age],AK1456:AK2925)</f>
        <v>-0.17463617775527035</v>
      </c>
      <c r="AM1456">
        <f>CORREL(Table1[MonthlyIncome],AK1456:AK2925)</f>
        <v>-0.16136175171506673</v>
      </c>
      <c r="AN1456">
        <f>CORREL(Table1[YearsAtCompany],AK1456:AK2925)</f>
        <v>-0.34279147481207417</v>
      </c>
      <c r="AO1456">
        <f t="shared" si="22"/>
        <v>0</v>
      </c>
    </row>
    <row r="1457" spans="1:41" x14ac:dyDescent="0.25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  <c r="AK1457" s="4">
        <f>IF(Table1[[#This Row],[Attrition]]="Yes", 1,0)</f>
        <v>0</v>
      </c>
      <c r="AL1457">
        <f>CORREL(Table1[Age],AK1457:AK2926)</f>
        <v>0.75019820368790735</v>
      </c>
      <c r="AM1457">
        <f>CORREL(Table1[MonthlyIncome],AK1457:AK2926)</f>
        <v>-0.15693879216892537</v>
      </c>
      <c r="AN1457">
        <f>CORREL(Table1[YearsAtCompany],AK1457:AK2926)</f>
        <v>-0.34263175117121181</v>
      </c>
      <c r="AO1457">
        <f t="shared" si="22"/>
        <v>0</v>
      </c>
    </row>
    <row r="1458" spans="1:41" x14ac:dyDescent="0.25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  <c r="AK1458" s="4">
        <f>IF(Table1[[#This Row],[Attrition]]="Yes", 1,0)</f>
        <v>0</v>
      </c>
      <c r="AL1458">
        <f>CORREL(Table1[Age],AK1458:AK2927)</f>
        <v>-0.15187073293304612</v>
      </c>
      <c r="AM1458">
        <f>CORREL(Table1[MonthlyIncome],AK1458:AK2927)</f>
        <v>-0.12334901486373069</v>
      </c>
      <c r="AN1458">
        <f>CORREL(Table1[YearsAtCompany],AK1458:AK2927)</f>
        <v>0.15750923879361342</v>
      </c>
      <c r="AO1458">
        <f t="shared" si="22"/>
        <v>0</v>
      </c>
    </row>
    <row r="1459" spans="1:41" x14ac:dyDescent="0.25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  <c r="AK1459" s="4">
        <f>IF(Table1[[#This Row],[Attrition]]="Yes", 1,0)</f>
        <v>0</v>
      </c>
      <c r="AL1459">
        <f>CORREL(Table1[Age],AK1459:AK2928)</f>
        <v>-0.32925230393425903</v>
      </c>
      <c r="AM1459">
        <f>CORREL(Table1[MonthlyIncome],AK1459:AK2928)</f>
        <v>-8.1476691859252118E-2</v>
      </c>
      <c r="AN1459">
        <f>CORREL(Table1[YearsAtCompany],AK1459:AK2928)</f>
        <v>-0.29871899562646248</v>
      </c>
      <c r="AO1459">
        <f t="shared" si="22"/>
        <v>0</v>
      </c>
    </row>
    <row r="1460" spans="1:41" x14ac:dyDescent="0.25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  <c r="AK1460" s="4">
        <f>IF(Table1[[#This Row],[Attrition]]="Yes", 1,0)</f>
        <v>0</v>
      </c>
      <c r="AL1460">
        <f>CORREL(Table1[Age],AK1460:AK2929)</f>
        <v>-0.14477011097144005</v>
      </c>
      <c r="AM1460">
        <f>CORREL(Table1[MonthlyIncome],AK1460:AK2929)</f>
        <v>-0.17998722579412579</v>
      </c>
      <c r="AN1460">
        <f>CORREL(Table1[YearsAtCompany],AK1460:AK2929)</f>
        <v>0.22892728163791709</v>
      </c>
      <c r="AO1460">
        <f t="shared" si="22"/>
        <v>0</v>
      </c>
    </row>
    <row r="1461" spans="1:41" x14ac:dyDescent="0.25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  <c r="AK1461" s="4">
        <f>IF(Table1[[#This Row],[Attrition]]="Yes", 1,0)</f>
        <v>0</v>
      </c>
      <c r="AL1461">
        <f>CORREL(Table1[Age],AK1461:AK2930)</f>
        <v>-3.3077060082781107E-2</v>
      </c>
      <c r="AM1461">
        <f>CORREL(Table1[MonthlyIncome],AK1461:AK2930)</f>
        <v>-0.30226374001095258</v>
      </c>
      <c r="AN1461">
        <f>CORREL(Table1[YearsAtCompany],AK1461:AK2930)</f>
        <v>-0.47774336109297572</v>
      </c>
      <c r="AO1461">
        <f t="shared" si="22"/>
        <v>0</v>
      </c>
    </row>
    <row r="1462" spans="1:41" x14ac:dyDescent="0.25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  <c r="AK1462" s="4">
        <f>IF(Table1[[#This Row],[Attrition]]="Yes", 1,0)</f>
        <v>0</v>
      </c>
      <c r="AL1462">
        <f>CORREL(Table1[Age],AK1462:AK2931)</f>
        <v>0.39716620347661896</v>
      </c>
      <c r="AM1462">
        <f>CORREL(Table1[MonthlyIncome],AK1462:AK2931)</f>
        <v>0.13234214290289428</v>
      </c>
      <c r="AN1462">
        <f>CORREL(Table1[YearsAtCompany],AK1462:AK2931)</f>
        <v>0.46216133189567221</v>
      </c>
      <c r="AO1462">
        <f t="shared" si="22"/>
        <v>0</v>
      </c>
    </row>
    <row r="1463" spans="1:41" x14ac:dyDescent="0.25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  <c r="AK1463" s="4">
        <f>IF(Table1[[#This Row],[Attrition]]="Yes", 1,0)</f>
        <v>1</v>
      </c>
      <c r="AL1463">
        <f>CORREL(Table1[Age],AK1463:AK2932)</f>
        <v>9.4876221539215988E-2</v>
      </c>
      <c r="AM1463">
        <f>CORREL(Table1[MonthlyIncome],AK1463:AK2932)</f>
        <v>0.2879848991789471</v>
      </c>
      <c r="AN1463">
        <f>CORREL(Table1[YearsAtCompany],AK1463:AK2932)</f>
        <v>0.10718661571406801</v>
      </c>
      <c r="AO1463">
        <f t="shared" si="22"/>
        <v>1</v>
      </c>
    </row>
    <row r="1464" spans="1:41" x14ac:dyDescent="0.25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  <c r="AK1464" s="4">
        <f>IF(Table1[[#This Row],[Attrition]]="Yes",1,0)</f>
        <v>0</v>
      </c>
      <c r="AL1464" t="e">
        <f>CORREL(Table1[Age],AK1464:AK2933)</f>
        <v>#DIV/0!</v>
      </c>
      <c r="AM1464" t="e">
        <f>CORREL(Table1[MonthlyIncome],AK1464:AK2933)</f>
        <v>#DIV/0!</v>
      </c>
      <c r="AN1464" t="e">
        <f>CORREL(Table1[YearsAtCompany],AK1464:AK2933)</f>
        <v>#DIV/0!</v>
      </c>
      <c r="AO1464">
        <f t="shared" si="22"/>
        <v>0</v>
      </c>
    </row>
    <row r="1465" spans="1:41" x14ac:dyDescent="0.25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  <c r="AK1465" s="4">
        <f>IF(Table1[[#This Row],[Attrition]]="Yes",1,0)</f>
        <v>0</v>
      </c>
      <c r="AL1465" t="e">
        <f>CORREL(Table1[Age],AK1465:AK2934)</f>
        <v>#DIV/0!</v>
      </c>
      <c r="AM1465" t="e">
        <f>CORREL(Table1[MonthlyIncome],AK1465:AK2934)</f>
        <v>#DIV/0!</v>
      </c>
      <c r="AN1465" t="e">
        <f>CORREL(Table1[YearsAtCompany],AK1465:AK2934)</f>
        <v>#DIV/0!</v>
      </c>
      <c r="AO1465">
        <f t="shared" si="22"/>
        <v>0</v>
      </c>
    </row>
    <row r="1466" spans="1:41" x14ac:dyDescent="0.25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  <c r="AK1466" s="4">
        <f>IF(Table1[[#This Row],[Attrition]]="Yes",1,0)</f>
        <v>0</v>
      </c>
      <c r="AL1466" t="e">
        <f>CORREL(Table1[Age],AK1466:AK2935)</f>
        <v>#DIV/0!</v>
      </c>
      <c r="AM1466" t="e">
        <f>CORREL(Table1[MonthlyIncome],AK1466:AK2935)</f>
        <v>#DIV/0!</v>
      </c>
      <c r="AN1466" t="e">
        <f>CORREL(Table1[YearsAtCompany],AK1466:AK2935)</f>
        <v>#DIV/0!</v>
      </c>
      <c r="AO1466">
        <f t="shared" si="22"/>
        <v>0</v>
      </c>
    </row>
    <row r="1467" spans="1:41" x14ac:dyDescent="0.25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  <c r="AK1467" s="4">
        <f>IF(Table1[[#This Row],[Attrition]]="Yes",1,0)</f>
        <v>0</v>
      </c>
      <c r="AL1467" t="e">
        <f>CORREL(Table1[Age],AK1467:AK2936)</f>
        <v>#DIV/0!</v>
      </c>
      <c r="AM1467" t="e">
        <f>CORREL(Table1[MonthlyIncome],AK1467:AK2936)</f>
        <v>#DIV/0!</v>
      </c>
      <c r="AN1467" t="e">
        <f>CORREL(Table1[YearsAtCompany],AK1467:AK2936)</f>
        <v>#DIV/0!</v>
      </c>
      <c r="AO1467">
        <f t="shared" si="22"/>
        <v>0</v>
      </c>
    </row>
    <row r="1468" spans="1:41" x14ac:dyDescent="0.25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  <c r="AK1468" s="4">
        <f>IF(Table1[[#This Row],[Attrition]]="Yes",1,0)</f>
        <v>0</v>
      </c>
      <c r="AL1468" t="e">
        <f>CORREL(Table1[Age],AK1468:AK2937)</f>
        <v>#DIV/0!</v>
      </c>
      <c r="AM1468" t="e">
        <f>CORREL(Table1[MonthlyIncome],AK1468:AK2937)</f>
        <v>#DIV/0!</v>
      </c>
      <c r="AN1468" t="e">
        <f>CORREL(Table1[YearsAtCompany],AK1468:AK2937)</f>
        <v>#DIV/0!</v>
      </c>
      <c r="AO1468">
        <f t="shared" si="22"/>
        <v>0</v>
      </c>
    </row>
    <row r="1469" spans="1:41" x14ac:dyDescent="0.25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  <c r="AK1469" s="4">
        <f>IF(Table1[[#This Row],[Attrition]]="Yes",1,0)</f>
        <v>0</v>
      </c>
      <c r="AL1469" t="e">
        <f>CORREL(Table1[Age],AK1469:AK2938)</f>
        <v>#DIV/0!</v>
      </c>
      <c r="AM1469" t="e">
        <f>CORREL(Table1[MonthlyIncome],AK1469:AK2938)</f>
        <v>#DIV/0!</v>
      </c>
      <c r="AN1469" t="e">
        <f>CORREL(Table1[YearsAtCompany],AK1469:AK2938)</f>
        <v>#DIV/0!</v>
      </c>
      <c r="AO1469">
        <f t="shared" si="22"/>
        <v>0</v>
      </c>
    </row>
    <row r="1470" spans="1:41" x14ac:dyDescent="0.25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  <c r="AK1470" s="4">
        <f>IF(Table1[[#This Row],[Attrition]]="Yes",1,0)</f>
        <v>0</v>
      </c>
      <c r="AL1470" t="e">
        <f>CORREL(Table1[Age],AK1470:AK2939)</f>
        <v>#DIV/0!</v>
      </c>
      <c r="AM1470" t="e">
        <f>CORREL(Table1[MonthlyIncome],AK1470:AK2939)</f>
        <v>#DIV/0!</v>
      </c>
      <c r="AN1470" t="e">
        <f>CORREL(Table1[YearsAtCompany],AK1470:AK2939)</f>
        <v>#DIV/0!</v>
      </c>
      <c r="AO1470">
        <f t="shared" si="22"/>
        <v>0</v>
      </c>
    </row>
    <row r="1471" spans="1:41" x14ac:dyDescent="0.25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  <c r="AK1471" s="4">
        <f>IF(Table1[[#This Row],[Attrition]]="Yes",1,0)</f>
        <v>0</v>
      </c>
      <c r="AL1471" t="e">
        <f>CORREL(Table1[Age],AK1471:AK2940)</f>
        <v>#DIV/0!</v>
      </c>
      <c r="AM1471" t="e">
        <f>CORREL(Table1[MonthlyIncome],AK1471:AK2940)</f>
        <v>#DIV/0!</v>
      </c>
      <c r="AN1471" t="e">
        <f>CORREL(Table1[YearsAtCompany],AK1471:AK2940)</f>
        <v>#DIV/0!</v>
      </c>
      <c r="AO1471">
        <f t="shared" si="22"/>
        <v>0</v>
      </c>
    </row>
  </sheetData>
  <autoFilter ref="AL1:AO1471" xr:uid="{FAD46445-B7D0-4960-B7E0-61F46677D9A2}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443D-0D29-42C7-B341-C4A8D5927AC7}">
  <sheetPr>
    <tabColor rgb="FFFFC000"/>
  </sheetPr>
  <dimension ref="B2:R176"/>
  <sheetViews>
    <sheetView showGridLines="0" tabSelected="1" topLeftCell="B103" workbookViewId="0">
      <selection activeCell="N113" sqref="N113"/>
    </sheetView>
  </sheetViews>
  <sheetFormatPr defaultRowHeight="15" x14ac:dyDescent="0.25"/>
  <cols>
    <col min="2" max="2" width="36.7109375" bestFit="1" customWidth="1"/>
    <col min="3" max="3" width="43.28515625" bestFit="1" customWidth="1"/>
  </cols>
  <sheetData>
    <row r="2" spans="2:13" x14ac:dyDescent="0.25">
      <c r="B2" s="7" t="s">
        <v>98</v>
      </c>
      <c r="C2" s="8"/>
      <c r="D2" s="8"/>
      <c r="E2" s="8"/>
      <c r="F2" s="8"/>
      <c r="G2" s="8"/>
    </row>
    <row r="4" spans="2:13" x14ac:dyDescent="0.25">
      <c r="J4" s="2" t="s">
        <v>63</v>
      </c>
      <c r="K4" s="2" t="s">
        <v>64</v>
      </c>
      <c r="L4" s="2" t="s">
        <v>65</v>
      </c>
      <c r="M4" s="2"/>
    </row>
    <row r="5" spans="2:13" x14ac:dyDescent="0.25">
      <c r="J5" s="2">
        <f>COUNTIF(Table1[Attrition],"Yes")</f>
        <v>237</v>
      </c>
      <c r="K5" s="2">
        <f>COUNTA(Table1[Attrition])</f>
        <v>1470</v>
      </c>
      <c r="L5" s="3">
        <f>COUNTIF(Table1[Attrition],"Yes")/COUNTA(Table1[Attrition])</f>
        <v>0.16122448979591836</v>
      </c>
      <c r="M5" s="2"/>
    </row>
    <row r="20" spans="2:18" x14ac:dyDescent="0.25">
      <c r="B20" s="7" t="s">
        <v>99</v>
      </c>
      <c r="C20" s="8"/>
      <c r="D20" s="8"/>
      <c r="E20" s="8"/>
      <c r="F20" s="8"/>
      <c r="G20" s="8"/>
    </row>
    <row r="21" spans="2:18" x14ac:dyDescent="0.25">
      <c r="B21" s="4" t="s">
        <v>37</v>
      </c>
      <c r="C21" s="4" t="s">
        <v>66</v>
      </c>
      <c r="D21" s="4" t="s">
        <v>67</v>
      </c>
    </row>
    <row r="22" spans="2:18" x14ac:dyDescent="0.25">
      <c r="B22" s="4">
        <f>COUNTIF(Table1[Department],"Sales")</f>
        <v>446</v>
      </c>
      <c r="C22" s="4">
        <f>COUNTIF(Table1[Department],"Human Resources")</f>
        <v>63</v>
      </c>
      <c r="D22" s="4">
        <f>COUNTIF(Table1[Department],"Research &amp; Development")</f>
        <v>961</v>
      </c>
    </row>
    <row r="23" spans="2:18" x14ac:dyDescent="0.25">
      <c r="B23">
        <f>COUNTIFS(Table1[Department],"Sales",Table1[Attrition],"Yes")</f>
        <v>92</v>
      </c>
      <c r="C23">
        <f>COUNTIFS(Table1[Department],"Human Resources",Table1[Attrition],"Yes")</f>
        <v>12</v>
      </c>
      <c r="D23">
        <f>COUNTIFS(Table1[Department],"Yes",Table1[Attrition],"Yes")</f>
        <v>0</v>
      </c>
      <c r="O23" s="10" t="s">
        <v>97</v>
      </c>
      <c r="P23" s="10" t="s">
        <v>1</v>
      </c>
    </row>
    <row r="24" spans="2:18" x14ac:dyDescent="0.25">
      <c r="B24" s="5">
        <f>B23/B22*100</f>
        <v>20.627802690582961</v>
      </c>
      <c r="C24" s="5">
        <f>C23/C22*100</f>
        <v>19.047619047619047</v>
      </c>
      <c r="D24" s="5">
        <f>D23/D22*100</f>
        <v>0</v>
      </c>
      <c r="E24" s="6" t="s">
        <v>68</v>
      </c>
      <c r="F24" s="6"/>
      <c r="O24" s="10" t="s">
        <v>4</v>
      </c>
      <c r="P24" t="s">
        <v>43</v>
      </c>
      <c r="Q24" t="s">
        <v>35</v>
      </c>
      <c r="R24" t="s">
        <v>70</v>
      </c>
    </row>
    <row r="25" spans="2:18" x14ac:dyDescent="0.25">
      <c r="O25" s="11" t="s">
        <v>61</v>
      </c>
      <c r="P25">
        <v>51</v>
      </c>
      <c r="Q25">
        <v>12</v>
      </c>
      <c r="R25">
        <v>63</v>
      </c>
    </row>
    <row r="26" spans="2:18" x14ac:dyDescent="0.25">
      <c r="O26" s="11" t="s">
        <v>45</v>
      </c>
      <c r="P26">
        <v>828</v>
      </c>
      <c r="Q26">
        <v>133</v>
      </c>
      <c r="R26">
        <v>961</v>
      </c>
    </row>
    <row r="27" spans="2:18" x14ac:dyDescent="0.25">
      <c r="O27" s="11" t="s">
        <v>37</v>
      </c>
      <c r="P27">
        <v>354</v>
      </c>
      <c r="Q27">
        <v>92</v>
      </c>
      <c r="R27">
        <v>446</v>
      </c>
    </row>
    <row r="28" spans="2:18" x14ac:dyDescent="0.25">
      <c r="O28" s="11" t="s">
        <v>70</v>
      </c>
      <c r="P28">
        <v>1233</v>
      </c>
      <c r="Q28">
        <v>237</v>
      </c>
      <c r="R28">
        <v>1470</v>
      </c>
    </row>
    <row r="45" spans="2:8" x14ac:dyDescent="0.25">
      <c r="B45" s="7" t="s">
        <v>100</v>
      </c>
      <c r="C45" s="8"/>
      <c r="D45" s="8"/>
      <c r="E45" s="8"/>
      <c r="F45" s="8"/>
      <c r="G45" s="8"/>
      <c r="H45" s="7"/>
    </row>
    <row r="46" spans="2:8" x14ac:dyDescent="0.25">
      <c r="B46" s="9"/>
    </row>
    <row r="47" spans="2:8" x14ac:dyDescent="0.25">
      <c r="B47" s="26" t="s">
        <v>96</v>
      </c>
    </row>
    <row r="48" spans="2:8" x14ac:dyDescent="0.25">
      <c r="B48" s="25">
        <f>AVERAGEIF(Table1[Attrition],"Yes",Table1[Age])</f>
        <v>33.607594936708864</v>
      </c>
    </row>
    <row r="61" spans="2:8" x14ac:dyDescent="0.25">
      <c r="B61" s="7" t="s">
        <v>101</v>
      </c>
      <c r="C61" s="8"/>
      <c r="D61" s="8"/>
      <c r="E61" s="8"/>
      <c r="F61" s="8"/>
      <c r="G61" s="8"/>
      <c r="H61" s="7"/>
    </row>
    <row r="64" spans="2:8" x14ac:dyDescent="0.25">
      <c r="B64" s="20" t="s">
        <v>72</v>
      </c>
      <c r="C64" s="11" t="s">
        <v>71</v>
      </c>
    </row>
    <row r="65" spans="2:3" x14ac:dyDescent="0.25">
      <c r="B65" s="11" t="s">
        <v>54</v>
      </c>
      <c r="C65" s="11">
        <v>2.7862595419847329</v>
      </c>
    </row>
    <row r="66" spans="2:3" x14ac:dyDescent="0.25">
      <c r="B66" s="11" t="s">
        <v>61</v>
      </c>
      <c r="C66" s="11">
        <v>2.5576923076923075</v>
      </c>
    </row>
    <row r="67" spans="2:3" x14ac:dyDescent="0.25">
      <c r="B67" s="11" t="s">
        <v>50</v>
      </c>
      <c r="C67" s="11">
        <v>2.6911196911196913</v>
      </c>
    </row>
    <row r="68" spans="2:3" x14ac:dyDescent="0.25">
      <c r="B68" s="11" t="s">
        <v>56</v>
      </c>
      <c r="C68" s="11">
        <v>2.7058823529411766</v>
      </c>
    </row>
    <row r="69" spans="2:3" x14ac:dyDescent="0.25">
      <c r="B69" s="11" t="s">
        <v>53</v>
      </c>
      <c r="C69" s="11">
        <v>2.682758620689655</v>
      </c>
    </row>
    <row r="70" spans="2:3" x14ac:dyDescent="0.25">
      <c r="B70" s="11" t="s">
        <v>58</v>
      </c>
      <c r="C70" s="11">
        <v>2.7</v>
      </c>
    </row>
    <row r="71" spans="2:3" x14ac:dyDescent="0.25">
      <c r="B71" s="11" t="s">
        <v>47</v>
      </c>
      <c r="C71" s="11">
        <v>2.7739726027397262</v>
      </c>
    </row>
    <row r="72" spans="2:3" x14ac:dyDescent="0.25">
      <c r="B72" s="11" t="s">
        <v>40</v>
      </c>
      <c r="C72" s="11">
        <v>2.7546012269938651</v>
      </c>
    </row>
    <row r="73" spans="2:3" x14ac:dyDescent="0.25">
      <c r="B73" s="11" t="s">
        <v>57</v>
      </c>
      <c r="C73" s="11">
        <v>2.7349397590361444</v>
      </c>
    </row>
    <row r="74" spans="2:3" x14ac:dyDescent="0.25">
      <c r="B74" s="11" t="s">
        <v>70</v>
      </c>
      <c r="C74" s="11">
        <v>2.7285714285714286</v>
      </c>
    </row>
    <row r="83" spans="2:7" x14ac:dyDescent="0.25">
      <c r="B83" s="16" t="s">
        <v>103</v>
      </c>
      <c r="C83" s="2"/>
      <c r="D83" s="2"/>
      <c r="E83" s="2"/>
      <c r="F83" s="2"/>
      <c r="G83" s="2"/>
    </row>
    <row r="85" spans="2:7" x14ac:dyDescent="0.25">
      <c r="B85" s="19" t="s">
        <v>74</v>
      </c>
      <c r="C85" s="19" t="s">
        <v>73</v>
      </c>
      <c r="D85" s="1"/>
      <c r="E85" s="1"/>
    </row>
    <row r="86" spans="2:7" x14ac:dyDescent="0.25">
      <c r="B86" s="19" t="s">
        <v>11</v>
      </c>
      <c r="C86" s="1" t="s">
        <v>43</v>
      </c>
      <c r="D86" s="1" t="s">
        <v>35</v>
      </c>
      <c r="E86" s="1" t="s">
        <v>70</v>
      </c>
    </row>
    <row r="87" spans="2:7" x14ac:dyDescent="0.25">
      <c r="B87" s="1" t="s">
        <v>39</v>
      </c>
      <c r="C87" s="1">
        <v>504544</v>
      </c>
      <c r="D87" s="1">
        <v>88301</v>
      </c>
      <c r="E87" s="1">
        <v>592845</v>
      </c>
    </row>
    <row r="88" spans="2:7" x14ac:dyDescent="0.25">
      <c r="B88" s="1" t="s">
        <v>46</v>
      </c>
      <c r="C88" s="1">
        <v>762556</v>
      </c>
      <c r="D88" s="1">
        <v>151151</v>
      </c>
      <c r="E88" s="1">
        <v>913707</v>
      </c>
    </row>
    <row r="89" spans="2:7" x14ac:dyDescent="0.25">
      <c r="B89" s="1" t="s">
        <v>70</v>
      </c>
      <c r="C89" s="1">
        <v>1267100</v>
      </c>
      <c r="D89" s="1">
        <v>239452</v>
      </c>
      <c r="E89" s="1">
        <v>1506552</v>
      </c>
    </row>
    <row r="92" spans="2:7" x14ac:dyDescent="0.25">
      <c r="B92" s="17" t="s">
        <v>65</v>
      </c>
    </row>
    <row r="93" spans="2:7" x14ac:dyDescent="0.25">
      <c r="B93" s="15">
        <f>COUNTIFS(Table1[Gender],"Female",Table1[Attrition],"Yes")/COUNTIF(Table1[Gender],"Female")</f>
        <v>0.14795918367346939</v>
      </c>
      <c r="C93" t="s">
        <v>39</v>
      </c>
    </row>
    <row r="94" spans="2:7" x14ac:dyDescent="0.25">
      <c r="B94" s="15">
        <f>COUNTIFS(Table1[Gender],"Male",Table1[Attrition],"Yes")/COUNTIF(Table1[Gender],"Male")</f>
        <v>0.17006802721088435</v>
      </c>
      <c r="C94" t="s">
        <v>46</v>
      </c>
    </row>
    <row r="103" spans="2:5" x14ac:dyDescent="0.25">
      <c r="B103" s="16" t="s">
        <v>102</v>
      </c>
      <c r="C103" s="2"/>
      <c r="D103" s="2"/>
      <c r="E103" s="2"/>
    </row>
    <row r="104" spans="2:5" x14ac:dyDescent="0.25">
      <c r="C104" s="18" t="s">
        <v>75</v>
      </c>
    </row>
    <row r="105" spans="2:5" x14ac:dyDescent="0.25">
      <c r="C105" s="30">
        <f>AVERAGEIF(Table1[Attrition],"Yes",Table1[MonthlyIncome])</f>
        <v>4787.0928270042195</v>
      </c>
    </row>
    <row r="112" spans="2:5" x14ac:dyDescent="0.25">
      <c r="B112" s="16" t="s">
        <v>104</v>
      </c>
      <c r="C112" s="2"/>
    </row>
    <row r="131" spans="2:4" x14ac:dyDescent="0.25">
      <c r="B131" s="16" t="s">
        <v>105</v>
      </c>
      <c r="C131" s="2"/>
      <c r="D131" s="2"/>
    </row>
    <row r="133" spans="2:4" x14ac:dyDescent="0.25">
      <c r="B133" s="19" t="s">
        <v>77</v>
      </c>
      <c r="C133" s="1" t="s">
        <v>78</v>
      </c>
    </row>
    <row r="134" spans="2:4" x14ac:dyDescent="0.25">
      <c r="B134" s="1">
        <v>3</v>
      </c>
      <c r="C134" s="1">
        <v>1244</v>
      </c>
    </row>
    <row r="135" spans="2:4" x14ac:dyDescent="0.25">
      <c r="B135" s="1">
        <v>4</v>
      </c>
      <c r="C135" s="1">
        <v>226</v>
      </c>
    </row>
    <row r="136" spans="2:4" x14ac:dyDescent="0.25">
      <c r="B136" s="1" t="s">
        <v>70</v>
      </c>
      <c r="C136" s="1">
        <v>1470</v>
      </c>
    </row>
    <row r="152" spans="2:3" x14ac:dyDescent="0.25">
      <c r="B152" s="16" t="s">
        <v>106</v>
      </c>
      <c r="C152" s="2"/>
    </row>
    <row r="154" spans="2:3" x14ac:dyDescent="0.25">
      <c r="B154" s="22" t="s">
        <v>79</v>
      </c>
    </row>
    <row r="155" spans="2:3" x14ac:dyDescent="0.25">
      <c r="B155" s="21">
        <f>COUNTIF(Table1[OverTime],"Yes")</f>
        <v>416</v>
      </c>
    </row>
    <row r="156" spans="2:3" x14ac:dyDescent="0.25">
      <c r="B156" s="23">
        <f>COUNTIF(Table1[OverTime],"No")</f>
        <v>1054</v>
      </c>
    </row>
    <row r="173" spans="2:5" x14ac:dyDescent="0.25">
      <c r="B173" s="16" t="s">
        <v>107</v>
      </c>
      <c r="C173" s="2"/>
      <c r="D173" s="2"/>
      <c r="E173" s="2"/>
    </row>
    <row r="175" spans="2:5" x14ac:dyDescent="0.25">
      <c r="C175" s="14" t="s">
        <v>80</v>
      </c>
    </row>
    <row r="176" spans="2:5" x14ac:dyDescent="0.25">
      <c r="C176" s="14">
        <f>ROUND(AVERAGE(Table1[YearsAtCompany]),2)</f>
        <v>7.01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DC0B-C20A-4D94-A17C-6B5294D0169F}">
  <sheetPr>
    <tabColor rgb="FFC00000"/>
  </sheetPr>
  <dimension ref="B2:S156"/>
  <sheetViews>
    <sheetView showGridLines="0" topLeftCell="A132" workbookViewId="0">
      <selection activeCell="H155" sqref="H155"/>
    </sheetView>
  </sheetViews>
  <sheetFormatPr defaultRowHeight="15" x14ac:dyDescent="0.25"/>
  <cols>
    <col min="2" max="2" width="26.28515625" bestFit="1" customWidth="1"/>
    <col min="3" max="3" width="24.140625" bestFit="1" customWidth="1"/>
    <col min="4" max="4" width="16.28515625" bestFit="1" customWidth="1"/>
    <col min="5" max="5" width="7" bestFit="1" customWidth="1"/>
    <col min="6" max="6" width="11.28515625" bestFit="1" customWidth="1"/>
    <col min="7" max="7" width="13.140625" bestFit="1" customWidth="1"/>
  </cols>
  <sheetData>
    <row r="2" spans="2:19" x14ac:dyDescent="0.25">
      <c r="B2" s="16" t="s">
        <v>108</v>
      </c>
      <c r="C2" s="2"/>
      <c r="D2" s="2"/>
      <c r="E2" s="2"/>
      <c r="F2" s="2"/>
      <c r="G2" s="2"/>
      <c r="H2" s="2"/>
      <c r="I2" s="2"/>
      <c r="J2" s="2"/>
    </row>
    <row r="4" spans="2:19" x14ac:dyDescent="0.25">
      <c r="B4" s="27" t="s">
        <v>85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</row>
    <row r="5" spans="2:19" x14ac:dyDescent="0.25">
      <c r="B5" s="27" t="s">
        <v>86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r="9" spans="2:19" x14ac:dyDescent="0.25">
      <c r="B9" s="16" t="s">
        <v>109</v>
      </c>
      <c r="C9" s="2"/>
      <c r="D9" s="2"/>
      <c r="E9" s="2"/>
      <c r="F9" s="2"/>
      <c r="G9" s="2"/>
    </row>
    <row r="10" spans="2:19" x14ac:dyDescent="0.25">
      <c r="B10" s="9"/>
    </row>
    <row r="11" spans="2:19" x14ac:dyDescent="0.25">
      <c r="B11" s="24"/>
      <c r="C11" s="10" t="s">
        <v>74</v>
      </c>
      <c r="D11" s="10" t="s">
        <v>73</v>
      </c>
    </row>
    <row r="12" spans="2:19" x14ac:dyDescent="0.25">
      <c r="B12" s="24"/>
      <c r="C12" s="10" t="s">
        <v>87</v>
      </c>
      <c r="D12" t="s">
        <v>43</v>
      </c>
      <c r="E12" t="s">
        <v>35</v>
      </c>
      <c r="F12" t="s">
        <v>70</v>
      </c>
      <c r="G12" s="29" t="s">
        <v>69</v>
      </c>
    </row>
    <row r="13" spans="2:19" x14ac:dyDescent="0.25">
      <c r="C13" s="11">
        <v>1</v>
      </c>
      <c r="D13">
        <v>66676</v>
      </c>
      <c r="E13">
        <v>24340</v>
      </c>
      <c r="F13">
        <v>91016</v>
      </c>
      <c r="G13" s="28">
        <f>GETPIVOTDATA("EmployeeNumber",$C$11,"Attrition","Yes","JobInvolvement",1)/GETPIVOTDATA("EmployeeNumber",$C$11,"JobInvolvement",1)</f>
        <v>0.26742550760305878</v>
      </c>
    </row>
    <row r="14" spans="2:19" x14ac:dyDescent="0.25">
      <c r="C14" s="11">
        <v>2</v>
      </c>
      <c r="D14">
        <v>310193</v>
      </c>
      <c r="E14">
        <v>69926</v>
      </c>
      <c r="F14">
        <v>380119</v>
      </c>
      <c r="G14" s="28">
        <f>GETPIVOTDATA("EmployeeNumber",$C$11,"Attrition","Yes","JobInvolvement",2)/GETPIVOTDATA("EmployeeNumber",$C$11,"JobInvolvement",2)</f>
        <v>0.18395818151684079</v>
      </c>
    </row>
    <row r="15" spans="2:19" x14ac:dyDescent="0.25">
      <c r="C15" s="11">
        <v>3</v>
      </c>
      <c r="D15">
        <v>753829</v>
      </c>
      <c r="E15">
        <v>130643</v>
      </c>
      <c r="F15">
        <v>884472</v>
      </c>
      <c r="G15" s="28">
        <f>GETPIVOTDATA("EmployeeNumber",$C$11,"Attrition","Yes","JobInvolvement",3)/GETPIVOTDATA("EmployeeNumber",$C$11,"JobInvolvement",3)</f>
        <v>0.14770733273636702</v>
      </c>
    </row>
    <row r="16" spans="2:19" x14ac:dyDescent="0.25">
      <c r="C16" s="11">
        <v>4</v>
      </c>
      <c r="D16">
        <v>136402</v>
      </c>
      <c r="E16">
        <v>14543</v>
      </c>
      <c r="F16">
        <v>150945</v>
      </c>
      <c r="G16" s="28">
        <f>GETPIVOTDATA("EmployeeNumber",$C$11,"Attrition","Yes","JobInvolvement",4)/GETPIVOTDATA("EmployeeNumber",$C$11,"JobInvolvement",4)</f>
        <v>9.6346351320017232E-2</v>
      </c>
    </row>
    <row r="17" spans="2:7" x14ac:dyDescent="0.25">
      <c r="C17" s="11" t="s">
        <v>70</v>
      </c>
      <c r="D17">
        <v>1267100</v>
      </c>
      <c r="E17">
        <v>239452</v>
      </c>
      <c r="F17">
        <v>1506552</v>
      </c>
      <c r="G17" s="12"/>
    </row>
    <row r="22" spans="2:7" x14ac:dyDescent="0.25">
      <c r="B22" s="16" t="s">
        <v>110</v>
      </c>
      <c r="C22" s="2"/>
      <c r="D22" s="2"/>
      <c r="E22" s="2"/>
      <c r="F22" s="2"/>
    </row>
    <row r="23" spans="2:7" x14ac:dyDescent="0.25">
      <c r="B23" s="9"/>
    </row>
    <row r="24" spans="2:7" x14ac:dyDescent="0.25">
      <c r="B24" s="24"/>
    </row>
    <row r="25" spans="2:7" x14ac:dyDescent="0.25">
      <c r="B25" s="24"/>
    </row>
    <row r="41" spans="2:7" x14ac:dyDescent="0.25">
      <c r="B41" s="16" t="s">
        <v>111</v>
      </c>
      <c r="C41" s="2"/>
      <c r="D41" s="2"/>
      <c r="E41" s="2"/>
    </row>
    <row r="42" spans="2:7" x14ac:dyDescent="0.25">
      <c r="B42" s="9"/>
    </row>
    <row r="43" spans="2:7" x14ac:dyDescent="0.25">
      <c r="B43" s="24"/>
      <c r="C43" s="10" t="s">
        <v>88</v>
      </c>
      <c r="D43" s="10" t="s">
        <v>1</v>
      </c>
    </row>
    <row r="44" spans="2:7" x14ac:dyDescent="0.25">
      <c r="B44" s="24"/>
      <c r="C44" s="10" t="s">
        <v>89</v>
      </c>
      <c r="D44" t="s">
        <v>43</v>
      </c>
      <c r="E44" t="s">
        <v>35</v>
      </c>
      <c r="F44" t="s">
        <v>70</v>
      </c>
      <c r="G44" s="12" t="s">
        <v>69</v>
      </c>
    </row>
    <row r="45" spans="2:7" x14ac:dyDescent="0.25">
      <c r="C45" s="11" t="s">
        <v>52</v>
      </c>
      <c r="D45">
        <v>294</v>
      </c>
      <c r="E45">
        <v>33</v>
      </c>
      <c r="F45">
        <v>327</v>
      </c>
      <c r="G45" s="13">
        <f>GETPIVOTDATA("EmployeeNumber",$C$43,"Attrition","Yes","MaritalStatus","Divorced")/GETPIVOTDATA("EmployeeNumber",$C$43,"MaritalStatus","Divorced")</f>
        <v>0.10091743119266056</v>
      </c>
    </row>
    <row r="46" spans="2:7" x14ac:dyDescent="0.25">
      <c r="C46" s="11" t="s">
        <v>48</v>
      </c>
      <c r="D46">
        <v>589</v>
      </c>
      <c r="E46">
        <v>84</v>
      </c>
      <c r="F46">
        <v>673</v>
      </c>
      <c r="G46" s="13">
        <f>GETPIVOTDATA("EmployeeNumber",$C$43,"Attrition","Yes","MaritalStatus","Married")/GETPIVOTDATA("EmployeeNumber",$C$43,"MaritalStatus","Married")</f>
        <v>0.12481426448736999</v>
      </c>
    </row>
    <row r="47" spans="2:7" x14ac:dyDescent="0.25">
      <c r="C47" s="11" t="s">
        <v>41</v>
      </c>
      <c r="D47">
        <v>350</v>
      </c>
      <c r="E47">
        <v>120</v>
      </c>
      <c r="F47">
        <v>470</v>
      </c>
      <c r="G47" s="13">
        <f>GETPIVOTDATA("EmployeeNumber",$C$43,"Attrition","Yes","MaritalStatus","Single")/GETPIVOTDATA("EmployeeNumber",$C$43,"MaritalStatus","Single")</f>
        <v>0.25531914893617019</v>
      </c>
    </row>
    <row r="48" spans="2:7" x14ac:dyDescent="0.25">
      <c r="C48" s="11" t="s">
        <v>70</v>
      </c>
      <c r="D48">
        <v>1233</v>
      </c>
      <c r="E48">
        <v>237</v>
      </c>
      <c r="F48">
        <v>1470</v>
      </c>
      <c r="G48" s="12"/>
    </row>
    <row r="51" spans="2:6" x14ac:dyDescent="0.25">
      <c r="B51" s="16" t="s">
        <v>112</v>
      </c>
      <c r="C51" s="2"/>
      <c r="D51" s="2"/>
      <c r="E51" s="2"/>
    </row>
    <row r="52" spans="2:6" x14ac:dyDescent="0.25">
      <c r="B52" s="9"/>
    </row>
    <row r="53" spans="2:6" x14ac:dyDescent="0.25">
      <c r="B53" s="10" t="s">
        <v>88</v>
      </c>
      <c r="C53" s="10" t="s">
        <v>1</v>
      </c>
    </row>
    <row r="54" spans="2:6" x14ac:dyDescent="0.25">
      <c r="B54" s="19" t="s">
        <v>90</v>
      </c>
      <c r="C54" s="1" t="s">
        <v>43</v>
      </c>
      <c r="D54" s="1" t="s">
        <v>35</v>
      </c>
      <c r="E54" s="1" t="s">
        <v>70</v>
      </c>
      <c r="F54" s="12" t="s">
        <v>65</v>
      </c>
    </row>
    <row r="55" spans="2:6" x14ac:dyDescent="0.25">
      <c r="B55" s="1">
        <v>0</v>
      </c>
      <c r="C55" s="1">
        <v>39</v>
      </c>
      <c r="D55" s="1">
        <v>15</v>
      </c>
      <c r="E55" s="1">
        <v>54</v>
      </c>
      <c r="F55" s="13">
        <f>GETPIVOTDATA("EmployeeNumber",$B$53,"Attrition","Yes","TrainingTimesLastYear",0)/GETPIVOTDATA("EmployeeNumber",$B$53,"TrainingTimesLastYear",0)</f>
        <v>0.27777777777777779</v>
      </c>
    </row>
    <row r="56" spans="2:6" x14ac:dyDescent="0.25">
      <c r="B56" s="1">
        <v>1</v>
      </c>
      <c r="C56" s="1">
        <v>62</v>
      </c>
      <c r="D56" s="1">
        <v>9</v>
      </c>
      <c r="E56" s="1">
        <v>71</v>
      </c>
      <c r="F56" s="13">
        <f>GETPIVOTDATA("EmployeeNumber",$B$53,"Attrition","Yes","TrainingTimesLastYear",1)/GETPIVOTDATA("EmployeeNumber",$B$53,"TrainingTimesLastYear",1)</f>
        <v>0.12676056338028169</v>
      </c>
    </row>
    <row r="57" spans="2:6" x14ac:dyDescent="0.25">
      <c r="B57" s="1">
        <v>2</v>
      </c>
      <c r="C57" s="1">
        <v>449</v>
      </c>
      <c r="D57" s="1">
        <v>98</v>
      </c>
      <c r="E57" s="1">
        <v>547</v>
      </c>
      <c r="F57" s="13">
        <f>GETPIVOTDATA("EmployeeNumber",$B$53,"Attrition","Yes","TrainingTimesLastYear",2)/GETPIVOTDATA("EmployeeNumber",$B$53,"TrainingTimesLastYear",2)</f>
        <v>0.17915904936014626</v>
      </c>
    </row>
    <row r="58" spans="2:6" x14ac:dyDescent="0.25">
      <c r="B58" s="1">
        <v>3</v>
      </c>
      <c r="C58" s="1">
        <v>422</v>
      </c>
      <c r="D58" s="1">
        <v>69</v>
      </c>
      <c r="E58" s="1">
        <v>491</v>
      </c>
      <c r="F58" s="13">
        <f>GETPIVOTDATA("EmployeeNumber",$B$53,"Attrition","Yes","TrainingTimesLastYear",3)/GETPIVOTDATA("EmployeeNumber",$B$53,"TrainingTimesLastYear",3)</f>
        <v>0.14052953156822812</v>
      </c>
    </row>
    <row r="59" spans="2:6" x14ac:dyDescent="0.25">
      <c r="B59" s="1">
        <v>4</v>
      </c>
      <c r="C59" s="1">
        <v>97</v>
      </c>
      <c r="D59" s="1">
        <v>26</v>
      </c>
      <c r="E59" s="1">
        <v>123</v>
      </c>
      <c r="F59" s="13">
        <f>GETPIVOTDATA("EmployeeNumber",$B$53,"Attrition","Yes","TrainingTimesLastYear",4)/GETPIVOTDATA("EmployeeNumber",$B$53,"TrainingTimesLastYear",4)</f>
        <v>0.21138211382113822</v>
      </c>
    </row>
    <row r="60" spans="2:6" x14ac:dyDescent="0.25">
      <c r="B60" s="1">
        <v>5</v>
      </c>
      <c r="C60" s="1">
        <v>105</v>
      </c>
      <c r="D60" s="1">
        <v>14</v>
      </c>
      <c r="E60" s="1">
        <v>119</v>
      </c>
      <c r="F60" s="13">
        <f>GETPIVOTDATA("EmployeeNumber",$B$53,"Attrition","Yes","TrainingTimesLastYear",5)/GETPIVOTDATA("EmployeeNumber",$B$53,"TrainingTimesLastYear",5)</f>
        <v>0.11764705882352941</v>
      </c>
    </row>
    <row r="61" spans="2:6" x14ac:dyDescent="0.25">
      <c r="B61" s="1">
        <v>6</v>
      </c>
      <c r="C61" s="1">
        <v>59</v>
      </c>
      <c r="D61" s="1">
        <v>6</v>
      </c>
      <c r="E61" s="1">
        <v>65</v>
      </c>
      <c r="F61" s="13">
        <f>GETPIVOTDATA("EmployeeNumber",$B$53,"Attrition","Yes","TrainingTimesLastYear",6)/GETPIVOTDATA("EmployeeNumber",$B$53,"TrainingTimesLastYear",6)</f>
        <v>9.2307692307692313E-2</v>
      </c>
    </row>
    <row r="62" spans="2:6" x14ac:dyDescent="0.25">
      <c r="B62" s="1" t="s">
        <v>70</v>
      </c>
      <c r="C62" s="1">
        <v>1233</v>
      </c>
      <c r="D62" s="1">
        <v>237</v>
      </c>
      <c r="E62" s="1">
        <v>1470</v>
      </c>
      <c r="F62" s="13">
        <f>GETPIVOTDATA("EmployeeNumber",$B$53,"Attrition","Yes")/GETPIVOTDATA("EmployeeNumber",$B$53)</f>
        <v>0.16122448979591836</v>
      </c>
    </row>
    <row r="71" spans="2:4" x14ac:dyDescent="0.25">
      <c r="B71" s="16" t="s">
        <v>113</v>
      </c>
      <c r="C71" s="2"/>
      <c r="D71" s="2"/>
    </row>
    <row r="72" spans="2:4" x14ac:dyDescent="0.25">
      <c r="B72" s="9"/>
    </row>
    <row r="73" spans="2:4" x14ac:dyDescent="0.25">
      <c r="B73" s="24"/>
    </row>
    <row r="74" spans="2:4" x14ac:dyDescent="0.25">
      <c r="B74" s="24"/>
    </row>
    <row r="92" spans="2:6" x14ac:dyDescent="0.25">
      <c r="B92" s="16" t="s">
        <v>114</v>
      </c>
      <c r="C92" s="2"/>
      <c r="D92" s="2"/>
    </row>
    <row r="93" spans="2:6" x14ac:dyDescent="0.25">
      <c r="B93" s="9"/>
    </row>
    <row r="94" spans="2:6" x14ac:dyDescent="0.25">
      <c r="B94" s="24"/>
    </row>
    <row r="95" spans="2:6" x14ac:dyDescent="0.25">
      <c r="B95" s="10" t="s">
        <v>88</v>
      </c>
      <c r="C95" s="10" t="s">
        <v>1</v>
      </c>
    </row>
    <row r="96" spans="2:6" x14ac:dyDescent="0.25">
      <c r="B96" s="10" t="s">
        <v>91</v>
      </c>
      <c r="C96" t="s">
        <v>43</v>
      </c>
      <c r="D96" t="s">
        <v>35</v>
      </c>
      <c r="E96" t="s">
        <v>70</v>
      </c>
      <c r="F96" t="s">
        <v>69</v>
      </c>
    </row>
    <row r="97" spans="2:6" x14ac:dyDescent="0.25">
      <c r="B97" s="11">
        <v>0</v>
      </c>
      <c r="C97">
        <v>477</v>
      </c>
      <c r="D97">
        <v>154</v>
      </c>
      <c r="E97">
        <v>631</v>
      </c>
      <c r="F97" s="13">
        <f>GETPIVOTDATA("EmployeeNumber",$B$95,"Attrition","Yes","StockOptionLevel",0)/GETPIVOTDATA("EmployeeNumber",$B$95,"StockOptionLevel",0)</f>
        <v>0.24405705229793978</v>
      </c>
    </row>
    <row r="98" spans="2:6" x14ac:dyDescent="0.25">
      <c r="B98" s="11">
        <v>1</v>
      </c>
      <c r="C98">
        <v>540</v>
      </c>
      <c r="D98">
        <v>56</v>
      </c>
      <c r="E98">
        <v>596</v>
      </c>
      <c r="F98" s="13">
        <f>GETPIVOTDATA("EmployeeNumber",$B$95,"StockOptionLevel",1)/GETPIVOTDATA("EmployeeNumber",$B$95,"StockOptionLevel",1)</f>
        <v>1</v>
      </c>
    </row>
    <row r="99" spans="2:6" x14ac:dyDescent="0.25">
      <c r="B99" s="11">
        <v>2</v>
      </c>
      <c r="C99">
        <v>146</v>
      </c>
      <c r="D99">
        <v>12</v>
      </c>
      <c r="E99">
        <v>158</v>
      </c>
      <c r="F99" s="13">
        <f>GETPIVOTDATA("EmployeeNumber",$B$95,"Attrition","Yes","StockOptionLevel",2)/GETPIVOTDATA("EmployeeNumber",$B$95,"StockOptionLevel",2)</f>
        <v>7.5949367088607597E-2</v>
      </c>
    </row>
    <row r="100" spans="2:6" x14ac:dyDescent="0.25">
      <c r="B100" s="11">
        <v>3</v>
      </c>
      <c r="C100">
        <v>70</v>
      </c>
      <c r="D100">
        <v>15</v>
      </c>
      <c r="E100">
        <v>85</v>
      </c>
      <c r="F100" s="13">
        <f>GETPIVOTDATA("EmployeeNumber",$B$95,"Attrition","Yes","StockOptionLevel",3)/GETPIVOTDATA("EmployeeNumber",$B$95,"StockOptionLevel",3)</f>
        <v>0.17647058823529413</v>
      </c>
    </row>
    <row r="101" spans="2:6" x14ac:dyDescent="0.25">
      <c r="B101" s="11" t="s">
        <v>70</v>
      </c>
      <c r="C101">
        <v>1233</v>
      </c>
      <c r="D101">
        <v>237</v>
      </c>
      <c r="E101">
        <v>1470</v>
      </c>
      <c r="F101" s="13">
        <f>GETPIVOTDATA("EmployeeNumber",$B$95,"Attrition","Yes")/GETPIVOTDATA("EmployeeNumber",$B$95)</f>
        <v>0.16122448979591836</v>
      </c>
    </row>
    <row r="116" spans="2:4" x14ac:dyDescent="0.25">
      <c r="B116" s="16" t="s">
        <v>115</v>
      </c>
      <c r="C116" s="2"/>
      <c r="D116" s="2"/>
    </row>
    <row r="117" spans="2:4" x14ac:dyDescent="0.25">
      <c r="B117" s="9"/>
    </row>
    <row r="118" spans="2:4" x14ac:dyDescent="0.25">
      <c r="B118" s="24"/>
    </row>
    <row r="119" spans="2:4" x14ac:dyDescent="0.25">
      <c r="B119" s="24"/>
    </row>
    <row r="135" spans="2:4" x14ac:dyDescent="0.25">
      <c r="B135" s="16" t="s">
        <v>116</v>
      </c>
      <c r="C135" s="2"/>
      <c r="D135" s="2"/>
    </row>
    <row r="136" spans="2:4" x14ac:dyDescent="0.25">
      <c r="B136" s="9"/>
    </row>
    <row r="137" spans="2:4" x14ac:dyDescent="0.25">
      <c r="B137" s="24"/>
    </row>
    <row r="138" spans="2:4" x14ac:dyDescent="0.25">
      <c r="B138" s="10" t="s">
        <v>92</v>
      </c>
      <c r="C138" t="s">
        <v>71</v>
      </c>
    </row>
    <row r="139" spans="2:4" x14ac:dyDescent="0.25">
      <c r="B139" s="11" t="s">
        <v>55</v>
      </c>
      <c r="C139">
        <v>2.7933333333333334</v>
      </c>
    </row>
    <row r="140" spans="2:4" x14ac:dyDescent="0.25">
      <c r="B140" s="11" t="s">
        <v>44</v>
      </c>
      <c r="C140">
        <v>2.7906137184115525</v>
      </c>
    </row>
    <row r="141" spans="2:4" x14ac:dyDescent="0.25">
      <c r="B141" s="11" t="s">
        <v>36</v>
      </c>
      <c r="C141">
        <v>2.7027804410354745</v>
      </c>
    </row>
    <row r="142" spans="2:4" x14ac:dyDescent="0.25">
      <c r="B142" s="11" t="s">
        <v>70</v>
      </c>
      <c r="C142">
        <v>2.7285714285714286</v>
      </c>
    </row>
    <row r="156" spans="2:4" x14ac:dyDescent="0.25">
      <c r="B156" s="16" t="s">
        <v>117</v>
      </c>
      <c r="C156" s="2"/>
      <c r="D156" s="2"/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535B-7DD4-44E3-97E0-3FB6A9677600}">
  <sheetPr>
    <tabColor theme="8" tint="-0.249977111117893"/>
  </sheetPr>
  <dimension ref="AC12:AD14"/>
  <sheetViews>
    <sheetView showGridLines="0" zoomScale="40" zoomScaleNormal="40" workbookViewId="0">
      <selection activeCell="AH43" sqref="AH43"/>
    </sheetView>
  </sheetViews>
  <sheetFormatPr defaultRowHeight="15" x14ac:dyDescent="0.25"/>
  <cols>
    <col min="30" max="30" width="23.7109375" customWidth="1"/>
  </cols>
  <sheetData>
    <row r="12" spans="29:30" x14ac:dyDescent="0.25">
      <c r="AD12" s="17" t="s">
        <v>65</v>
      </c>
    </row>
    <row r="13" spans="29:30" x14ac:dyDescent="0.25">
      <c r="AC13" t="s">
        <v>39</v>
      </c>
      <c r="AD13" s="15">
        <f>COUNTIFS(Table1[Gender],"Female",Table1[Attrition],"Yes")/COUNTIF(Table1[Gender],"Female")</f>
        <v>0.14795918367346939</v>
      </c>
    </row>
    <row r="14" spans="29:30" x14ac:dyDescent="0.25">
      <c r="AC14" t="s">
        <v>46</v>
      </c>
      <c r="AD14" s="15">
        <f>COUNTIFS(Table1[Gender],"Male",Table1[Attrition],"Yes")/COUNTIF(Table1[Gender],"Male")</f>
        <v>0.17006802721088435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Basic level answers</vt:lpstr>
      <vt:lpstr>Medium level answers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Kulkarni</dc:creator>
  <cp:lastModifiedBy>Amey Kulkarni</cp:lastModifiedBy>
  <dcterms:created xsi:type="dcterms:W3CDTF">2026-09-15T16:41:09Z</dcterms:created>
  <dcterms:modified xsi:type="dcterms:W3CDTF">2026-10-19T14:36:36Z</dcterms:modified>
</cp:coreProperties>
</file>